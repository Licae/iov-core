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240" windowHeight="14640" activeTab="3"/>
  </bookViews>
  <sheets>
    <sheet name="Cover" sheetId="1" r:id="rId1"/>
    <sheet name="TARA_Report" sheetId="11" r:id="rId2"/>
    <sheet name="Assets List" sheetId="9" r:id="rId3"/>
    <sheet name="CFG" sheetId="10" r:id="rId4"/>
  </sheets>
  <definedNames>
    <definedName name="_xlnm._FilterDatabase" localSheetId="1" hidden="1">TARA_Report!$A$7:$XFC$532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lucky lv</author>
  </authors>
  <commentList>
    <comment ref="E6" authorId="0">
      <text>
        <r>
          <rPr>
            <sz val="10"/>
            <rFont val="宋体"/>
            <charset val="134"/>
          </rPr>
          <t>Administrator:
参见CFG：资产类别（蓝色）-网络安全属性（黄色）-STRIDE（红色）矩阵表</t>
        </r>
      </text>
    </comment>
    <comment ref="W6" authorId="1">
      <text>
        <r>
          <rPr>
            <sz val="10"/>
            <color rgb="FF000000"/>
            <rFont val="宋体"/>
            <charset val="134"/>
          </rPr>
          <t xml:space="preserve">NOTE:
从下拉框中选择，选择时将自动赋值，参考 CFG sheet中“攻击可行性等级评定” </t>
        </r>
      </text>
    </comment>
    <comment ref="AH7" authorId="1">
      <text>
        <r>
          <rPr>
            <sz val="10"/>
            <rFont val="宋体"/>
            <charset val="134"/>
          </rPr>
          <t>NOTE：
根据CFG sheet中“攻击可行性等级评定”规则自动计算</t>
        </r>
      </text>
    </comment>
    <comment ref="R8" authorId="1">
      <text>
        <r>
          <rPr>
            <sz val="10"/>
            <color rgb="FF000000"/>
            <rFont val="宋体"/>
            <charset val="134"/>
          </rPr>
          <t>NOTE:
选取S/F/O/P中等级最高，作为影响综合等级的值</t>
        </r>
      </text>
    </comment>
    <comment ref="S8" authorId="1">
      <text>
        <r>
          <rPr>
            <sz val="10"/>
            <color rgb="FF000000"/>
            <rFont val="宋体"/>
            <charset val="134"/>
          </rPr>
          <t>NOTE:
选取S/F/O/P中等级最高，作为影响综合等级的值</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<sst xmlns="http://schemas.openxmlformats.org/spreadsheetml/2006/main" count="13491" uniqueCount="1873">
  <si>
    <t>威胁分析与风险评估（TARA）报告
Threat Analysis and Risk Assessment (TARA) Report</t>
  </si>
  <si>
    <t>版本：V2.0
Version: V2.0</t>
  </si>
  <si>
    <t>项目信息
Project information</t>
  </si>
  <si>
    <t>项目代号
Project code</t>
  </si>
  <si>
    <t>YT-R155(VTA)-EE04-00</t>
  </si>
  <si>
    <t>Centralized Electrical and Electronic Architecture （CEEA）</t>
  </si>
  <si>
    <t>更新
Update</t>
  </si>
  <si>
    <t>版本
Version</t>
  </si>
  <si>
    <t>编辑
Edit</t>
  </si>
  <si>
    <t>时间
Time</t>
  </si>
  <si>
    <t>审批
Approval</t>
  </si>
  <si>
    <t>更新说明
Update instructions</t>
  </si>
  <si>
    <t>V1.0</t>
  </si>
  <si>
    <t>V2.0</t>
  </si>
  <si>
    <t>李磊</t>
  </si>
  <si>
    <t>2023.9.9</t>
  </si>
  <si>
    <t>黄武剑</t>
  </si>
  <si>
    <t>2023.9.12</t>
  </si>
  <si>
    <t xml:space="preserve">1.Updated the sequence of table presentation, moving the damage scenario before the threat scenario.
2.Added content to the cyber security requirements section, with the entire section being reflected in the TARA report.
3.Added Asset ID, Scenario ID, and other similar content.
4.Added a domain asset list page.
5.Updated the cyber security attribute from ""Grant Right "" to ""authenticity"".
6.Added a scoring column for feasibility analysis.
1.更新了表格呈现顺序，损害场景调整到威胁场景之前；
2.增加了网络安全需求部分的内容，该部分内容统一在TARA报告中体现；
3.增加资产ID、场景ID等内容；
4.增加域资产清单页；
5.更新网络安全属性由“认证”改为“真实性”；
6.增加可行性分析的评分列。"			</t>
  </si>
  <si>
    <t>TARA 报告
TARA report</t>
  </si>
  <si>
    <t>模版版本：V2.0
Template Version: V2.0</t>
  </si>
  <si>
    <t>序号
Serial number</t>
  </si>
  <si>
    <t>资产ID
Asset ID</t>
  </si>
  <si>
    <t>资产类型
Asset Type</t>
  </si>
  <si>
    <t>资产名称
Name of asset</t>
  </si>
  <si>
    <t>资产网络安全属性
Asset Cyber Security attributes</t>
  </si>
  <si>
    <t>损害情况
Damage</t>
  </si>
  <si>
    <t>影响类别及影响程度
Impact category and impact degree</t>
  </si>
  <si>
    <t xml:space="preserve">威胁场景
（STRIDE）
Threat scenario 
(STRIDE) 
</t>
  </si>
  <si>
    <t>攻击路径
Attack path</t>
  </si>
  <si>
    <t>攻击路径可行性分析
Feasibility analysis of attack path</t>
  </si>
  <si>
    <t>风险值
Value at Risk</t>
  </si>
  <si>
    <t>信息安全声明
Cybersecurity security statement</t>
  </si>
  <si>
    <t>R155法规映射
R155 Regulation Mapping</t>
  </si>
  <si>
    <t>机
密
性
Confidentiality</t>
  </si>
  <si>
    <t>完
整
性
Integrity</t>
  </si>
  <si>
    <t>可
用
性
Avaliability</t>
  </si>
  <si>
    <t>真实性Authenticity</t>
  </si>
  <si>
    <t>授权
Authorization</t>
  </si>
  <si>
    <t>不可
抵
赖性
Non-repudiation</t>
  </si>
  <si>
    <t>损害场景编号
Damage scenario ID</t>
  </si>
  <si>
    <t>损害场景
Damage scenario</t>
  </si>
  <si>
    <t>损害判断说明
Damage judgment description</t>
  </si>
  <si>
    <t xml:space="preserve">T
经过的时间
T 
The elapsed time 
</t>
  </si>
  <si>
    <t>打分
Value</t>
  </si>
  <si>
    <t xml:space="preserve">S
专业知识
S 
Specialist expertisee 
</t>
  </si>
  <si>
    <t xml:space="preserve">K
信息公开性
K
Knowledge of the item or component 
</t>
  </si>
  <si>
    <t>O
机会窗口
O 
Window of opportunity</t>
  </si>
  <si>
    <t xml:space="preserve">E
设备与工具
E 
Equipment and Tools 
</t>
  </si>
  <si>
    <t>总和
Summation</t>
  </si>
  <si>
    <t>可行
性综
合等
级
Attack feasibility rating</t>
  </si>
  <si>
    <t>风险缓解措施
Risk Treatment Measures</t>
  </si>
  <si>
    <t>信息安全需求编号
Cybersecurity  requirement number</t>
  </si>
  <si>
    <t>信息安全需求
Cybersecurity security requirements</t>
  </si>
  <si>
    <t>R155法规编号
R155 Regulation Number</t>
  </si>
  <si>
    <t>R155法规子类
Vulnerability or attack method related to the threats</t>
  </si>
  <si>
    <t>R155法规描述
R155 Regulation Description</t>
  </si>
  <si>
    <t>C</t>
  </si>
  <si>
    <t>I</t>
  </si>
  <si>
    <t>A</t>
  </si>
  <si>
    <t>R</t>
  </si>
  <si>
    <t xml:space="preserve">S
安全
S 
Safety 
</t>
  </si>
  <si>
    <t xml:space="preserve">F
财务
F 
Financial 
</t>
  </si>
  <si>
    <t xml:space="preserve">O
操作
O 
Operational
</t>
  </si>
  <si>
    <t xml:space="preserve">P
隐私
P 
Privacy 
</t>
  </si>
  <si>
    <t>影响综合等级
Impact Assessment(From Formula)</t>
  </si>
  <si>
    <t>影响综合等级
Impact c Assessment(From Experience)</t>
  </si>
  <si>
    <t>威胁场景ID
Threat Sceneries ID</t>
  </si>
  <si>
    <t>场景描述
Scene description</t>
  </si>
  <si>
    <t>CAL</t>
  </si>
  <si>
    <t>P000</t>
  </si>
  <si>
    <t>External Entity</t>
  </si>
  <si>
    <t>GW</t>
  </si>
  <si>
    <t>√</t>
  </si>
  <si>
    <t>DM-02-001</t>
  </si>
  <si>
    <t xml:space="preserve">Because device identification information and key configurations can be read arbitrarily, the confidentiality of GW may be damaged, resulting in the disclosure of sensitive GW information. </t>
  </si>
  <si>
    <t>Device identification information, critical configurations, and other content can be read arbitrarily</t>
  </si>
  <si>
    <t>可忽略不计Negligible</t>
  </si>
  <si>
    <t>主要Major</t>
  </si>
  <si>
    <t>TM-02-001</t>
  </si>
  <si>
    <t>Attackers can obtain system memory data or sensitive information through internal logic</t>
  </si>
  <si>
    <t>An attacker gains access to the communication channel (CAN) of the GW or control rights of other Electronic Control Units (ECUs) within the domain through an external communication channel (such as FMS or OBD interfaces), and then sends malicious commands or messages to the GW.</t>
  </si>
  <si>
    <t>≤1天(1day)</t>
  </si>
  <si>
    <t>专家(Expert)</t>
  </si>
  <si>
    <t>限制性信息(Restricted)</t>
  </si>
  <si>
    <t>一般(General)</t>
  </si>
  <si>
    <t>专用开源(Specialized)</t>
  </si>
  <si>
    <t>CAL3</t>
  </si>
  <si>
    <t>SR-02-001</t>
  </si>
  <si>
    <t>By implementing and enforcing a network security or quality management reward and penalty system, promoting network security awareness training, and enhancing internal personnel's compliance awareness.
Diagnostic tools must be securely stored after generating keys to prevent leakage to unauthorized parties.
Diagnostic services should be categorized into permission levels, allowing external devices to access only services corresponding to their permissions after identity authentication. For CAN bus diagnostics, it is recommended to classify services 2E (mandatory)/2F (mandatory)/31 (optional) as services requiring 27 authentication.</t>
  </si>
  <si>
    <t>M1、M11、M23</t>
  </si>
  <si>
    <t>1  Back-end servers used as a means to attack a vehicle or extract data 
3 Vehicle related data held on back-end servers being lost or compromised ("data breach") 
19  Extraction of vehicle data/code 
26  Cryptographic technologies can be compromised or are insufficiently applied</t>
  </si>
  <si>
    <t>1.1 Abuse of privileges by staff (insider attack)
3.1 Abuse of privileges by staff (insider attack)
19.3Extraction of cryptographic keys 
26.2 Insufficient use of cryptographic algorithms to protect sensitive systems</t>
  </si>
  <si>
    <t>DM-02-002</t>
  </si>
  <si>
    <t xml:space="preserve">Because the communication channel through which the data is accessible is not isolated or the isolation is incomplete, the confidentiality of GWmay be compromised, resulting in the disclosure of sensitive information.  </t>
  </si>
  <si>
    <t>The communication channel for accessible data is not isolated or incompletely isolated.</t>
  </si>
  <si>
    <t>中等Medium</t>
  </si>
  <si>
    <t>TM-02-002</t>
  </si>
  <si>
    <t>Attackers can obtain full communication information, leading to the leakage of sensitive data, by sniffing and monitoring [GW Name].</t>
  </si>
  <si>
    <t>SR-02-002</t>
  </si>
  <si>
    <t>Limit each ECU to only send and receive messages within a specific CAN ID range.</t>
  </si>
  <si>
    <t>M10</t>
  </si>
  <si>
    <t>Messages received by the vehicle (for example X2V or diagnostic messages), or transmitted within it, contain malicious content</t>
  </si>
  <si>
    <t>Malicious proprietary messages (e.g. those normally sent from OEM or component/system/function supplier)</t>
  </si>
  <si>
    <t>DM-02-003</t>
  </si>
  <si>
    <t>Due to USB, JTAG, UART, and other interfaces being left open or having ineffective access control, GW may be compromised, leading to the leakage of sensitive information.</t>
  </si>
  <si>
    <t>USB, JTAG, UART, and other interfaces lack closed or ineffective access control.</t>
  </si>
  <si>
    <t>主要
Major</t>
  </si>
  <si>
    <t>TM-02-003</t>
  </si>
  <si>
    <t>Attackers access the system through interfaces such as USB, JTAG, UART, with either unclosed or ineffective access controls, and obtain sensitive information from the system.</t>
  </si>
  <si>
    <t>The attacker gains control of the electronic control unit (ECU) of GW through an external debugging interface (such as USB, JTAG interface, serial port), and then sends malicious commands or messages to GW.</t>
  </si>
  <si>
    <t>≤一周(1week)</t>
  </si>
  <si>
    <t>CAL4</t>
  </si>
  <si>
    <t>SR-02-003</t>
  </si>
  <si>
    <t>The hardware interface covers UART JTAG、USB、SWD、DAP、 Customize debugging touchpoints, gold fingers, etc. ECU strictly prohibits the existence of backdoors or concealed interfaces reserved by suppliers during the development phase.</t>
  </si>
  <si>
    <t>M8、M23</t>
  </si>
  <si>
    <t>7 Gaining unauthorized access to files or data
28 Using remainders from development (e.g. debug ports, JTAG ports, microprocessors, 
development certificates, developer passwords, …) can permit an attacker to access ECUs or gain higher privileges</t>
  </si>
  <si>
    <t>7.2 Information can be readily disclosed. For example, through eavesdropping on communications or through allowing unauthorized access to sensitive files or folders
28.2 Cybersecurity best practices for software and hardware development shall be followed. Cybersecurity testing with adequate coverage</t>
  </si>
  <si>
    <t>DM-02-004</t>
  </si>
  <si>
    <t xml:space="preserve">Due to vulnerabilities such as buffer overflows and backdoors, the integrity of GWmay be compromised, resulting in malicious modification of data or code. </t>
  </si>
  <si>
    <t>The device has vulnerabilities such as buffer overflow and backdoors</t>
  </si>
  <si>
    <t>TM-02-004</t>
  </si>
  <si>
    <t>Attackers can tamper with the memory of GW through diagnostic services, leading to data alterations</t>
  </si>
  <si>
    <t>SR-02-004</t>
  </si>
  <si>
    <t>Diagnostic write operations should have Level 27 security access restrictions to ensure that sensitive operations such as diagnostic write operations can only be executed by authorized tools.
The key generation algorithm must be secure and resistant to cracking or prediction.</t>
  </si>
  <si>
    <t>M7、M23</t>
  </si>
  <si>
    <t xml:space="preserve">5 Communication channels used to conduct unauthorized manipulation, deletion or other 
amendments to vehicle held code/data 
20 Illegal/unauthorized changes to vehicle’s electronic ID 
23 Introduction of new software overwrite existing software 
28 Software or hardware development permits vulnerabilities  </t>
  </si>
  <si>
    <t xml:space="preserve">5.2   Communications channels permit manipulate of 
vehicle held data/code 
5.3Communications channels permit overwrite of vehicle held data/code 
5.4Communications channels permit erasure of vehicle 
held data/code 
5.5Communications channels permit introduction of 
data/code to the vehicle (write data code) 
20.1Illegal/unauthorized changes to vehicle’s electronic ID 
23.1Fabrication of software of the vehicle control system or information system
28.1Software bugs. The presence of software bugs can be a basis for potential exploitable vulnerabilities. This is particularly true if software has not been tested to verify that known bad code/bugs is not present and Reucing the risk of unknown bad code/bugs being present
25.1Unauthorized access to falsify configuration parameters of vehicle’s key functions, such as brake data, airbag deployed threshold, etc.
25.2Unauthorized access to falsify charging parameters, such as charging voltage, charging power, battery temperature, etc.  </t>
  </si>
  <si>
    <t>DM-02-005</t>
  </si>
  <si>
    <t xml:space="preserve">Due to vulnerabilities such as buffer overflows and backdoors, the integrity of GWmay be compromised, resulting in malicious modification of data or code.  </t>
  </si>
  <si>
    <t>TM-02-005</t>
  </si>
  <si>
    <t>Attackers can tamper with the configuration or memory data of [GW Name].</t>
  </si>
  <si>
    <t>SR-02-005</t>
  </si>
  <si>
    <t>Secure flashing must undergo integrity verification and signature checks. In the event of an upgrade interruption, it should ensure the ability to roll back to the original version.</t>
  </si>
  <si>
    <t>M10、M11 、M7</t>
  </si>
  <si>
    <t>Misuse or compromise of update procedures</t>
  </si>
  <si>
    <t xml:space="preserve">12.2Compromise of local/physical software update procedures. This includes fabricating the system update program or firmware
12.3The software is manipulated before the update process (and is therefore corrupted), although the update process is intact
12.4 Compromise of cryptographic keys of the software provider to allow invalid update
22.2Introduce malicious software or malicious software 
activity </t>
  </si>
  <si>
    <t>DM-02-006</t>
  </si>
  <si>
    <t xml:space="preserve">Due to possible I/O and processing bottlenecks in the communication channel, the availability of GWmay be compromised, resulting in unavailability of functionality or denial of service attacks. </t>
  </si>
  <si>
    <t>Communication channels may have I/O and processing capacity bottlenecks.</t>
  </si>
  <si>
    <t>TM-02-006</t>
  </si>
  <si>
    <t>Attackers can Reucing the availability or performance of the bus by sending a large number of data frames, causing business functions to malfunction.</t>
  </si>
  <si>
    <t>≤1个月(1month)</t>
  </si>
  <si>
    <t>定制(Bespoke)</t>
  </si>
  <si>
    <t>CAL2</t>
  </si>
  <si>
    <t>/</t>
  </si>
  <si>
    <t xml:space="preserve">20 Manipulation of vehicle data/code
24 Disruption of systems or operations
27 Parts or supplies could be compromised to permit vehicles to be attacked </t>
  </si>
  <si>
    <t xml:space="preserve">20.5Unauthorized changes to system diagnostic data
24.1 Denial of service, for example this may be triggered on the internal network by flooding a CAN bus, or by provoking faults on an ECU via a high rate of messaging
27.1Hardware or software, engineered to enable an attack or fails to meet design criteria to stop an attack </t>
  </si>
  <si>
    <t>DM-02-007</t>
  </si>
  <si>
    <t xml:space="preserve">Due to a flaw in the communication protocol, the availability of GWcan be compromised, resulting in unavailability of functionality or denial of service attacks. </t>
  </si>
  <si>
    <t>There are flaws in the communication protocol.</t>
  </si>
  <si>
    <t>TM-02-007</t>
  </si>
  <si>
    <t>Attackers can cause business functions to malfunction by sending a large number of low ID and higher priority data frames.</t>
  </si>
  <si>
    <t>公开信息(Public)</t>
  </si>
  <si>
    <t xml:space="preserve">20 Manipulation of vehicle data/code
24 Disruption of systems or operations
29 Network design introduces vulnerabilities   </t>
  </si>
  <si>
    <t xml:space="preserve">20.5Unauthorized changes to system diagnostic data
24.1 Denial of service, for example this may be triggered on the internal network by flooding a CAN bus, or by provoking faults on an ECU via a high rate of messaging
29.2Circumvent network separation to gain control. Specific example is the use of unprotected gateways, or access points (such as truck-trailer gateways), to circumvent protections and gain access to other network segments to perform malicious acts, such as sending arbitrary CAN bus messages </t>
  </si>
  <si>
    <t>DM-02-008</t>
  </si>
  <si>
    <t>Due to possible I/O and processing bottlenecks in the communication channel, the availability of GWmay be compromised, resulting in unavailability of functionality or denial of service attacks.</t>
  </si>
  <si>
    <t>TM-02-008</t>
  </si>
  <si>
    <t>Attackers can flood GWservices through external ports or debugging interfaces, rendering the services unavailable.</t>
  </si>
  <si>
    <t>The attacker flashes the firmware ofGW through an external interface (such as USB, JTAG interface, OBD) and sends malicious commands or messages to GW.</t>
  </si>
  <si>
    <t>M7、M13</t>
  </si>
  <si>
    <t xml:space="preserve">8 Denial of service attacks via communication channels to disrupt vehicle functions
20 Manipulation of vehicle data/code </t>
  </si>
  <si>
    <t>8.1 Sending a large number of garbage data to vehicle information system, so that it is unable to provide services in the normal manner
20.5Unauthorized changes to system diagnostic data</t>
  </si>
  <si>
    <t>DM-02-009</t>
  </si>
  <si>
    <t xml:space="preserve">Because the device does not verify the source information, the authenticity of GWmay be compromised, resulting in the GW accepting false data from a replicable terminal. </t>
  </si>
  <si>
    <t>The device does not verify the source information.</t>
  </si>
  <si>
    <t>TM-02-009</t>
  </si>
  <si>
    <t>Attackers can deceive the ECU by impersonating others and send malicious data to GW.</t>
  </si>
  <si>
    <t>M7、M10</t>
  </si>
  <si>
    <t xml:space="preserve">6 Communication channels permit untrusted/unreliable messages to be accepted or are vulnerable to session hijacking/replay attacks
20 Manipulation of vehicle data/code     </t>
  </si>
  <si>
    <t xml:space="preserve">6.3 Replay attack, for example an attack against a communication gateway allows the attacker to downgrade software of an ECU or firmware of the gateway
20.4Data manipulation to falsify vehicle’s driving data (e.g. mileage, driving speed, driving directions, etc.) </t>
  </si>
  <si>
    <t>DM-02-010</t>
  </si>
  <si>
    <t>Due to improper setting of CAN access control permissions or risks in the access control mechanism, the authorization of GWmay be damaged, causing the GW to exceed the permission.</t>
  </si>
  <si>
    <t>The permission settings for CAN access control are improper, or the access control mechanism poses risks.</t>
  </si>
  <si>
    <t>TM-02-010</t>
  </si>
  <si>
    <t>Attackers can exploit risks such as pseudo-random numbers or short random numbers to bypass the '27 service' or undifferentiated permissions through brute-force methods, thereby elevating privileges with lower permissions.</t>
  </si>
  <si>
    <t>熟练(Proficient)</t>
  </si>
  <si>
    <t>SR-02-010</t>
  </si>
  <si>
    <t xml:space="preserve">The Seed generated by the ECU must have sufficient randomness with a cut length of no less than 4 bytes to prevent malicious parties from guessing and generating valid keys. </t>
  </si>
  <si>
    <t>M9、M23</t>
  </si>
  <si>
    <t>9 An unprivileged user is able to gain privileged access to vehicle systems
26 Cryptographic technologies can be compromised or are insufficiently applied</t>
  </si>
  <si>
    <t>9.1An unprivileged user is able to gain privileged access, for example root access 
26.1 Combination of short encryption keys and long period of validity enables attacker to break encryption</t>
  </si>
  <si>
    <t>×</t>
  </si>
  <si>
    <t>P001</t>
  </si>
  <si>
    <t>CDC</t>
  </si>
  <si>
    <t>DM-04-001</t>
  </si>
  <si>
    <t xml:space="preserve">Because device identification information and key configurations can be read arbitrarily, the confidentiality of CDC may be damaged, resulting in the disclosure of sensitive CDC information. </t>
  </si>
  <si>
    <t>TM-04-001</t>
  </si>
  <si>
    <t>An attacker gains access to the communication channel (CAN) of the CDC or control rights of other Electronic Control Units (ECUs) within the domain through an external communication channel (such as FMS or OBD interfaces), and then sends malicious commands or messages to the CDC.</t>
  </si>
  <si>
    <t>机密信息(Confidential)</t>
  </si>
  <si>
    <t>容易(Easy)</t>
  </si>
  <si>
    <t>SR-04-001</t>
  </si>
  <si>
    <t>DM-04-002</t>
  </si>
  <si>
    <t>Due to the lack of encryption in the transmission of business communication data, the confidentiality of CDC may be compromised, resulting in the leakage of sensitive information.</t>
  </si>
  <si>
    <t>Business communication data is not transmitted using encrypted channels.</t>
  </si>
  <si>
    <t>TM-04-002</t>
  </si>
  <si>
    <t>Attackers exploit the lack of encryption and reinforcement in app message transmission, utilizing methods like hooking or hijacking to intercept app content and obtain sensitive information.</t>
  </si>
  <si>
    <t>Attackers decompile CDC's applications and analyze the source code to find vulnerabilities or extract sensitive information, thereby developing targeted attack strategies or forging applications.</t>
  </si>
  <si>
    <t>SR-04-002</t>
  </si>
  <si>
    <t>Disable root access accounts and implement security strategies such as obfuscation and reinforcement for APK to protect against decompilation.</t>
  </si>
  <si>
    <t>M9、M10</t>
  </si>
  <si>
    <t>9 An unprivileged user is able to gain privileged access to vehicle systems
12 Misuse or compromise of update procedures</t>
  </si>
  <si>
    <t>9.1 An unprivileged user is able to gain privileged access, for example root access
12.3 The software is manipulated before the update process (and is therefore corrupted), although the update process is intact</t>
  </si>
  <si>
    <t>DM-04-003</t>
  </si>
  <si>
    <t>The lack of access control isolation among business communication data may jeopardize the confidentiality of CDC, resulting in the disclosure of sensitive information.</t>
  </si>
  <si>
    <t>No access control isolation between business communication data.</t>
  </si>
  <si>
    <t>TM-04-003</t>
  </si>
  <si>
    <t>Attackers, with open or ineffectively controlled interfaces like USB, JTAG, UART, access the system and obtain sensitive information.</t>
  </si>
  <si>
    <t>Attackers can access unisolated data channels, intercept or tamper with sensitive information, and then destroy system functions or obtain unauthorized permissions.</t>
  </si>
  <si>
    <t>普通开源(Standard)</t>
  </si>
  <si>
    <t>SR-04-003</t>
  </si>
  <si>
    <t>Implementing effective memory protection mechanisms, including address space isolation and memory access control, is essential to prevent attackers from unauthorized access to or tampering with the memory of components.</t>
  </si>
  <si>
    <t>M7</t>
  </si>
  <si>
    <t>20 Manipulation of vehicle data/code</t>
  </si>
  <si>
    <t>20.4 Data manipulation to falsify vehicle’s driving data (e.g. mileage, driving speed, driving directions, etc.)
20.5 Unauthorized changes to system diagnostic data</t>
  </si>
  <si>
    <t>DM-04-004</t>
  </si>
  <si>
    <t>Due to unrestricted ROOT account login or ineffective access control, the confidentiality of CDC may be compromised, leading to the disclosure of sensitive information.</t>
  </si>
  <si>
    <t>Unrestricted ROOT account login or ineffective access control.</t>
  </si>
  <si>
    <t>TM-04-004</t>
  </si>
  <si>
    <t>Attackers exploit the lack of encryption or reinforcement in app message transmission, using hooking/hijacking methods to intercept app content and obtain sensitive information.</t>
  </si>
  <si>
    <t>Attackers can directly accessCDCthrough these unprotected sensitive services, execute remote commands or gain full control permissions.</t>
  </si>
  <si>
    <t>SR-04-004</t>
  </si>
  <si>
    <t>SSH: Upgrade to a secure version, install corresponding security patches, configure strong password rules, limit login failure strategies, protect SSH remote connection keys, etc. Security personnel should be responsible for updating SSH to a secure version, applying the appropriate patches, and implementing login restrictions to address this threat.
Telnet: Due to the inability of Telnet to ensure security, it is prohibited to use Telnet for login services.
ADB: Disable root access for ADB, configure strong password rules, limit login failure strategies, and prohibit storing passwords in plain text.
Access Control: Set limits on the number of password authentication errors.</t>
  </si>
  <si>
    <t>M7、M11、M22</t>
  </si>
  <si>
    <t>19 Extraction of vehicle data/code
20 Manipulation of vehicle data/code
21 Erasure of data/code
7 Information can be readily disclosed. For example, through eavesdropping on communications or through allowing unauthorized access to sensitive files or folders
1 Back-end servers used as a means to attack a vehicle or extract data
3 Vehicle related data held on back-end servers being lost or compromised ("data breach")
18 Devices connected to external interfaces e.g. USB ports, OBD port, used as a means to attack vehicle systems</t>
  </si>
  <si>
    <t>19.1 Extraction of copyright or proprietary software from vehicle systems (product piracy)
19.2 Unauthorized access to the owner's privacy information such as personal identity, payment account information, address book information, location information, vehicle's electronic ID, etc.
20.2 Identity fraud. For example, if a user wants to display another identity when communicating with toll systems, manufacturer backend
20.5 Unauthorised changes to system diagnostic data
21.1 Unauthorized deletion/manipulation of system event logs
7.2 Gaining unauthorized access to files or data
1.3 &amp; 3.4 Unauthorised physical access to the server (conducted by for example USB sticks or other media connecting to the server) 
19.3 Extraction of cryptographic keys
18.1 External interfaces such as USB or other ports used as a point of attack, for example through code injection</t>
  </si>
  <si>
    <t>DM-04-005</t>
  </si>
  <si>
    <t>Due to USB, JTAG, UART, and other interfaces being left open or having ineffective access control, CDC may be compromised, leading to the leakage of sensitive information.</t>
  </si>
  <si>
    <t>TM-04-005</t>
  </si>
  <si>
    <t>The attacker gains control of the electronic control unit (ECU) of CDC through an external debugging interface (such as USB, JTAG interface, serial port), and then sends malicious commands or messages to CDC.</t>
  </si>
  <si>
    <t>SR-04-005</t>
  </si>
  <si>
    <t>DM-04-006</t>
  </si>
  <si>
    <t xml:space="preserve">Because the communication data is not transmitted encrypted and simple encryption is adopted, the confidentiality of CDCmay be damaged, resulting in the disclosure of sensitive information. </t>
  </si>
  <si>
    <t>Communication data is not encrypted for transmission, employs a simplistic encryption method.</t>
  </si>
  <si>
    <t>TM-04-006</t>
  </si>
  <si>
    <t>The attacker can obtain sensitive information by accessing the USB port.</t>
  </si>
  <si>
    <t>An attacker can insert a malicious USB device into CDC and use the autorun function to execute malicious code, thereby gaining control of the device or stealing sensitive data.</t>
  </si>
  <si>
    <t>18 Devices connected to external interfaces e.g. USB ports, OBD port, used as a means to attack vehicle systems</t>
  </si>
  <si>
    <t>18.1 External interfaces such as USB or other ports used as a point of attack, for example through code injection
18.2 Media infected with a virus connected to a vehicle system</t>
  </si>
  <si>
    <t>DM-04-008</t>
  </si>
  <si>
    <t xml:space="preserve">Due to vulnerabilities such as buffer overflows and backdoors, the integrity of CDCmay be compromised, resulting in malicious modification of CDC data or code. </t>
  </si>
  <si>
    <t>TM-04-008</t>
  </si>
  <si>
    <t>Attackers can tamper with the memory of CDC through diagnostic services, leading to data alterations</t>
  </si>
  <si>
    <t>SR-04-008</t>
  </si>
  <si>
    <t>The diagnostic write operation should have a Level 27 security access restriction to ensure that sensitive operations such as diagnostic write operations can only be executed by authorized tools.
The key generation algorithm must be secure and resistant to cracking or prediction.</t>
  </si>
  <si>
    <t>DM-04-009</t>
  </si>
  <si>
    <t xml:space="preserve">Due to vulnerabilities such as buffer overflows and backdoors, the integrity of CDCmay be compromised, resulting in malicious modification of data or code.  </t>
  </si>
  <si>
    <t>TM-04-009</t>
  </si>
  <si>
    <t>Attackers can tamper with the configuration or memory data of [CDC Name].</t>
  </si>
  <si>
    <t>SR-04-009</t>
  </si>
  <si>
    <t>DM-04-010</t>
  </si>
  <si>
    <t>Due to vulnerabilities such as buffer overflow and backdoors present in the devices, the integrity of CDCmay be compromised, leading to malicious modifications of data or code.</t>
  </si>
  <si>
    <t xml:space="preserve">The device has vulnerabilities such as buffer overflows and backdoors </t>
  </si>
  <si>
    <t>TM-04-010</t>
  </si>
  <si>
    <t>Attackers can tamper with the system through vulnerabilities like buffer overflow and backdoors.</t>
  </si>
  <si>
    <t>Attackers extract and analyze vulnerabilities or sensitive information inCDCfirmware and develop targeted attack strategies to achieve unauthorized access or device control.</t>
  </si>
  <si>
    <t>SR-04-010</t>
  </si>
  <si>
    <t>The program needs to undergo code scanning to disallow the use of dangerous functions such as strcpy, strcat, system, etc.</t>
  </si>
  <si>
    <t>M23</t>
  </si>
  <si>
    <t>28 Software or hardware development permits vulnerabilities</t>
  </si>
  <si>
    <t>28.1 Software bugs. The presence of software bugs can be a basis for potential exploitable vulnerabilities. This is particularly true if software has not been tested to verify that known bad code/bugs is not present and Reucing the risk of unknown bad code/bugs being present</t>
  </si>
  <si>
    <t>DM-04-011</t>
  </si>
  <si>
    <t>Due to the upgrade program or boot program not verifying the firmware integrity, CDC may be compromised, resulting in malicious modifications of asset data or code.</t>
  </si>
  <si>
    <t>Upgrade or boot programs do not verify firmware integrity</t>
  </si>
  <si>
    <t>TM-04-011</t>
  </si>
  <si>
    <t>Attackers exploit flaws in business programs to tamper with system files, leading to a compromise of system integrity.</t>
  </si>
  <si>
    <t>An attacker can directly read the plaintext data of CDC, reverse the key algorithm or forge data, thereby tampering with the device behavior or cracking the encryption algorithm.</t>
  </si>
  <si>
    <t>SR-04-011</t>
  </si>
  <si>
    <t>Key data such as important calibration parameters and algorithm keys in ECU should be encrypted and stored with anti tampering mechanisms.</t>
  </si>
  <si>
    <t>5 Communication channels used to conduct unauthorized manipulation, deletion or other 
amendments to vehicle held code/data</t>
  </si>
  <si>
    <t xml:space="preserve">5.2   Communications channels permit manipulate of 
vehicle held data/code 
5.3Communications channels permit overwrite of vehicle held data/code 
5.4Communications channels permit erasure of vehicle 
held data/code 
5.5Communications channels permit introduction of 
data/code to the vehicle (write data code)  </t>
  </si>
  <si>
    <t>DM-04-012</t>
  </si>
  <si>
    <t xml:space="preserve">Due to possible I/O and processing bottlenecks in the communication channel, the availability of CDCmay be compromised, resulting in unavailability of the CDC or denial of service attacks. </t>
  </si>
  <si>
    <t>TM-04-012</t>
  </si>
  <si>
    <t>20 Manipulation of vehicle data/code
24 Disruption of systems or operations</t>
  </si>
  <si>
    <t>20.5Unauthorized changes to system diagnostic data
24.1 Denial of service, for example this may be triggered on the internal network by flooding a CAN bus, or by provoking faults on an ECU via a high rate of messaging</t>
  </si>
  <si>
    <t>DM-04-013</t>
  </si>
  <si>
    <t>Due to a flaw in the communication protocol, the availability of CDCcan be compromised, resulting in an unavailability of the CDC or a denial of service attack.</t>
  </si>
  <si>
    <t>TM-04-013</t>
  </si>
  <si>
    <t>Disruption of systems or operations</t>
  </si>
  <si>
    <t>Denial of service, for example this may be triggered on the internal network by flooding a CAN bus, or by provoking faults on an ECU via a high rate of messaging</t>
  </si>
  <si>
    <t>DM-04-015</t>
  </si>
  <si>
    <t>Due to the lack of program signature verification, allowing arbitrary installations, the availability of CDCmay be compromised, resulting in non-functional features or denial-of-service attacks.</t>
  </si>
  <si>
    <t xml:space="preserve">If the device does not verify the signature of the program, it can override the installation </t>
  </si>
  <si>
    <t>TM-04-015</t>
  </si>
  <si>
    <t>Attackers can arbitrarily overwrite and install APKs.</t>
  </si>
  <si>
    <t>Attackers replace legitimate applications with malicious versions through ADB or other methods to gain control of CDC, steal data, or perform malicious operations.</t>
  </si>
  <si>
    <t>SR-04-015</t>
  </si>
  <si>
    <t>Unauthorized installation of APKs is prohibited.</t>
  </si>
  <si>
    <t>M21</t>
  </si>
  <si>
    <t>17 Hosted 3rd party software, e.g. entertainment applications, used as a means to attack vehicle systems</t>
  </si>
  <si>
    <t>17.1 Corrupted applications, or those with poor software security, used as a method to attack vehicle systems</t>
  </si>
  <si>
    <t>DM-04-016</t>
  </si>
  <si>
    <t xml:space="preserve">Due to defects in the component, the availability of CDCcan be compromised, resulting in unavailability of functionality or denial of service attacks. </t>
  </si>
  <si>
    <t>The component has defects.</t>
  </si>
  <si>
    <t>TM-04-016</t>
  </si>
  <si>
    <t>The attacker can render USB components unusable through USB vulnerabilities.</t>
  </si>
  <si>
    <t>By inserting a specially crafted USB device intoCDC, an attacker can exploit the driver vulnerability to execute malicious code, elevate privileges, or cause a denial of service on the device.</t>
  </si>
  <si>
    <t>SR-04-016</t>
  </si>
  <si>
    <t>Ensure that USB drivers and programs have no historical vulnerabilities lasting more than six months.</t>
  </si>
  <si>
    <t>Parts or supplies could be compromised to permit vehicles to be attacked</t>
  </si>
  <si>
    <t>Hardware or software, engineered to enable an attack or fails to meet design criteria to stop an attack</t>
  </si>
  <si>
    <t>DM-04-017</t>
  </si>
  <si>
    <t>Due to possible I/O and processing bottlenecks in the communication channel, the availability of CDCmay be compromised, resulting in unavailability of functionality or denial of service attacks.</t>
  </si>
  <si>
    <t>TM-04-017</t>
  </si>
  <si>
    <t>Attackers can flood CDCservices through external ports or debugging interfaces, rendering the services unavailable.</t>
  </si>
  <si>
    <t>The attacker flashes the firmware ofCDC through an external interface (such as USB, JTAG interface, OBD) and sends malicious commands or messages to CDC.</t>
  </si>
  <si>
    <t>SR-04-017</t>
  </si>
  <si>
    <t>Secure booting requires firmware integrity verification and signature checks to ensure that the system has not been compromised.
External services provided by the system must undergo regular checks to ensure the absence of vulnerabilities lasting six months or longer, thereby guaranteeing availability.</t>
  </si>
  <si>
    <t>DM-04-018</t>
  </si>
  <si>
    <t>Because the device does not verify the source information, the authenticity of CDCmay be compromised, resulting in the CDC accepting false data from a replicable terminal</t>
  </si>
  <si>
    <t>TM-04-018</t>
  </si>
  <si>
    <t>Attackers can deceive the ECU by impersonating others and send malicious data to CDC.</t>
  </si>
  <si>
    <t>SR-04-018</t>
  </si>
  <si>
    <t>Preventing replay attacks: Measures must be taken to prevent malicious parties from replaying previously successful combinations of Seed and Key.</t>
  </si>
  <si>
    <t>M7、M10、M9</t>
  </si>
  <si>
    <t>6 Communication channels permit untrusted/unreliable messages to be accepted or are vulnerable to session hijacking/replay attacks
20 Manipulation of vehicle data/code
32 Physical manipulation of systems can enable an attack</t>
  </si>
  <si>
    <t xml:space="preserve">6.3 Replay attack, for example an attack against a communication gateway allows the attacker to downgrade software of an ECU or firmware of the gateway
20.4Data manipulation to falsify vehicle’s driving data (e.g. mileage, driving speed, driving directions, etc.)
32.1Manipulation of electronic hardware, e.g. unauthorized electronic hardware added to a vehicle to enable "man-in-the-middle" attack Replacement of authorized electronic hardware (e.g., sensors) with unauthorized electronic hardware Manipulation of the information collected by a sensor (for example, using a magnet to tamper with the Hall effect sensor connected to the gearbox)  </t>
  </si>
  <si>
    <t>DM-04-019</t>
  </si>
  <si>
    <t>Due to the lack of authentication of message sources or ineffective identity authentication, the authenticity of CDC may be compromised, allowing the asset to accept false data from forged terminals.</t>
  </si>
  <si>
    <t>No authentication for message sources or invalid identity authentication.</t>
  </si>
  <si>
    <t>TM-04-019</t>
  </si>
  <si>
    <t>Attackers take advantage of business logic that fails to authenticate message sources or has authentication flaws, using forgery and deception to invoke core business logic or access critical data.</t>
  </si>
  <si>
    <t>DM-04-021</t>
  </si>
  <si>
    <t>Due to improper setting of CAN access control permissions or risks in the access control mechanism, the authorization of CDCmay be damaged, causing the CDC to exceed the permission.</t>
  </si>
  <si>
    <t>TM-04-021</t>
  </si>
  <si>
    <t>SR-04-021</t>
  </si>
  <si>
    <t>The Seed generated by the ECU must possess sufficient randomness and have a length of no less than 4 bytes to prevent malicious parties from generating valid Keys through guessing.</t>
  </si>
  <si>
    <t>M9、M20</t>
  </si>
  <si>
    <t>DM-04-022</t>
  </si>
  <si>
    <t>Due to the presence of known high-risk and above vulnerabilities in the system, the authorization of CDC may be compromised, resulting in unauthorized actions on the asset.</t>
  </si>
  <si>
    <t>Known high-risk and above-level vulnerabilities exist in the system.</t>
  </si>
  <si>
    <t>TM-04-022</t>
  </si>
  <si>
    <t>Attackers leverage memory corruption vulnerabilities in basic services/libraries/drivers provided by the operating system kernel (such as stack/static data buffer overflow, string format vulnerabilities, out-of-bounds memory access, reuse after free, double-free, incorrect object reference, etc.) to gain system privileges.</t>
  </si>
  <si>
    <t>Attackers identify known, unpatched vulnerabilities onCDCand use publicly available exploit codes or methods to remotely break into systems, gain access rights, perform malicious operations, or conduct further network penetration.</t>
  </si>
  <si>
    <t>SR-04-022</t>
  </si>
  <si>
    <t>The operating system, including the system kernel, drivers, system services, system libraries, and components, should not have backdoors, and there should be no known high-risk security vulnerabilities publicly disclosed for six months or more. Security vulnerability disclosure platforms/institutions include CVE, CNVD, CNNVD, CNCVE, etc.</t>
  </si>
  <si>
    <t>M10、M11 、M7、M23</t>
  </si>
  <si>
    <t xml:space="preserve">12 Misuse or compromise of 
update procedures
22 Introduction of malware 
28 Software or hardware development permits vulnerabilities    </t>
  </si>
  <si>
    <t>12.2 Compromise of local/physical software update procedures. This includes fabricating the system update program or firmware 
12.3 The software is manipulated before the update process (and is therefore corrupted), although the update process is intact
12.4 Compromise of cryptographic keys of the 
software provider to allow invalid update
22.2 Introduce malicious software or malicious software 
activity
28.1 Software bugs. The presence of software bugs can be a basis for potential exploitable vulnerabilities. This is particularly true if software has not been tested to verify that known bad code/bugs is not present and Reucing the risk of unknown bad code/bugs being present</t>
  </si>
  <si>
    <t>DM-04-026</t>
  </si>
  <si>
    <t>Due to improper configuration of system log access controls or the absence of access controls, the non-repudiation of CDC may be compromised, leading to the denial of non-trustworthy behavior.</t>
  </si>
  <si>
    <t>Improperly configured or lacking access control for system log access.</t>
  </si>
  <si>
    <t>TM-04-026</t>
  </si>
  <si>
    <t>Attackers exploit inadequate access controls or the absence of access controls in system logs, tampering with them and compromising the system's non-repudiation.</t>
  </si>
  <si>
    <t>Attackers can obtain internal system information, circumvent security measures, or carry out further attacks by analyzing sensitive information in CDClogs or tampering with log contents.</t>
  </si>
  <si>
    <t>20 Manipulation of vehicle data/code
21 Erasure of data/code</t>
  </si>
  <si>
    <t>20.3 Action to circumvent monitoring systems (e.g. hacking/ tampering/ blocking of messages such as 
ODR Tracker data, or number of runs) 
21.1 Unauthorized deletion/manipulation of 
system event logs</t>
  </si>
  <si>
    <t>P002</t>
  </si>
  <si>
    <t>TBOX</t>
  </si>
  <si>
    <t>DM-03-001</t>
  </si>
  <si>
    <t>Since device identification information and key configurations can be read arbitrarily, the confidentiality of TBOXmay be damaged, resulting in the disclosure of sensitive information.</t>
  </si>
  <si>
    <t>TM-03-001</t>
  </si>
  <si>
    <t>Attackers can bypass directory restrictions through specially crafted path input and access sensitive files on the device, thereby obtaining credentials, executing malicious code, or expanding the scope of the attack.</t>
  </si>
  <si>
    <t>SR-03-001</t>
  </si>
  <si>
    <t>Ensure there are no external read services. If external read services exist, authentication must be guaranteed, and vulnerabilities such as directory traversal must be Avoidingd.</t>
  </si>
  <si>
    <t>M8、M11</t>
  </si>
  <si>
    <t>19 Extraction of vehicle data/code 
7 Information can be readily disclosed. For example, through eavesdropping on communications or through allowing unauthorized access to sensitive files or folders</t>
  </si>
  <si>
    <t>7.2 Gaining unauthorized access to files or data
19.3Extraction of cryptographic keys</t>
  </si>
  <si>
    <t>DM-03-002</t>
  </si>
  <si>
    <t>Due to the exposure of high-risk ports without implementation of access control mechanisms or with inadequate access control mechanisms, the Linux system of TBOX may be compromised, resulting in the leakage of sensitive information.</t>
  </si>
  <si>
    <t>The system has exposed high-risk ports without adequate access control mechanisms.</t>
  </si>
  <si>
    <t>TM-03-002</t>
  </si>
  <si>
    <t>Attackers exploit the system's external port access, utilizing methods such as sniffing and eavesdropping to acquire sensitive information from the system.</t>
  </si>
  <si>
    <t>Attackers exploit open ports on TBOX to gain unauthorized access, execute malicious code, or control the device</t>
  </si>
  <si>
    <t>SR-03-002</t>
  </si>
  <si>
    <t>ECU located on Ethernet should close unnecessary service ports (such as Telnet \ FTP, etc.).</t>
  </si>
  <si>
    <t>M22、M23</t>
  </si>
  <si>
    <t>18 External interfaces such as USB or other ports used as a point of attack, for example through code injection
29 Network design introduces vulnerabilities</t>
  </si>
  <si>
    <t>18.1 Security controls shall be applied to external interfaces
29.1 Superfluous internet ports left open, providing access to network systems</t>
  </si>
  <si>
    <t>DM-03-003</t>
  </si>
  <si>
    <t>Due to the lack of access control isolation between business communication data, TBOX may be compromised, leading to the leakage of sensitive information.</t>
  </si>
  <si>
    <t>TM-03-003</t>
  </si>
  <si>
    <t>Attackers take advantage of the absence of access control and security isolation in the business system logic and related data, using sniffing and eavesdropping techniques to obtain sensitive information from the system.</t>
  </si>
  <si>
    <t>Attackers identify known, unpatched vulnerabilities onTBOXand use publicly available exploit codes or methods to remotely break into systems, gain access rights, perform malicious operations, or conduct further network penetration.</t>
  </si>
  <si>
    <t>SR-03-003</t>
  </si>
  <si>
    <t>The Linux system used by the ECU should undergo a system baseline check, including log, permission, user, and other configurations.</t>
  </si>
  <si>
    <t>DM-03-004</t>
  </si>
  <si>
    <t>Due to USB, JTAG, UART, and other interfaces being left open or having ineffective access control, TBOX may be compromised, leading to the leakage of sensitive information.</t>
  </si>
  <si>
    <t>TM-03-004</t>
  </si>
  <si>
    <t>The attacker gains control of the electronic control unit (ECU) of TBOX through an external debugging interface (such as USB, JTAG interface, serial port), and then sends malicious commands or messages to TBOX.</t>
  </si>
  <si>
    <t>SR-03-004</t>
  </si>
  <si>
    <t>DM-03-005</t>
  </si>
  <si>
    <t xml:space="preserve">Because device identification information and key configurations can be read arbitrarily, the confidentiality of TBOX may be damaged, resulting in the disclosure of sensitive TBOX information. </t>
  </si>
  <si>
    <t>TM-03-005</t>
  </si>
  <si>
    <t>An attacker gains access to the communication channel (CAN) of the TBOX or control rights of other Electronic Control Units (ECUs) within the domain through an external communication channel (such as FMS or OBD interfaces), and then sends malicious commands or messages to the TBOX.</t>
  </si>
  <si>
    <t>SR-03-005</t>
  </si>
  <si>
    <t>DM-03-006</t>
  </si>
  <si>
    <t xml:space="preserve">Because the communication data is not transmitted encrypted and simple encryption is adopted, the confidentiality of TBOXmay be damaged, resulting in the disclosure of sensitive information. </t>
  </si>
  <si>
    <t>TM-03-006</t>
  </si>
  <si>
    <t>An attacker can insert a malicious USB device into TBOX and use the autorun function to execute malicious code, thereby gaining control of the device or stealing sensitive data.</t>
  </si>
  <si>
    <t>7 Information can be readily disclosed. For example, through eavesdropping on communications or through allowing unauthorized access to sensitive files or folders</t>
  </si>
  <si>
    <t>19.3Extraction of cryptographic keys 
7.2 Gaining unauthorized access to files or data
10.1 Virus embedded in communication media infects vehicle systems</t>
  </si>
  <si>
    <t>DM-03-007</t>
  </si>
  <si>
    <t>Due to the existence of known high-risk and above-level vulnerabilities in the system, TBOX may be compromised, resulting in malicious modifications of asset data or code.</t>
  </si>
  <si>
    <t>Known high-risk and above-level vulnerabilities exist in the system</t>
  </si>
  <si>
    <t>TM-03-007</t>
  </si>
  <si>
    <t>Attackers manipulate system files through system vulnerabilities or known vulnerabilities, allowing them to tamper with system files and compromise system integrity.</t>
  </si>
  <si>
    <t>SR-03-007</t>
  </si>
  <si>
    <t>The system and third-party components need to be updated with security patches or upgraded to the latest security version before leaving the factory. There should be no medium to high-risk vulnerabilities that have been publicly released by authoritative vulnerability platforms (such as CVE) for 6 months or more and have not been disposed of.</t>
  </si>
  <si>
    <t xml:space="preserve">12 Misuse or compromise of 
update procedures
22 Introduction of malware 
28 Software or hardware development permits vulnerabilities
12 Misuse or compromise of 
update procedures
22 Introduction of malware 
28 Software or hardware development permits vulnerabilities </t>
  </si>
  <si>
    <t>DM-03-008</t>
  </si>
  <si>
    <t>Due to the upgrade program or boot program not verifying the firmware integrity, TBOX may be compromised, resulting in malicious modifications of asset data or code.</t>
  </si>
  <si>
    <t>TM-03-008</t>
  </si>
  <si>
    <t>An attacker can directly read the plaintext data of TBOX, reverse the key algorithm or forge data, thereby tampering with the device behavior or cracking the encryption algorithm.</t>
  </si>
  <si>
    <t>SR-03-008</t>
  </si>
  <si>
    <t>DM-03-009</t>
  </si>
  <si>
    <t xml:space="preserve">Due to vulnerabilities such as buffer overflows and backdoors, the integrity of TBOXmay be compromised, resulting in malicious modification of data or code. </t>
  </si>
  <si>
    <t>TM-03-009</t>
  </si>
  <si>
    <t>Attackers can tamper with the memory of TBOX through diagnostic services, leading to data alterations</t>
  </si>
  <si>
    <t>SR-03-009</t>
  </si>
  <si>
    <t>DM-03-010</t>
  </si>
  <si>
    <t xml:space="preserve">Due to vulnerabilities such as buffer overflows and backdoors, the integrity of TBOXmay be compromised, resulting in malicious modification of data or code.  </t>
  </si>
  <si>
    <t>TM-03-010</t>
  </si>
  <si>
    <t>Attackers can tamper with the configuration or memory data of [TBOX Name].</t>
  </si>
  <si>
    <t>SR-03-010</t>
  </si>
  <si>
    <t>DM-03-011</t>
  </si>
  <si>
    <t>Due to the existence of known high-risk and above-level vulnerabilities in the system, TBOX may be compromised, resulting in TBOX.</t>
  </si>
  <si>
    <t>TM-03-011</t>
  </si>
  <si>
    <t>SR-03-011</t>
  </si>
  <si>
    <t>The operating system (including system kernel and drivers, system services, system libraries, and system components) should not have backdoors, nor should there be known high-risk security vulnerabilities that have been publicly disclosed for 6 months or more. Security vulnerability information disclosure platform/institutional reference: CVE, CNVD, CNNVD, CNCVE, etc.</t>
  </si>
  <si>
    <t>DM-03-012</t>
  </si>
  <si>
    <t xml:space="preserve">Due to possible I/O and processing bottlenecks in the communication channel, the availability of TBOXmay be compromised, resulting in unavailability of functionality or denial of service attacks.  </t>
  </si>
  <si>
    <t>TM-03-012</t>
  </si>
  <si>
    <t>Attackers can flood theTBOXservice through external ports or debug interfaces, causing the service to become unavailable.</t>
  </si>
  <si>
    <t>SR-03-012</t>
  </si>
  <si>
    <t>Tbox should ensure that devices within the WiFi subnet are prohibited from accessing business ports.</t>
  </si>
  <si>
    <t>M13</t>
  </si>
  <si>
    <t>Denial of service attacks via communication channels to disrupt vehicle functions</t>
  </si>
  <si>
    <t>Sending a large number of garbage data to vehicle information system, so that it is unable to provide services in the normal manner</t>
  </si>
  <si>
    <t>DM-03-013</t>
  </si>
  <si>
    <t xml:space="preserve">Due to defects in the component, the availability of TBOXcan be compromised, resulting in unavailability of functionality or denial of service attacks. </t>
  </si>
  <si>
    <t>TM-03-013</t>
  </si>
  <si>
    <t>By inserting a specially crafted USB device intoTBOX, an attacker can exploit the driver vulnerability to execute malicious code, elevate privileges, or cause a denial of service on the device.</t>
  </si>
  <si>
    <t>SR-03-013</t>
  </si>
  <si>
    <t>Translate from Chinese to English: "Ensure that USB drivers and programs have no historical vulnerabilities lasting more than six months."</t>
  </si>
  <si>
    <t>DM-03-014</t>
  </si>
  <si>
    <t>The availability of TBOX can be compromised due to defective components, leading to functional unavailability or denial of service attacks.</t>
  </si>
  <si>
    <t>TM-03-014</t>
  </si>
  <si>
    <t>Attackers can render GPS unavailable through component vulnerabilities.</t>
  </si>
  <si>
    <t>Attackers can exploit known vulnerabilities to execute malicious code remotely or locally, gain control ofTBOX, or conduct further network attacks.</t>
  </si>
  <si>
    <t>SR-03-014</t>
  </si>
  <si>
    <t>Translate from Chinese to English: "Ensure that relevant components and programs have no historical vulnerabilities lasting more than six months."</t>
  </si>
  <si>
    <t>M13、M20</t>
  </si>
  <si>
    <t xml:space="preserve">8 Denial of service attacks via communication channels to disrupt vehicle functions
16 Manipulation of the connectivity of vehicle functions enables a cyberattack,
this can include telematics; systems that permit remote operations; and systems 
using short range wireless communications    </t>
  </si>
  <si>
    <t xml:space="preserve">8.1 Accepting information from an unreliable or untrusted source
16.3Interference with short range wireless systems or sensors </t>
  </si>
  <si>
    <t>DM-03-015</t>
  </si>
  <si>
    <t xml:space="preserve">Due to possible I/O and processing bottlenecks in the communication channel, the availability of TBOXmay be compromised, resulting in unavailability of the TBOX or denial of service attacks. </t>
  </si>
  <si>
    <t>TM-03-015</t>
  </si>
  <si>
    <t>DM-03-016</t>
  </si>
  <si>
    <t>Due to a flaw in the communication protocol, the availability of TBOXcan be compromised, resulting in an unavailability of the TBOX or a denial of service attack.</t>
  </si>
  <si>
    <t>TM-03-016</t>
  </si>
  <si>
    <t>DM-03-017</t>
  </si>
  <si>
    <t>Due to possible I/O and processing bottlenecks in the communication channel, the availability of TBOXmay be compromised, resulting in unavailability of functionality or denial of service attacks.</t>
  </si>
  <si>
    <t>TM-03-017</t>
  </si>
  <si>
    <t>Attackers can flood TBOXservices through external ports or debugging interfaces, rendering the services unavailable.</t>
  </si>
  <si>
    <t>The attacker flashes the firmware ofTBOX through an external interface (such as USB, JTAG interface, OBD) and sends malicious commands or messages to TBOX.</t>
  </si>
  <si>
    <t>DM-03-018</t>
  </si>
  <si>
    <t xml:space="preserve">Because the device does not verify the source information, the authenticity of TBOXmay be compromised, resulting in the TBOX accepting false data from a replicable terminal.  </t>
  </si>
  <si>
    <t>TM-03-018</t>
  </si>
  <si>
    <t>Attackers can impersonate an ECU to send malicious messages toTBOX.</t>
  </si>
  <si>
    <t>The attacker intercepts the communication traffic betweenTBOX and the cloud through USB or other means, forges the ECU or cloud platform to send malicious messages toTBOX</t>
  </si>
  <si>
    <t>SR-03-018</t>
  </si>
  <si>
    <t>TBox should communicate with the cloud using TLS v1.2 or above security communication protocol, and employ mutual authentication.</t>
  </si>
  <si>
    <t>DM-03-019</t>
  </si>
  <si>
    <t>Because the device does not verify the source information, the authenticity of TBOXmay be compromised, resulting in the TBOX accepting false data from a replicable terminal</t>
  </si>
  <si>
    <t>TM-03-019</t>
  </si>
  <si>
    <t>Attackers can deceive the ECU by impersonating others and send malicious data to TBOX.</t>
  </si>
  <si>
    <t>DM-03-020</t>
  </si>
  <si>
    <t>Due to the upgrade program or boot program not verifying the firmware source, TBOX may be compromised, resulting in the use of counterfeit data referenced by assets.</t>
  </si>
  <si>
    <t>Upgrade or boot programs do not verify firmware source</t>
  </si>
  <si>
    <t>TM-03-020</t>
  </si>
  <si>
    <t>Attackers exploit business program flaws to alter system authentication or implant backdoors to gain system privileges.</t>
  </si>
  <si>
    <t>Attackers extract and analyze vulnerabilities or sensitive information inTBOXfirmware and develop targeted attack strategies to achieve unauthorized access or device control.</t>
  </si>
  <si>
    <t>SR-03-020</t>
  </si>
  <si>
    <t>Application business code should undergo static code scanning (scanning scheme can be MISRA or CERT) to address security issues such as memory, command injection, stack overflow, etc.</t>
  </si>
  <si>
    <t>M19</t>
  </si>
  <si>
    <t>15 Legitimate actors are able to take actions that would unwittingly facilitate a cyberattack</t>
  </si>
  <si>
    <t>15.2 Defined security procedures are not followed</t>
  </si>
  <si>
    <t>DM-03-021</t>
  </si>
  <si>
    <t>Due to improper setting of CAN access control permissions or risks in the access control mechanism, the authorization of TBOXmay be damaged, causing the TBOX to exceed the permission.</t>
  </si>
  <si>
    <t>TM-03-021</t>
  </si>
  <si>
    <t>SR-03-021</t>
  </si>
  <si>
    <t>DM-03-022</t>
  </si>
  <si>
    <t>Due to improper permission Settings for external access control or risks in the access control mechanism, the authorization of TBOXmay be damaged, causing the TBOX to exceed the permission.</t>
  </si>
  <si>
    <t>The permission settings for external access control are improper, or the access control mechanism poses risks.</t>
  </si>
  <si>
    <t>TM-03-022</t>
  </si>
  <si>
    <t>Attackers can exploit control services present on external access points (such as WIFI, USB, etc.) to escalate privileges.</t>
  </si>
  <si>
    <t>By bypassing or brute-forcing the login mechanism, an attacker can gain unauthorized access and take control of TBOX or steal sensitive information.</t>
  </si>
  <si>
    <t>SR-03-022</t>
  </si>
  <si>
    <t>TBox's external services must ensure authentication before use, with keys requiring certificate verification or a combination of 8 or more characters comprising letters, numbers, and special symbols.
If TBox's USB interface hosts a login service, it should utilize certificate verification or a combination of 8 or more characters consisting of letters, numbers, and special symbols. Additionally, it should restrict recognition to specified file types.</t>
  </si>
  <si>
    <t>M7、M8、M23</t>
  </si>
  <si>
    <t>7 Information can be readily disclosed. For example, through eavesdropping on communications or through allowing unauthorized access to sensitive files or folders
26 Cryptographic technologies can be compromised or are insufficiently applied
21 Erasure of data/code</t>
  </si>
  <si>
    <t>7.2Gaining unauthorized access to files or data 
26.1 Combination of short encryption keys and long period of validity enables attacker to break encryption
21.1 Unauthorized deletion/manipulation of system event logs</t>
  </si>
  <si>
    <t>DM-03-023</t>
  </si>
  <si>
    <t>Due to improper configuration of system log access control or lack of access control, TBOX may be compromised, resulting in denial of non-trustworthy behaviors.</t>
  </si>
  <si>
    <t>TM-03-023</t>
  </si>
  <si>
    <t>Attackers can evade detection and maintain control of devices by tampering with, deleting, or falsifying log records to conceal malicious activity.</t>
  </si>
  <si>
    <t>DM-03-024</t>
  </si>
  <si>
    <t>Because system logs can be modified by any permission, the non-repudiation of TBOXmay be damaged, causing the TBOX to fail to identify the source of the attack.</t>
  </si>
  <si>
    <t>System logs can be modified with arbitrary permissions.</t>
  </si>
  <si>
    <t>TM-03-024</t>
  </si>
  <si>
    <t>Attackers can deny system behavior by engaging in undetectable attack activities or tampering with system security logs.</t>
  </si>
  <si>
    <t>Attackers can obtain internal system information, circumvent security measures, or carry out further attacks by analyzing sensitive information in TBOXlogs or tampering with log contents.</t>
  </si>
  <si>
    <t>20 Manipulation of vehicle data/code
21 Erasure of data/code</t>
  </si>
  <si>
    <t>20.3 Action to circumvent monitoring systems (e.g. hacking/ tampering/ blocking of messages such as 
ODR Tracker data, or number of runs) 
21.1 Unauthorized deletion/manipulation of system event logs</t>
  </si>
  <si>
    <t>P003</t>
  </si>
  <si>
    <t>AVM</t>
  </si>
  <si>
    <t>DM-01-001</t>
  </si>
  <si>
    <t xml:space="preserve">Because device identification information and key configurations can be read arbitrarily, the confidentiality of AVM may be damaged, resulting in the disclosure of sensitive AVM information. </t>
  </si>
  <si>
    <t>TM-01-001</t>
  </si>
  <si>
    <t>An attacker gains access to the communication channel (CAN) of the AVM or control rights of other Electronic Control Units (ECUs) within the domain through an external communication channel (such as FMS or OBD interfaces), and then sends malicious commands or messages to the AVM.</t>
  </si>
  <si>
    <t>SR-01-001</t>
  </si>
  <si>
    <t>Develop and implement network security or quality management reward and punishment system, promote network security awareness training, and improve internal staff compliance awareness.
After authentication, external devices can access only the services with corresponding permissions.</t>
  </si>
  <si>
    <t>DM-01-002</t>
  </si>
  <si>
    <t>Due to USB, JTAG, UART, and other interfaces being left open or having ineffective access control, AVM may be compromised, leading to the leakage of sensitive information.</t>
  </si>
  <si>
    <t>TM-01-002</t>
  </si>
  <si>
    <t>The attacker gains control of the electronic control unit (ECU) of AVM through an external debugging interface (such as USB, JTAG interface, serial port), and then sends malicious commands or messages to AVM.</t>
  </si>
  <si>
    <t>SR-01-002</t>
  </si>
  <si>
    <t>Hardware interface covering UART, JTAG, USB, SWD, DAP, custom debugging contact, Goldfinger and so on.
The ECU prohibits the existence of backdoors or hidden interfaces that vendors reserve during the development phase.</t>
  </si>
  <si>
    <t>DM-01-003</t>
  </si>
  <si>
    <t xml:space="preserve">Due to vulnerabilities such as buffer overflows and backdoors, the integrity of AVMmay be compromised, resulting in malicious modification of AVM data or code. </t>
  </si>
  <si>
    <t>TM-01-003</t>
  </si>
  <si>
    <t>Attackers can tamper with the memory of AVM through diagnostic services, leading to data alterations</t>
  </si>
  <si>
    <t>SR-01-003</t>
  </si>
  <si>
    <t>Diagnostic write operations should have security access restrictions such as 27 to ensure that sensitive operations such as diagnostic write operations can only be performed by authorized tools.</t>
  </si>
  <si>
    <t>DM-01-004</t>
  </si>
  <si>
    <t xml:space="preserve">Due to vulnerabilities such as buffer overflows and backdoors, the integrity of AVMmay be compromised, resulting in malicious modification of data or code.  </t>
  </si>
  <si>
    <t>TM-01-004</t>
  </si>
  <si>
    <t>Attackers can tamper with the configuration or memory data of [AVM Name].</t>
  </si>
  <si>
    <t>SR-01-004</t>
  </si>
  <si>
    <t>Integrity verification and signature verification are required for secure write. When an upgrade is interrupted, ensure that the system can be rolled back to the original version.</t>
  </si>
  <si>
    <t>DM-01-006</t>
  </si>
  <si>
    <t>Due to a flaw in the communication protocol, the availability of AVMcan be compromised, resulting in an unavailability of the AVM or a denial of service attack.</t>
  </si>
  <si>
    <t>TM-01-006</t>
  </si>
  <si>
    <t>DM-01-007</t>
  </si>
  <si>
    <t>Because the device does not verify the source information, the authenticity of AVMmay be compromised, resulting in the AVM accepting false data from a replicable terminal</t>
  </si>
  <si>
    <t>TM-01-007</t>
  </si>
  <si>
    <t>Attackers can deceive the ECU by impersonating others and send malicious data to AVM.</t>
  </si>
  <si>
    <t>DM-01-008</t>
  </si>
  <si>
    <t>Due to improper setting of CAN access control permissions or risks in the access control mechanism, the authorization of AVMmay be damaged, causing the AVM to exceed the permission.</t>
  </si>
  <si>
    <t>TM-01-008</t>
  </si>
  <si>
    <t>SR-01-008</t>
  </si>
  <si>
    <t>The Seed generated by the ECU must be sufficiently random and no less than 4 bytes long to prevent a malicious party from guessing to generate a valid Key.</t>
  </si>
  <si>
    <t>P004</t>
  </si>
  <si>
    <t>Tachograph</t>
  </si>
  <si>
    <t>DM-06-001</t>
  </si>
  <si>
    <t>Due to USB, JTAG, UART, and other interfaces being left open or having ineffective access control, Tachograph may be compromised, leading to the leakage of sensitive information.</t>
  </si>
  <si>
    <t>TM-06-001</t>
  </si>
  <si>
    <t>The attacker gains control of the electronic control unit (ECU) of Tachograph through an external debugging interface (such as USB, JTAG interface, serial port), and then sends malicious commands or messages to Tachograph.</t>
  </si>
  <si>
    <t>DM-06-002</t>
  </si>
  <si>
    <t>Due to the potential interception of communication channels, the integrity of Tachographmay be compromised, resulting in malicious alterations to data or code.</t>
  </si>
  <si>
    <t>The communication channel can be hijacked.</t>
  </si>
  <si>
    <t>TM-06-002</t>
  </si>
  <si>
    <t>Attackers can tamper with CAN communication data frames.</t>
  </si>
  <si>
    <t>An attacker gains access to the communication channel (CAN) of the Tachograph or control rights of other Electronic Control Units (ECUs) within the domain through an external communication channel (such as FMS or OBD interfaces), and then sends malicious commands or messages to the Tachograph.</t>
  </si>
  <si>
    <t>信息公开性</t>
  </si>
  <si>
    <t>困难(Difficult/None)</t>
  </si>
  <si>
    <t>X</t>
  </si>
  <si>
    <t>DM-06-004</t>
  </si>
  <si>
    <t>The network security attribute [Availability] is not applicable to this Tachograph.</t>
  </si>
  <si>
    <t>P005</t>
  </si>
  <si>
    <t>PAS</t>
  </si>
  <si>
    <t xml:space="preserve">Because device identification information and key configurations can be read arbitrarily, the confidentiality of PAS may be damaged, resulting in the disclosure of sensitive PAS information. </t>
  </si>
  <si>
    <t>An attacker gains access to the communication channel (CAN) of the PAS or control rights of other Electronic Control Units (ECUs) within the domain through an external communication channel (such as FMS or OBD interfaces), and then sends malicious commands or messages to the PAS.</t>
  </si>
  <si>
    <t>Due to USB, JTAG, UART, and other interfaces being left open or having ineffective access control, PAS may be compromised, leading to the leakage of sensitive information.</t>
  </si>
  <si>
    <t>The attacker gains control of the electronic control unit (ECU) of PAS through an external debugging interface (such as USB, JTAG interface, serial port), and then sends malicious commands or messages to PAS.</t>
  </si>
  <si>
    <t xml:space="preserve">Due to vulnerabilities such as buffer overflows and backdoors, the integrity of PASmay be compromised, resulting in malicious modification of PAS data or code. </t>
  </si>
  <si>
    <t>Attackers can tamper with the memory of PAS through diagnostic services, leading to data alterations</t>
  </si>
  <si>
    <t xml:space="preserve">Due to vulnerabilities such as buffer overflows and backdoors, the integrity of PASmay be compromised, resulting in malicious modification of data or code.  </t>
  </si>
  <si>
    <t>Attackers can tamper with the configuration or memory data of [PAS Name].</t>
  </si>
  <si>
    <t>Due to a flaw in the communication protocol, the availability of PAScan be compromised, resulting in an unavailability of the PAS or a denial of service attack.</t>
  </si>
  <si>
    <t>Because the device does not verify the source information, the authenticity of PASmay be compromised, resulting in the PAS accepting false data from a replicable terminal</t>
  </si>
  <si>
    <t>Attackers can deceive the ECU by impersonating others and send malicious data to PAS.</t>
  </si>
  <si>
    <t>Due to improper setting of CAN access control permissions or risks in the access control mechanism, the authorization of PASmay be damaged, causing the PAS to exceed the permission.</t>
  </si>
  <si>
    <t>P006</t>
  </si>
  <si>
    <t>ECS1</t>
  </si>
  <si>
    <t>Due to USB, JTAG, UART, and other interfaces being left open or having ineffective access control, ECS1 may be compromised, leading to the leakage of sensitive information.</t>
  </si>
  <si>
    <t>The attacker gains control of the electronic control unit (ECU) of ECS1 through an external debugging interface (such as USB, JTAG interface, serial port), and then sends malicious commands or messages to ECS1.</t>
  </si>
  <si>
    <t>Due to the potential interception of communication channels, the integrity of ECS1may be compromised, resulting in malicious alterations to data or code.</t>
  </si>
  <si>
    <t>An attacker gains access to the communication channel (CAN) of the ECS1 or control rights of other Electronic Control Units (ECUs) within the domain through an external communication channel (such as FMS or OBD interfaces), and then sends malicious commands or messages to the ECS1.</t>
  </si>
  <si>
    <t>DM-06-003</t>
  </si>
  <si>
    <t xml:space="preserve">Due to vulnerabilities such as buffer overflows and backdoors, the integrity of ECS1may be compromised, resulting in malicious modification of data or code.  </t>
  </si>
  <si>
    <t>TM-06-003</t>
  </si>
  <si>
    <t>Attackers can tamper with the configuration or memory data of [ECS1 Name].</t>
  </si>
  <si>
    <t>The network security attribute [Availability] is not applicable to this ECS1.</t>
  </si>
  <si>
    <t>DM-06-005</t>
  </si>
  <si>
    <t>Due to components failing to verify source information, the authenticity of ECS1may be compromised, allowing the ECS1 to accept false data sent from imitated terminals.</t>
  </si>
  <si>
    <t>The component has not verified the source information.</t>
  </si>
  <si>
    <t>TM-06-005</t>
  </si>
  <si>
    <t>Attackers can cause abnormal responses in driving functions by replaying CAN messages through the replay channel.</t>
  </si>
  <si>
    <t>Communication channels permit untrusted/unreliable messages to be accepted or are vulnerable to session hijacking/replay attacks</t>
  </si>
  <si>
    <t>Replay attack, for example an attack against a communication gateway allows the attacker to downgrade software of an ECU or firmware of the gateway</t>
  </si>
  <si>
    <t>P007</t>
  </si>
  <si>
    <t>ECS2</t>
  </si>
  <si>
    <t>Due to USB, JTAG, UART, and other interfaces being left open or having ineffective access control, ECS2 may be compromised, leading to the leakage of sensitive information.</t>
  </si>
  <si>
    <t>The attacker gains control of the electronic control unit (ECU) of ECS2 through an external debugging interface (such as USB, JTAG interface, serial port), and then sends malicious commands or messages to ECS2.</t>
  </si>
  <si>
    <t>Due to the potential interception of communication channels, the integrity of ECS2may be compromised, resulting in malicious alterations to data or code.</t>
  </si>
  <si>
    <t>An attacker gains access to the communication channel (CAN) of the ECS2 or control rights of other Electronic Control Units (ECUs) within the domain through an external communication channel (such as FMS or OBD interfaces), and then sends malicious commands or messages to the ECS2.</t>
  </si>
  <si>
    <t xml:space="preserve">Due to vulnerabilities such as buffer overflows and backdoors, the integrity of ECS2may be compromised, resulting in malicious modification of data or code.  </t>
  </si>
  <si>
    <t>Attackers can tamper with the configuration or memory data of [ECS2 Name].</t>
  </si>
  <si>
    <t>The network security attribute [Availability] is not applicable to this ECS2.</t>
  </si>
  <si>
    <t>Due to components failing to verify source information, the authenticity of ECS2may be compromised, allowing the ECS2 to accept false data sent from imitated terminals.</t>
  </si>
  <si>
    <t>P008</t>
  </si>
  <si>
    <t>ADAS</t>
  </si>
  <si>
    <t xml:space="preserve">Because device identification information and key configurations can be read arbitrarily, the confidentiality of ADAS may be damaged, resulting in the disclosure of sensitive ADAS information. </t>
  </si>
  <si>
    <t>An attacker gains access to the communication channel (CAN) of the ADAS or control rights of other Electronic Control Units (ECUs) within the domain through an external communication channel (such as FMS or OBD interfaces), and then sends malicious commands or messages to the ADAS.</t>
  </si>
  <si>
    <t>Due to USB, JTAG, UART, and other interfaces being left open or having ineffective access control, ADAS may be compromised, leading to the leakage of sensitive information.</t>
  </si>
  <si>
    <t>The attacker gains control of the electronic control unit (ECU) of ADAS through an external debugging interface (such as USB, JTAG interface, serial port), and then sends malicious commands or messages to ADAS.</t>
  </si>
  <si>
    <t xml:space="preserve">Due to vulnerabilities such as buffer overflows and backdoors, the integrity of ADASmay be compromised, resulting in malicious modification of ADAS data or code. </t>
  </si>
  <si>
    <t>Attackers can tamper with the memory of ADAS through diagnostic services, leading to data alterations</t>
  </si>
  <si>
    <t xml:space="preserve">Due to vulnerabilities such as buffer overflows and backdoors, the integrity of ADASmay be compromised, resulting in malicious modification of data or code.  </t>
  </si>
  <si>
    <t>Attackers can tamper with the configuration or memory data of [ADAS Name].</t>
  </si>
  <si>
    <t>Due to a flaw in the communication protocol, the availability of ADAScan be compromised, resulting in an unavailability of the ADAS or a denial of service attack.</t>
  </si>
  <si>
    <t>Because the device does not verify the source information, the authenticity of ADASmay be compromised, resulting in the ADAS accepting false data from a replicable terminal</t>
  </si>
  <si>
    <t>Attackers can deceive the ECU by impersonating others and send malicious data to ADAS.</t>
  </si>
  <si>
    <t>Due to improper setting of CAN access control permissions or risks in the access control mechanism, the authorization of ADASmay be damaged, causing the ADAS to exceed the permission.</t>
  </si>
  <si>
    <t>P009</t>
  </si>
  <si>
    <t>VCM</t>
  </si>
  <si>
    <t>Due to improper system configuration and defects, the confidentiality of VCM may be compromised, resulting in the leakage of sensitive information.</t>
  </si>
  <si>
    <t>There are defects due to improper system configuration.</t>
  </si>
  <si>
    <t>Attackers exploit system configuration flaws to access sensitive system log information or perform other unauthorized operations.</t>
  </si>
  <si>
    <t>After entering the VCM system through usb, Ethernet or other means, attackers take advantage of improper permission configuration of the system to obtain high permissions for further attacks, or perform operations such as obtaining sensitive information.</t>
  </si>
  <si>
    <t>The operating system should conduct a system baseline check, including configurations such as logs, permissions, and users.</t>
  </si>
  <si>
    <t>20.3 Action to circumvent monitoring systems (e.g. hacking/ tampering/ blocking of messages such as 
ODR Tracker data, or number of runs) 
21.1 Unauthorized deletion/manipulation of 
system event logs</t>
  </si>
  <si>
    <t>Due to USB, JTAG, UART, and other interfaces being left open or having ineffective access control, VCM may be compromised, leading to the leakage of sensitive information.</t>
  </si>
  <si>
    <t>The attacker gains control of the electronic control unit (ECU) of VCM through an external debugging interface (such as USB, JTAG interface, serial port), and then sends malicious commands or messages to VCM.</t>
  </si>
  <si>
    <t>The hardware interfaces cover UART, JTAG, USB, SWD, DAP, custom debug contacts, gold fingers, etc. The ECU must not have backdoors or hidden interfaces reserved by the supplier during the development stage, and there must be no silk-screened information of chip pins and PCB debug pins.</t>
  </si>
  <si>
    <t xml:space="preserve">Due to vulnerabilities such as buffer overflows and backdoors, the integrity of VCMmay be compromised, resulting in malicious modification of data or code.  </t>
  </si>
  <si>
    <t>Attackers can tamper with the configuration or memory data of [VCM Name].</t>
  </si>
  <si>
    <t>An attacker gains access to the communication channel (CAN) of the VCM or control rights of other Electronic Control Units (ECUs) within the domain through an external communication channel (such as FMS or OBD interfaces), and then sends malicious commands or messages to the VCM.</t>
  </si>
  <si>
    <t>Security flashing requires integrity verification and signature verification. In case of upgrade interruption, it is necessary to ensure that it can be rolled back to the original version.</t>
  </si>
  <si>
    <t>Due to the automatic operation of malicious programs on the device, the availability of VCM has been compromised, resulting in the malicious modification of data or code.</t>
  </si>
  <si>
    <t>Malicious programs run automatically on the device.</t>
  </si>
  <si>
    <t>Attackers can tamper with the configuration or memory data of VCM by running programs.</t>
  </si>
  <si>
    <t>An attacker can insert a malicious USB device into VCM and use the autorun function to execute malicious code, thereby gaining control of the device or stealing sensitive data.</t>
  </si>
  <si>
    <t>Disable the automatic operation function of USB connection to prevent unauthorized scripts or malicious software from automatically installing and running.</t>
  </si>
  <si>
    <t>M8、M11、M14</t>
  </si>
  <si>
    <t>DM-01-005</t>
  </si>
  <si>
    <t>Due to a Due to the existence of known high-risk or above vulnerabilities in the system, the authorization of VCM may be compromised, leading to over-authorized behavior of assets.flaw in the communication protocol, the availability of VCMcan be compromised, resulting in an unavailability of the VCM or a denial of service attack.</t>
  </si>
  <si>
    <t>The system has known vulnerabilities above high risk.</t>
  </si>
  <si>
    <t>TM-01-005</t>
  </si>
  <si>
    <t>There should be no medium- and high-risk vulnerabilities that have been publicly released by authoritative vulnerability platforms (such as CVE) for 6 months or more and have not been addressed, to prevent attackers from exploiting memory corruption vulnerabilities (such as stack, static data area buffer overflow, string format, out-of-bounds memory access, use after release, secondary release, incorrect object reference, etc.) in the basic services, libraries, and drivers provided by the operating system kernel to obtain system permissions.</t>
  </si>
  <si>
    <t>SR-01-005</t>
  </si>
  <si>
    <t>The operating system should not have known high-risk security vulnerabilities that have been publicly disclosed for six months or more.</t>
  </si>
  <si>
    <t>M10、M11 、M7、M23</t>
  </si>
  <si>
    <t xml:space="preserve">12 Misuse or compromise of 
update procedures
22 Introduction of malware 
28 Software or hardware development permits vulnerabilities
</t>
  </si>
  <si>
    <t>12.2 Compromise of local/physical software update procedures. This includes fabricating the system update program or firmware 
12.3 The software is manipulated before the update process (and is therefore corrupted), although the update process is intact
12.4 Compromise of cryptographic keys of the 
software provider to allow invalid update
22.2 Introduce malicious software or malicious software 
activity
28.1 Software bugs. The presence of software bugs can be a basis for potential exploitable vulnerabilities. This is particularly true if software has not been tested to verify that known bad code/bugs is not present and reduce the risk of unknown bad code/bugs being present</t>
  </si>
  <si>
    <t>P010</t>
  </si>
  <si>
    <t>SM</t>
  </si>
  <si>
    <t xml:space="preserve">Because device identification information and key configurations can be read arbitrarily, the confidentiality of SM may be damaged, resulting in the disclosure of sensitive SM information. </t>
  </si>
  <si>
    <t>An attacker gains access to the communication channel (CAN) of the SM or control rights of other Electronic Control Units (ECUs) within the domain through an external communication channel (such as FMS or OBD interfaces), and then sends malicious commands or messages to the SM.</t>
  </si>
  <si>
    <t>Due to USB, JTAG, UART, and other interfaces being left open or having ineffective access control, SM may be compromised, leading to the leakage of sensitive information.</t>
  </si>
  <si>
    <t>The attacker gains control of the electronic control unit (ECU) of SM through an external debugging interface (such as USB, JTAG interface, serial port), and then sends malicious commands or messages to SM.</t>
  </si>
  <si>
    <t xml:space="preserve">Due to vulnerabilities such as buffer overflows and backdoors, the integrity of SMmay be compromised, resulting in malicious modification of SM data or code. </t>
  </si>
  <si>
    <t>Attackers can tamper with the memory of SM through diagnostic services, leading to data alterations</t>
  </si>
  <si>
    <t xml:space="preserve">Due to vulnerabilities such as buffer overflows and backdoors, the integrity of SMmay be compromised, resulting in malicious modification of data or code.  </t>
  </si>
  <si>
    <t>Attackers can tamper with the configuration or memory data of [SM Name].</t>
  </si>
  <si>
    <t>Due to a flaw in the communication protocol, the availability of SMcan be compromised, resulting in an unavailability of the SM or a denial of service attack.</t>
  </si>
  <si>
    <t>Because the device does not verify the source information, the authenticity of SMmay be compromised, resulting in the SM accepting false data from a replicable terminal</t>
  </si>
  <si>
    <t>Attackers can deceive the ECU by impersonating others and send malicious data to SM.</t>
  </si>
  <si>
    <t>Due to improper setting of CAN access control permissions or risks in the access control mechanism, the authorization of SMmay be damaged, causing the SM to exceed the permission.</t>
  </si>
  <si>
    <t>P011</t>
  </si>
  <si>
    <t>RLS</t>
  </si>
  <si>
    <t>Due to USB, JTAG, UART, and other interfaces being left open or having ineffective access control, RLS may be compromised, leading to the leakage of sensitive information.</t>
  </si>
  <si>
    <t>The attacker gains control of the electronic control unit (ECU) of RLS through an external debugging interface (such as USB, JTAG interface, serial port), and then sends malicious commands or messages to RLS.</t>
  </si>
  <si>
    <t>SR-06-001</t>
  </si>
  <si>
    <t>Due to the potential interception of communication channels, the integrity of RLSmay be compromised, resulting in malicious alterations to data or code.</t>
  </si>
  <si>
    <t>An attacker gains access to the communication channel (CAN) of the RLS or control rights of other Electronic Control Units (ECUs) within the domain through an external communication channel (such as FMS or OBD interfaces), and then sends malicious commands or messages to the RLS.</t>
  </si>
  <si>
    <t>The network security attribute [Availability] is not applicable to this RLS.</t>
  </si>
  <si>
    <t>P012</t>
  </si>
  <si>
    <t>AVAS</t>
  </si>
  <si>
    <t xml:space="preserve">Because device identification information and key configurations can be read arbitrarily, the confidentiality of AVAS may be damaged, resulting in the disclosure of sensitive AVAS information. </t>
  </si>
  <si>
    <t>An attacker gains access to the communication channel (CAN) of the AVAS or control rights of other Electronic Control Units (ECUs) within the domain through an external communication channel (such as FMS or OBD interfaces), and then sends malicious commands or messages to the AVAS.</t>
  </si>
  <si>
    <t>Due to USB, JTAG, UART, and other interfaces being left open or having ineffective access control, AVAS may be compromised, leading to the leakage of sensitive information.</t>
  </si>
  <si>
    <t>The attacker gains control of the electronic control unit (ECU) of AVAS through an external debugging interface (such as USB, JTAG interface, serial port), and then sends malicious commands or messages to AVAS.</t>
  </si>
  <si>
    <t xml:space="preserve">Due to vulnerabilities such as buffer overflows and backdoors, the integrity of AVASmay be compromised, resulting in malicious modification of AVAS data or code. </t>
  </si>
  <si>
    <t>Attackers can tamper with the memory of AVAS through diagnostic services, leading to data alterations</t>
  </si>
  <si>
    <t xml:space="preserve">Due to vulnerabilities such as buffer overflows and backdoors, the integrity of AVASmay be compromised, resulting in malicious modification of data or code.  </t>
  </si>
  <si>
    <t>Attackers can tamper with the configuration or memory data of [AVAS Name].</t>
  </si>
  <si>
    <t>Due to a flaw in the communication protocol, the availability of AVAScan be compromised, resulting in an unavailability of the AVAS or a denial of service attack.</t>
  </si>
  <si>
    <t>Because the device does not verify the source information, the authenticity of AVASmay be compromised, resulting in the AVAS accepting false data from a replicable terminal</t>
  </si>
  <si>
    <t>Attackers can deceive the ECU by impersonating others and send malicious data to AVAS.</t>
  </si>
  <si>
    <t>Due to improper setting of CAN access control permissions or risks in the access control mechanism, the authorization of AVASmay be damaged, causing the AVAS to exceed the permission.</t>
  </si>
  <si>
    <t>P013</t>
  </si>
  <si>
    <t>TPMS</t>
  </si>
  <si>
    <t xml:space="preserve">Because device identification information and key configurations can be read arbitrarily, the confidentiality of TPMS may be damaged, resulting in the disclosure of sensitive TPMS information. </t>
  </si>
  <si>
    <t>An attacker gains access to the communication channel (CAN) of the TPMS or control rights of other Electronic Control Units (ECUs) within the domain through an external communication channel (such as FMS or OBD interfaces), and then sends malicious commands or messages to the TPMS.</t>
  </si>
  <si>
    <t>Due to USB, JTAG, UART, and other interfaces being left open or having ineffective access control, TPMS may be compromised, leading to the leakage of sensitive information.</t>
  </si>
  <si>
    <t>The attacker gains control of the electronic control unit (ECU) of TPMS through an external debugging interface (such as USB, JTAG interface, serial port), and then sends malicious commands or messages to TPMS.</t>
  </si>
  <si>
    <t xml:space="preserve">Due to vulnerabilities such as buffer overflows and backdoors, the integrity of TPMSmay be compromised, resulting in malicious modification of TPMS data or code. </t>
  </si>
  <si>
    <t>Attackers can tamper with the memory of TPMS through diagnostic services, leading to data alterations</t>
  </si>
  <si>
    <t xml:space="preserve">Due to vulnerabilities such as buffer overflows and backdoors, the integrity of TPMSmay be compromised, resulting in malicious modification of data or code.  </t>
  </si>
  <si>
    <t>Attackers can tamper with the configuration or memory data of [TPMS Name].</t>
  </si>
  <si>
    <t>Due to a flaw in the communication protocol, the availability of TPMScan be compromised, resulting in an unavailability of the TPMS or a denial of service attack.</t>
  </si>
  <si>
    <t>Because the device does not verify the source information, the authenticity of TPMSmay be compromised, resulting in the TPMS accepting false data from a replicable terminal</t>
  </si>
  <si>
    <t>Attackers can deceive the ECU by impersonating others and send malicious data to TPMS.</t>
  </si>
  <si>
    <t>Due to improper setting of CAN access control permissions or risks in the access control mechanism, the authorization of TPMSmay be damaged, causing the TPMS to exceed the permission.</t>
  </si>
  <si>
    <t>P014</t>
  </si>
  <si>
    <t>SAS</t>
  </si>
  <si>
    <t>Due to USB, JTAG, UART, and other interfaces being left open or having ineffective access control, SAS may be compromised, leading to the leakage of sensitive information.</t>
  </si>
  <si>
    <t>The attacker gains control of the electronic control unit (ECU) of SAS through an external debugging interface (such as USB, JTAG interface, serial port), and then sends malicious commands or messages to SAS.</t>
  </si>
  <si>
    <t>Due to the potential interception of communication channels, the integrity of SASmay be compromised, resulting in malicious alterations to data or code.</t>
  </si>
  <si>
    <t>An attacker gains access to the communication channel (CAN) of the SAS or control rights of other Electronic Control Units (ECUs) within the domain through an external communication channel (such as FMS or OBD interfaces), and then sends malicious commands or messages to the SAS.</t>
  </si>
  <si>
    <t xml:space="preserve">Due to vulnerabilities such as buffer overflows and backdoors, the integrity of SASmay be compromised, resulting in malicious modification of data or code.  </t>
  </si>
  <si>
    <t>Attackers can tamper with the configuration or memory data of [SAS Name].</t>
  </si>
  <si>
    <t>The network security attribute [Availability] is not applicable to this SAS.</t>
  </si>
  <si>
    <t>Due to components failing to verify source information, the authenticity of SASmay be compromised, allowing the SAS to accept false data sent from imitated terminals.</t>
  </si>
  <si>
    <t>P015</t>
  </si>
  <si>
    <t>EBS1</t>
  </si>
  <si>
    <t xml:space="preserve">Because device identification information and key configurations can be read arbitrarily, the confidentiality of EBS1 may be damaged, resulting in the disclosure of sensitive EBS1 information. </t>
  </si>
  <si>
    <t>An attacker gains access to the communication channel (CAN) of the EBS1 or control rights of other Electronic Control Units (ECUs) within the domain through an external communication channel (such as FMS or OBD interfaces), and then sends malicious commands or messages to the EBS1.</t>
  </si>
  <si>
    <t>Due to USB, JTAG, UART, and other interfaces being left open or having ineffective access control, EBS1 may be compromised, leading to the leakage of sensitive information.</t>
  </si>
  <si>
    <t>The attacker gains control of the electronic control unit (ECU) of EBS1 through an external debugging interface (such as USB, JTAG interface, serial port), and then sends malicious commands or messages to EBS1.</t>
  </si>
  <si>
    <t xml:space="preserve">Due to vulnerabilities such as buffer overflows and backdoors, the integrity of EBS1may be compromised, resulting in malicious modification of EBS1 data or code. </t>
  </si>
  <si>
    <t>Attackers can tamper with the memory of EBS1 through diagnostic services, leading to data alterations</t>
  </si>
  <si>
    <t xml:space="preserve">Due to vulnerabilities such as buffer overflows and backdoors, the integrity of EBS1may be compromised, resulting in malicious modification of data or code.  </t>
  </si>
  <si>
    <t>Attackers can tamper with the configuration or memory data of [EBS1 Name].</t>
  </si>
  <si>
    <t>Due to a flaw in the communication protocol, the availability of EBS1can be compromised, resulting in an unavailability of the EBS1 or a denial of service attack.</t>
  </si>
  <si>
    <t>Because the device does not verify the source information, the authenticity of EBS1may be compromised, resulting in the EBS1 accepting false data from a replicable terminal</t>
  </si>
  <si>
    <t>Attackers can deceive the ECU by impersonating others and send malicious data to EBS1.</t>
  </si>
  <si>
    <t>Due to improper setting of CAN access control permissions or risks in the access control mechanism, the authorization of EBS1may be damaged, causing the EBS1 to exceed the permission.</t>
  </si>
  <si>
    <t>P016</t>
  </si>
  <si>
    <t>EBS2</t>
  </si>
  <si>
    <t xml:space="preserve">Because device identification information and key configurations can be read arbitrarily, the confidentiality of EBS2 may be damaged, resulting in the disclosure of sensitive EBS2 information. </t>
  </si>
  <si>
    <t>An attacker gains access to the communication channel (CAN) of the EBS2 or control rights of other Electronic Control Units (ECUs) within the domain through an external communication channel (such as FMS or OBD interfaces), and then sends malicious commands or messages to the EBS2.</t>
  </si>
  <si>
    <t>Due to USB, JTAG, UART, and other interfaces being left open or having ineffective access control, EBS2 may be compromised, leading to the leakage of sensitive information.</t>
  </si>
  <si>
    <t>The attacker gains control of the electronic control unit (ECU) of EBS2 through an external debugging interface (such as USB, JTAG interface, serial port), and then sends malicious commands or messages to EBS2.</t>
  </si>
  <si>
    <t xml:space="preserve">Due to vulnerabilities such as buffer overflows and backdoors, the integrity of EBS2may be compromised, resulting in malicious modification of EBS2 data or code. </t>
  </si>
  <si>
    <t>Attackers can tamper with the memory of EBS2 through diagnostic services, leading to data alterations</t>
  </si>
  <si>
    <t xml:space="preserve">Due to vulnerabilities such as buffer overflows and backdoors, the integrity of EBS2may be compromised, resulting in malicious modification of data or code.  </t>
  </si>
  <si>
    <t>Attackers can tamper with the configuration or memory data of [EBS2 Name].</t>
  </si>
  <si>
    <t>Due to a flaw in the communication protocol, the availability of EBS2can be compromised, resulting in an unavailability of the EBS2 or a denial of service attack.</t>
  </si>
  <si>
    <t>Because the device does not verify the source information, the authenticity of EBS2may be compromised, resulting in the EBS2 accepting false data from a replicable terminal</t>
  </si>
  <si>
    <t>Attackers can deceive the ECU by impersonating others and send malicious data to EBS2.</t>
  </si>
  <si>
    <t>Due to improper setting of CAN access control permissions or risks in the access control mechanism, the authorization of EBS2may be damaged, causing the EBS2 to exceed the permission.</t>
  </si>
  <si>
    <t>P017</t>
  </si>
  <si>
    <t>EPB</t>
  </si>
  <si>
    <t xml:space="preserve">Because device identification information and key configurations can be read arbitrarily, the confidentiality of EPB may be damaged, resulting in the disclosure of sensitive EPB information. </t>
  </si>
  <si>
    <t>An attacker gains access to the communication channel (CAN) of the EPB or control rights of other Electronic Control Units (ECUs) within the domain through an external communication channel (such as FMS or OBD interfaces), and then sends malicious commands or messages to the EPB.</t>
  </si>
  <si>
    <t>Due to USB, JTAG, UART, and other interfaces being left open or having ineffective access control, EPB may be compromised, leading to the leakage of sensitive information.</t>
  </si>
  <si>
    <t>The attacker gains control of the electronic control unit (ECU) of EPB through an external debugging interface (such as USB, JTAG interface, serial port), and then sends malicious commands or messages to EPB.</t>
  </si>
  <si>
    <t xml:space="preserve">Due to vulnerabilities such as buffer overflows and backdoors, the integrity of EPBmay be compromised, resulting in malicious modification of EPB data or code. </t>
  </si>
  <si>
    <t>Attackers can tamper with the memory of EPB through diagnostic services, leading to data alterations</t>
  </si>
  <si>
    <t xml:space="preserve">Due to vulnerabilities such as buffer overflows and backdoors, the integrity of EPBmay be compromised, resulting in malicious modification of data or code.  </t>
  </si>
  <si>
    <t>Attackers can tamper with the configuration or memory data of [EPB Name].</t>
  </si>
  <si>
    <t>Due to a flaw in the communication protocol, the availability of EPBcan be compromised, resulting in an unavailability of the EPB or a denial of service attack.</t>
  </si>
  <si>
    <t>Because the device does not verify the source information, the authenticity of EPBmay be compromised, resulting in the EPB accepting false data from a replicable terminal</t>
  </si>
  <si>
    <t>Attackers can deceive the ECU by impersonating others and send malicious data to EPB.</t>
  </si>
  <si>
    <t>Due to improper setting of CAN access control permissions or risks in the access control mechanism, the authorization of EPBmay be damaged, causing the EPB to exceed the permission.</t>
  </si>
  <si>
    <t>P018</t>
  </si>
  <si>
    <t>ECAS</t>
  </si>
  <si>
    <t xml:space="preserve">Because device identification information and key configurations can be read arbitrarily, the confidentiality of ECAS may be damaged, resulting in the disclosure of sensitive ECAS information. </t>
  </si>
  <si>
    <t>An attacker gains access to the communication channel (CAN) of the ECAS or control rights of other Electronic Control Units (ECUs) within the domain through an external communication channel (such as FMS or OBD interfaces), and then sends malicious commands or messages to the ECAS.</t>
  </si>
  <si>
    <t>Due to USB, JTAG, UART, and other interfaces being left open or having ineffective access control, ECAS may be compromised, leading to the leakage of sensitive information.</t>
  </si>
  <si>
    <t>The attacker gains control of the electronic control unit (ECU) of ECAS through an external debugging interface (such as USB, JTAG interface, serial port), and then sends malicious commands or messages to ECAS.</t>
  </si>
  <si>
    <t xml:space="preserve">Due to vulnerabilities such as buffer overflows and backdoors, the integrity of ECASmay be compromised, resulting in malicious modification of ECAS data or code. </t>
  </si>
  <si>
    <t>Attackers can tamper with the memory of ECAS through diagnostic services, leading to data alterations</t>
  </si>
  <si>
    <t xml:space="preserve">Due to vulnerabilities such as buffer overflows and backdoors, the integrity of ECASmay be compromised, resulting in malicious modification of data or code.  </t>
  </si>
  <si>
    <t>Attackers can tamper with the configuration or memory data of [ECAS Name].</t>
  </si>
  <si>
    <t>Due to a flaw in the communication protocol, the availability of ECAScan be compromised, resulting in an unavailability of the ECAS or a denial of service attack.</t>
  </si>
  <si>
    <t>Because the device does not verify the source information, the authenticity of ECASmay be compromised, resulting in the ECAS accepting false data from a replicable terminal</t>
  </si>
  <si>
    <t>Attackers can deceive the ECU by impersonating others and send malicious data to ECAS.</t>
  </si>
  <si>
    <t>Due to improper setting of CAN access control permissions or risks in the access control mechanism, the authorization of ECASmay be damaged, causing the ECAS to exceed the permission.</t>
  </si>
  <si>
    <t>P019</t>
  </si>
  <si>
    <t>ACU</t>
  </si>
  <si>
    <t xml:space="preserve">Because device identification information and key configurations can be read arbitrarily, the confidentiality of ACU may be damaged, resulting in the disclosure of sensitive ACU information. </t>
  </si>
  <si>
    <t>An attacker gains access to the communication channel (CAN) of the ACU or control rights of other Electronic Control Units (ECUs) within the domain through an external communication channel (such as FMS or OBD interfaces), and then sends malicious commands or messages to the ACU.</t>
  </si>
  <si>
    <t>Due to USB, JTAG, UART, and other interfaces being left open or having ineffective access control, ACU may be compromised, leading to the leakage of sensitive information.</t>
  </si>
  <si>
    <t>The attacker gains control of the electronic control unit (ECU) of ACU through an external debugging interface (such as USB, JTAG interface, serial port), and then sends malicious commands or messages to ACU.</t>
  </si>
  <si>
    <t xml:space="preserve">Due to vulnerabilities such as buffer overflows and backdoors, the integrity of ACUmay be compromised, resulting in malicious modification of ACU data or code. </t>
  </si>
  <si>
    <t>Attackers can tamper with the memory of ACU through diagnostic services, leading to data alterations</t>
  </si>
  <si>
    <t xml:space="preserve">Due to vulnerabilities such as buffer overflows and backdoors, the integrity of ACUmay be compromised, resulting in malicious modification of data or code.  </t>
  </si>
  <si>
    <t>Attackers can tamper with the configuration or memory data of [ACU Name].</t>
  </si>
  <si>
    <t>Due to a flaw in the communication protocol, the availability of ACUcan be compromised, resulting in an unavailability of the ACU or a denial of service attack.</t>
  </si>
  <si>
    <t>Because the device does not verify the source information, the authenticity of ACUmay be compromised, resulting in the ACU accepting false data from a replicable terminal</t>
  </si>
  <si>
    <t>Attackers can deceive the ECU by impersonating others and send malicious data to ACU.</t>
  </si>
  <si>
    <t>Due to improper setting of CAN access control permissions or risks in the access control mechanism, the authorization of ACUmay be damaged, causing the ACU to exceed the permission.</t>
  </si>
  <si>
    <t>P020</t>
  </si>
  <si>
    <t>CLU</t>
  </si>
  <si>
    <t xml:space="preserve">Because device identification information and key configurations can be read arbitrarily, the confidentiality of CLU may be damaged, resulting in the disclosure of sensitive CLU information. </t>
  </si>
  <si>
    <t>An attacker gains access to the communication channel (CAN) of the CLU or control rights of other Electronic Control Units (ECUs) within the domain through an external communication channel (such as FMS or OBD interfaces), and then sends malicious commands or messages to the CLU.</t>
  </si>
  <si>
    <t>Due to USB, JTAG, UART, and other interfaces being left open or having ineffective access control, CLU may be compromised, leading to the leakage of sensitive information.</t>
  </si>
  <si>
    <t>The attacker gains control of the electronic control unit (ECU) of CLU through an external debugging interface (such as USB, JTAG interface, serial port), and then sends malicious commands or messages to CLU.</t>
  </si>
  <si>
    <t xml:space="preserve">Due to vulnerabilities such as buffer overflows and backdoors, the integrity of CLUmay be compromised, resulting in malicious modification of CLU data or code. </t>
  </si>
  <si>
    <t>Attackers can tamper with the memory of CLU through diagnostic services, leading to data alterations</t>
  </si>
  <si>
    <t xml:space="preserve">Due to vulnerabilities such as buffer overflows and backdoors, the integrity of CLUmay be compromised, resulting in malicious modification of data or code.  </t>
  </si>
  <si>
    <t>Attackers can tamper with the configuration or memory data of [CLU Name].</t>
  </si>
  <si>
    <t>Due to a flaw in the communication protocol, the availability of CLUcan be compromised, resulting in an unavailability of the CLU or a denial of service attack.</t>
  </si>
  <si>
    <t>Because the device does not verify the source information, the authenticity of CLUmay be compromised, resulting in the CLU accepting false data from a replicable terminal</t>
  </si>
  <si>
    <t>Attackers can deceive the ECU by impersonating others and send malicious data to CLU.</t>
  </si>
  <si>
    <t>Due to improper setting of CAN access control permissions or risks in the access control mechanism, the authorization of CLUmay be damaged, causing the CLU to exceed the permission.</t>
  </si>
  <si>
    <t>P021</t>
  </si>
  <si>
    <t>RAS</t>
  </si>
  <si>
    <t xml:space="preserve">Because device identification information and key configurations can be read arbitrarily, the confidentiality of RAS may be damaged, resulting in the disclosure of sensitive RAS information. </t>
  </si>
  <si>
    <t>An attacker gains access to the communication channel (CAN) of the RAS or control rights of other Electronic Control Units (ECUs) within the domain through an external communication channel (such as FMS or OBD interfaces), and then sends malicious commands or messages to the RAS.</t>
  </si>
  <si>
    <t>Due to USB, JTAG, UART, and other interfaces being left open or having ineffective access control, RAS may be compromised, leading to the leakage of sensitive information.</t>
  </si>
  <si>
    <t>The attacker gains control of the electronic control unit (ECU) of RAS through an external debugging interface (such as USB, JTAG interface, serial port), and then sends malicious commands or messages to RAS.</t>
  </si>
  <si>
    <t xml:space="preserve">Due to vulnerabilities such as buffer overflows and backdoors, the integrity of RASmay be compromised, resulting in malicious modification of RAS data or code. </t>
  </si>
  <si>
    <t>Attackers can tamper with the memory of RAS through diagnostic services, leading to data alterations</t>
  </si>
  <si>
    <t xml:space="preserve">Due to vulnerabilities such as buffer overflows and backdoors, the integrity of RASmay be compromised, resulting in malicious modification of data or code.  </t>
  </si>
  <si>
    <t>Attackers can tamper with the configuration or memory data of [RAS Name].</t>
  </si>
  <si>
    <t>Due to a flaw in the communication protocol, the availability of RAScan be compromised, resulting in an unavailability of the RAS or a denial of service attack.</t>
  </si>
  <si>
    <t>Because the device does not verify the source information, the authenticity of RASmay be compromised, resulting in the RAS accepting false data from a replicable terminal</t>
  </si>
  <si>
    <t>Attackers can deceive the ECU by impersonating others and send malicious data to RAS.</t>
  </si>
  <si>
    <t>Due to improper setting of CAN access control permissions or risks in the access control mechanism, the authorization of RASmay be damaged, causing the RAS to exceed the permission.</t>
  </si>
  <si>
    <t>P022</t>
  </si>
  <si>
    <t>MSW</t>
  </si>
  <si>
    <t>Due to USB, JTAG, UART, and other interfaces being left open or having ineffective access control, MSW may be compromised, leading to the leakage of sensitive information.</t>
  </si>
  <si>
    <t>The attacker gains control of the electronic control unit (ECU) of MSW through an external debugging interface (such as USB, JTAG interface, serial port), and then sends malicious commands or messages to MSW.</t>
  </si>
  <si>
    <t>Due to the potential interception of communication channels, the integrity of MSWmay be compromised, resulting in malicious alterations to data or code.</t>
  </si>
  <si>
    <t>An attacker gains access to the communication channel (CAN) of the MSW or control rights of other Electronic Control Units (ECUs) within the domain through an external communication channel (such as FMS or OBD interfaces), and then sends malicious commands or messages to the MSW.</t>
  </si>
  <si>
    <t xml:space="preserve">Due to vulnerabilities such as buffer overflows and backdoors, the integrity of MSWmay be compromised, resulting in malicious modification of data or code.  </t>
  </si>
  <si>
    <t>Attackers can tamper with the configuration or memory data of [MSW Name].</t>
  </si>
  <si>
    <t>The network security attribute [Availability] is not applicable to this MSW.</t>
  </si>
  <si>
    <t>Due to components failing to verify source information, the authenticity of MSWmay be compromised, allowing the MSW to accept false data sent from imitated terminals.</t>
  </si>
  <si>
    <t>P023</t>
  </si>
  <si>
    <t>BMS</t>
  </si>
  <si>
    <t xml:space="preserve">Because device identification information and key configurations can be read arbitrarily, the confidentiality of BMS may be damaged, resulting in the disclosure of sensitive BMS information. </t>
  </si>
  <si>
    <t>An attacker gains access to the communication channel (CAN) of the BMS or control rights of other Electronic Control Units (ECUs) within the domain through an external communication channel (such as FMS or OBD interfaces), and then sends malicious commands or messages to the BMS.</t>
  </si>
  <si>
    <t>Due to USB, JTAG, UART, and other interfaces being left open or having ineffective access control, BMS may be compromised, leading to the leakage of sensitive information.</t>
  </si>
  <si>
    <t>The attacker gains control of the electronic control unit (ECU) of BMS through an external debugging interface (such as USB, JTAG interface, serial port), and then sends malicious commands or messages to BMS.</t>
  </si>
  <si>
    <t xml:space="preserve">Due to vulnerabilities such as buffer overflows and backdoors, the integrity of BMSmay be compromised, resulting in malicious modification of BMS data or code. </t>
  </si>
  <si>
    <t>Attackers can tamper with the memory of BMS through diagnostic services, leading to data alterations</t>
  </si>
  <si>
    <t xml:space="preserve">Due to vulnerabilities such as buffer overflows and backdoors, the integrity of BMSmay be compromised, resulting in malicious modification of data or code.  </t>
  </si>
  <si>
    <t>Attackers can tamper with the configuration or memory data of [BMS Name].</t>
  </si>
  <si>
    <t>Due to a flaw in the communication protocol, the availability of BMScan be compromised, resulting in an unavailability of the BMS or a denial of service attack.</t>
  </si>
  <si>
    <t>Because the device does not verify the source information, the authenticity of BMSmay be compromised, resulting in the BMS accepting false data from a replicable terminal</t>
  </si>
  <si>
    <t>Attackers can deceive the ECU by impersonating others and send malicious data to BMS.</t>
  </si>
  <si>
    <t>Due to improper setting of CAN access control permissions or risks in the access control mechanism, the authorization of BMSmay be damaged, causing the BMS to exceed the permission.</t>
  </si>
  <si>
    <t>P024</t>
  </si>
  <si>
    <t>DSS</t>
  </si>
  <si>
    <t>Due to USB, JTAG, UART, and other interfaces being left open or having ineffective access control, DSS may be compromised, leading to the leakage of sensitive information.</t>
  </si>
  <si>
    <t>The attacker gains control of the electronic control unit (ECU) of DSS through an external debugging interface (such as USB, JTAG interface, serial port), and then sends malicious commands or messages to DSS.</t>
  </si>
  <si>
    <t>Due to the potential interception of communication channels, the integrity of DSSmay be compromised, resulting in malicious alterations to data or code.</t>
  </si>
  <si>
    <t>An attacker gains access to the communication channel (CAN) of the DSS or control rights of other Electronic Control Units (ECUs) within the domain through an external communication channel (such as FMS or OBD interfaces), and then sends malicious commands or messages to the DSS.</t>
  </si>
  <si>
    <t xml:space="preserve">Due to vulnerabilities such as buffer overflows and backdoors, the integrity of DSSmay be compromised, resulting in malicious modification of data or code.  </t>
  </si>
  <si>
    <t>Attackers can tamper with the configuration or memory data of [DSS Name].</t>
  </si>
  <si>
    <t>The network security attribute [Availability] is not applicable to this DSS.</t>
  </si>
  <si>
    <t>Due to components failing to verify source information, the authenticity of DSSmay be compromised, allowing the DSS to accept false data sent from imitated terminals.</t>
  </si>
  <si>
    <t>P025</t>
  </si>
  <si>
    <t>PCU</t>
  </si>
  <si>
    <t xml:space="preserve">Because device identification information and key configurations can be read arbitrarily, the confidentiality of PCU may be damaged, resulting in the disclosure of sensitive PCU information. </t>
  </si>
  <si>
    <t>An attacker gains access to the communication channel (CAN) of the PCU or control rights of other Electronic Control Units (ECUs) within the domain through an external communication channel (such as FMS or OBD interfaces), and then sends malicious commands or messages to the PCU.</t>
  </si>
  <si>
    <t>Due to USB, JTAG, UART, and other interfaces being left open or having ineffective access control, PCU may be compromised, leading to the leakage of sensitive information.</t>
  </si>
  <si>
    <t>The attacker gains control of the electronic control unit (ECU) of PCU through an external debugging interface (such as USB, JTAG interface, serial port), and then sends malicious commands or messages to PCU.</t>
  </si>
  <si>
    <t xml:space="preserve">Due to vulnerabilities such as buffer overflows and backdoors, the integrity of PCUmay be compromised, resulting in malicious modification of PCU data or code. </t>
  </si>
  <si>
    <t>Attackers can tamper with the memory of PCU through diagnostic services, leading to data alterations</t>
  </si>
  <si>
    <t xml:space="preserve">Due to vulnerabilities such as buffer overflows and backdoors, the integrity of PCUmay be compromised, resulting in malicious modification of data or code.  </t>
  </si>
  <si>
    <t>Attackers can tamper with the configuration or memory data of [PCU Name].</t>
  </si>
  <si>
    <t>Due to a flaw in the communication protocol, the availability of PCUcan be compromised, resulting in an unavailability of the PCU or a denial of service attack.</t>
  </si>
  <si>
    <t>Because the device does not verify the source information, the authenticity of PCUmay be compromised, resulting in the PCU accepting false data from a replicable terminal</t>
  </si>
  <si>
    <t>Attackers can deceive the ECU by impersonating others and send malicious data to PCU.</t>
  </si>
  <si>
    <t>Due to improper setting of CAN access control permissions or risks in the access control mechanism, the authorization of PCUmay be damaged, causing the PCU to exceed the permission.</t>
  </si>
  <si>
    <t>P026</t>
  </si>
  <si>
    <t>N2</t>
  </si>
  <si>
    <t xml:space="preserve">Because device identification information and key configurations can be read arbitrarily, the confidentiality of N2P may be damaged, resulting in the disclosure of sensitive N2P information. </t>
  </si>
  <si>
    <t>An attacker gains access to the communication channel (CAN) of the N2P or control rights of other Electronic Control Units (ECUs) within the domain through an external communication channel (such as FMS or OBD interfaces), and then sends malicious commands or messages to the N2P.</t>
  </si>
  <si>
    <t>Due to USB, JTAG, UART, and other interfaces being left open or having ineffective access control, N2P may be compromised, leading to the leakage of sensitive information.</t>
  </si>
  <si>
    <t>The attacker gains control of the electronic control unit (ECU) of N2P through an external debugging interface (such as USB, JTAG interface, serial port), and then sends malicious commands or messages to N2P.</t>
  </si>
  <si>
    <t xml:space="preserve">Due to vulnerabilities such as buffer overflows and backdoors, the integrity of N2Pmay be compromised, resulting in malicious modification of N2P data or code. </t>
  </si>
  <si>
    <t>Attackers can tamper with the memory of N2P through diagnostic services, leading to data alterations</t>
  </si>
  <si>
    <t xml:space="preserve">Due to vulnerabilities such as buffer overflows and backdoors, the integrity of N2Pmay be compromised, resulting in malicious modification of data or code.  </t>
  </si>
  <si>
    <t>Attackers can tamper with the configuration or memory data of [N2P Name].</t>
  </si>
  <si>
    <t>Due to a flaw in the communication protocol, the availability of N2Pcan be compromised, resulting in an unavailability of the N2P or a denial of service attack.</t>
  </si>
  <si>
    <t>Because the device does not verify the source information, the authenticity of N2Pmay be compromised, resulting in the N2P accepting false data from a replicable terminal</t>
  </si>
  <si>
    <t>Attackers can deceive the ECU by impersonating others and send malicious data to N2P.</t>
  </si>
  <si>
    <t>Due to improper setting of CAN access control permissions or risks in the access control mechanism, the authorization of N2Pmay be damaged, causing the N2P to exceed the permission.</t>
  </si>
  <si>
    <t>P027</t>
  </si>
  <si>
    <t>N2M</t>
  </si>
  <si>
    <t xml:space="preserve">Because device identification information and key configurations can be read arbitrarily, the confidentiality of N2M may be damaged, resulting in the disclosure of sensitive N2M information. </t>
  </si>
  <si>
    <t>An attacker gains access to the communication channel (CAN) of the N2M or control rights of other Electronic Control Units (ECUs) within the domain through an external communication channel (such as FMS or OBD interfaces), and then sends malicious commands or messages to the N2M.</t>
  </si>
  <si>
    <t>Due to USB, JTAG, UART, and other interfaces being left open or having ineffective access control, N2M may be compromised, leading to the leakage of sensitive information.</t>
  </si>
  <si>
    <t>The attacker gains control of the electronic control unit (ECU) of N2M through an external debugging interface (such as USB, JTAG interface, serial port), and then sends malicious commands or messages to N2M.</t>
  </si>
  <si>
    <t xml:space="preserve">Due to vulnerabilities such as buffer overflows and backdoors, the integrity of N2Mmay be compromised, resulting in malicious modification of N2M data or code. </t>
  </si>
  <si>
    <t>Attackers can tamper with the memory of N2M through diagnostic services, leading to data alterations</t>
  </si>
  <si>
    <t xml:space="preserve">Due to vulnerabilities such as buffer overflows and backdoors, the integrity of N2Mmay be compromised, resulting in malicious modification of data or code.  </t>
  </si>
  <si>
    <t>Attackers can tamper with the configuration or memory data of [N2M Name].</t>
  </si>
  <si>
    <t>Due to a flaw in the communication protocol, the availability of N2Mcan be compromised, resulting in an unavailability of the N2M or a denial of service attack.</t>
  </si>
  <si>
    <t>Because the device does not verify the source information, the authenticity of N2Mmay be compromised, resulting in the N2M accepting false data from a replicable terminal</t>
  </si>
  <si>
    <t>Attackers can deceive the ECU by impersonating others and send malicious data to N2M.</t>
  </si>
  <si>
    <t>Due to improper setting of CAN access control permissions or risks in the access control mechanism, the authorization of N2Mmay be damaged, causing the N2M to exceed the permission.</t>
  </si>
  <si>
    <t>中Medium</t>
  </si>
  <si>
    <t>P028</t>
  </si>
  <si>
    <t>DCDC</t>
  </si>
  <si>
    <t xml:space="preserve">Because device identification information and key configurations can be read arbitrarily, the confidentiality of DCDC may be damaged, resulting in the disclosure of sensitive DCDC information. </t>
  </si>
  <si>
    <t>An attacker gains access to the communication channel (CAN) of the DCDC or control rights of other Electronic Control Units (ECUs) within the domain through an external communication channel (such as FMS or OBD interfaces), and then sends malicious commands or messages to the DCDC.</t>
  </si>
  <si>
    <t>Due to USB, JTAG, UART, and other interfaces being left open or having ineffective access control, DCDC may be compromised, leading to the leakage of sensitive information.</t>
  </si>
  <si>
    <t>The attacker gains control of the electronic control unit (ECU) of DCDC through an external debugging interface (such as USB, JTAG interface, serial port), and then sends malicious commands or messages to DCDC.</t>
  </si>
  <si>
    <t xml:space="preserve">Due to vulnerabilities such as buffer overflows and backdoors, the integrity of DCDCmay be compromised, resulting in malicious modification of DCDC data or code. </t>
  </si>
  <si>
    <t>Attackers can tamper with the memory of DCDC through diagnostic services, leading to data alterations</t>
  </si>
  <si>
    <t xml:space="preserve">Due to vulnerabilities such as buffer overflows and backdoors, the integrity of DCDCmay be compromised, resulting in malicious modification of data or code.  </t>
  </si>
  <si>
    <t>Attackers can tamper with the configuration or memory data of [DCDC Name].</t>
  </si>
  <si>
    <t>Due to a flaw in the communication protocol, the availability of DCDCcan be compromised, resulting in an unavailability of the DCDC or a denial of service attack.</t>
  </si>
  <si>
    <t>Because the device does not verify the source information, the authenticity of DCDCmay be compromised, resulting in the DCDC accepting false data from a replicable terminal</t>
  </si>
  <si>
    <t>Attackers can deceive the ECU by impersonating others and send malicious data to DCDC.</t>
  </si>
  <si>
    <t>Due to improper setting of CAN access control permissions or risks in the access control mechanism, the authorization of DCDCmay be damaged, causing the DCDC to exceed the permission.</t>
  </si>
  <si>
    <t>P029</t>
  </si>
  <si>
    <t>IMD</t>
  </si>
  <si>
    <t xml:space="preserve">Because device identification information and key configurations can be read arbitrarily, the confidentiality of IMD may be damaged, resulting in the disclosure of sensitive IMD information. </t>
  </si>
  <si>
    <t>An attacker gains access to the communication channel (CAN) of the IMD or control rights of other Electronic Control Units (ECUs) within the domain through an external communication channel (such as FMS or OBD interfaces), and then sends malicious commands or messages to the IMD.</t>
  </si>
  <si>
    <t>Due to USB, JTAG, UART, and other interfaces being left open or having ineffective access control, IMD may be compromised, leading to the leakage of sensitive information.</t>
  </si>
  <si>
    <t>The attacker gains control of the electronic control unit (ECU) of IMD through an external debugging interface (such as USB, JTAG interface, serial port), and then sends malicious commands or messages to IMD.</t>
  </si>
  <si>
    <t xml:space="preserve">Due to vulnerabilities such as buffer overflows and backdoors, the integrity of IMDmay be compromised, resulting in malicious modification of IMD data or code. </t>
  </si>
  <si>
    <t>Attackers can tamper with the memory of IMD through diagnostic services, leading to data alterations</t>
  </si>
  <si>
    <t xml:space="preserve">Due to vulnerabilities such as buffer overflows and backdoors, the integrity of IMDmay be compromised, resulting in malicious modification of data or code.  </t>
  </si>
  <si>
    <t>Attackers can tamper with the configuration or memory data of [IMD Name].</t>
  </si>
  <si>
    <t>Due to a flaw in the communication protocol, the availability of IMDcan be compromised, resulting in an unavailability of the IMD or a denial of service attack.</t>
  </si>
  <si>
    <t>Because the device does not verify the source information, the authenticity of IMDmay be compromised, resulting in the IMD accepting false data from a replicable terminal</t>
  </si>
  <si>
    <t>Attackers can deceive the ECU by impersonating others and send malicious data to IMD.</t>
  </si>
  <si>
    <t>Due to improper setting of CAN access control permissions or risks in the access control mechanism, the authorization of IMDmay be damaged, causing the IMD to exceed the permission.</t>
  </si>
  <si>
    <t>P030</t>
  </si>
  <si>
    <t>CCS</t>
  </si>
  <si>
    <t xml:space="preserve">Because device identification information and key configurations can be read arbitrarily, the confidentiality of CCS may be damaged, resulting in the disclosure of sensitive CCS information. </t>
  </si>
  <si>
    <t>An attacker gains access to the communication channel (CAN) of the CCS or control rights of other Electronic Control Units (ECUs) within the domain through an external communication channel (such as FMS or OBD interfaces), and then sends malicious commands or messages to the CCS.</t>
  </si>
  <si>
    <t>Due to USB, JTAG, UART, and other interfaces being left open or having ineffective access control, CCS may be compromised, leading to the leakage of sensitive information.</t>
  </si>
  <si>
    <t>The attacker gains control of the electronic control unit (ECU) of CCS through an external debugging interface (such as USB, JTAG interface, serial port), and then sends malicious commands or messages to CCS.</t>
  </si>
  <si>
    <t xml:space="preserve">Due to vulnerabilities such as buffer overflows and backdoors, the integrity of CCSmay be compromised, resulting in malicious modification of CCS data or code. </t>
  </si>
  <si>
    <t>Attackers can tamper with the memory of CCS through diagnostic services, leading to data alterations</t>
  </si>
  <si>
    <t xml:space="preserve">Due to vulnerabilities such as buffer overflows and backdoors, the integrity of CCSmay be compromised, resulting in malicious modification of data or code.  </t>
  </si>
  <si>
    <t>Attackers can tamper with the configuration or memory data of [CCS Name].</t>
  </si>
  <si>
    <t>Due to a flaw in the communication protocol, the availability of CCScan be compromised, resulting in an unavailability of the CCS or a denial of service attack.</t>
  </si>
  <si>
    <t>Because the device does not verify the source information, the authenticity of CCSmay be compromised, resulting in the CCS accepting false data from a replicable terminal</t>
  </si>
  <si>
    <t>Attackers can deceive the ECU by impersonating others and send malicious data to CCS.</t>
  </si>
  <si>
    <t>Due to improper setting of CAN access control permissions or risks in the access control mechanism, the authorization of CCSmay be damaged, causing the CCS to exceed the permission.</t>
  </si>
  <si>
    <t>P031</t>
  </si>
  <si>
    <t>DC/DC</t>
  </si>
  <si>
    <t xml:space="preserve">Because device identification information and key configurations can be read arbitrarily, the confidentiality of DC/DC may be damaged, resulting in the disclosure of sensitive DC/DC information. </t>
  </si>
  <si>
    <t>An attacker gains access to the communication channel (CAN) of the DC/DC or control rights of other Electronic Control Units (ECUs) within the domain through an external communication channel (such as FMS or OBD interfaces), and then sends malicious commands or messages to the DC/DC.</t>
  </si>
  <si>
    <t>Due to USB, JTAG, UART, and other interfaces being left open or having ineffective access control, DC/DC may be compromised, leading to the leakage of sensitive information.</t>
  </si>
  <si>
    <t>The attacker gains control of the electronic control unit (ECU) of DC/DC through an external debugging interface (such as USB, JTAG interface, serial port), and then sends malicious commands or messages to DC/DC.</t>
  </si>
  <si>
    <t xml:space="preserve">Due to vulnerabilities such as buffer overflows and backdoors, the integrity of DC/DCmay be compromised, resulting in malicious modification of DC/DC data or code. </t>
  </si>
  <si>
    <t>Attackers can tamper with the memory of DC/DC through diagnostic services, leading to data alterations</t>
  </si>
  <si>
    <t>CAL1</t>
  </si>
  <si>
    <t xml:space="preserve">Due to vulnerabilities such as buffer overflows and backdoors, the integrity of DC/DCmay be compromised, resulting in malicious modification of data or code.  </t>
  </si>
  <si>
    <t>Attackers can tamper with the configuration or memory data of [DC/DC Name].</t>
  </si>
  <si>
    <t>Due to a flaw in the communication protocol, the availability of DC/DCcan be compromised, resulting in an unavailability of the DC/DC or a denial of service attack.</t>
  </si>
  <si>
    <t>Because the device does not verify the source information, the authenticity of DC/DCmay be compromised, resulting in the DC/DC accepting false data from a replicable terminal</t>
  </si>
  <si>
    <t>Attackers can deceive the ECU by impersonating others and send malicious data to DC/DC.</t>
  </si>
  <si>
    <t>Due to improper setting of CAN access control permissions or risks in the access control mechanism, the authorization of DC/DCmay be damaged, causing the DC/DC to exceed the permission.</t>
  </si>
  <si>
    <t>P032</t>
  </si>
  <si>
    <t>ALCM</t>
  </si>
  <si>
    <t xml:space="preserve">Because device identification information and key configurations can be read arbitrarily, the confidentiality of ALCM may be damaged, resulting in the disclosure of sensitive ALCM information. </t>
  </si>
  <si>
    <t>An attacker gains access to the communication channel (CAN) of the ALCM or control rights of other Electronic Control Units (ECUs) within the domain through an external communication channel (such as FMS or OBD interfaces), and then sends malicious commands or messages to the ALCM.</t>
  </si>
  <si>
    <t>Due to USB, JTAG, UART, and other interfaces being left open or having ineffective access control, ALCM may be compromised, leading to the leakage of sensitive information.</t>
  </si>
  <si>
    <t>The attacker gains control of the electronic control unit (ECU) of ALCM through an external debugging interface (such as USB, JTAG interface, serial port), and then sends malicious commands or messages to ALCM.</t>
  </si>
  <si>
    <t xml:space="preserve">Due to vulnerabilities such as buffer overflows and backdoors, the integrity of ALCMmay be compromised, resulting in malicious modification of ALCM data or code. </t>
  </si>
  <si>
    <t>Attackers can tamper with the memory of ALCM through diagnostic services, leading to data alterations</t>
  </si>
  <si>
    <t xml:space="preserve">Due to vulnerabilities such as buffer overflows and backdoors, the integrity of ALCMmay be compromised, resulting in malicious modification of data or code.  </t>
  </si>
  <si>
    <t>Attackers can tamper with the configuration or memory data of [ALCM Name].</t>
  </si>
  <si>
    <t>Due to a flaw in the communication protocol, the availability of ALCMcan be compromised, resulting in an unavailability of the ALCM or a denial of service attack.</t>
  </si>
  <si>
    <t>Because the device does not verify the source information, the authenticity of ALCMmay be compromised, resulting in the ALCM accepting false data from a replicable terminal</t>
  </si>
  <si>
    <t>Attackers can deceive the ECU by impersonating others and send malicious data to ALCM.</t>
  </si>
  <si>
    <t>Due to improper setting of CAN access control permissions or risks in the access control mechanism, the authorization of ALCMmay be damaged, causing the ALCM to exceed the permission.</t>
  </si>
  <si>
    <t>P033</t>
  </si>
  <si>
    <t>AC</t>
  </si>
  <si>
    <t xml:space="preserve">Because device identification information and key configurations can be read arbitrarily, the confidentiality of AC may be damaged, resulting in the disclosure of sensitive AC information. </t>
  </si>
  <si>
    <t>An attacker gains access to the communication channel (CAN) of the AC or control rights of other Electronic Control Units (ECUs) within the domain through an external communication channel (such as FMS or OBD interfaces), and then sends malicious commands or messages to the AC.</t>
  </si>
  <si>
    <t>Due to USB, JTAG, UART, and other interfaces being left open or having ineffective access control, AC may be compromised, leading to the leakage of sensitive information.</t>
  </si>
  <si>
    <t>The attacker gains control of the electronic control unit (ECU) of AC through an external debugging interface (such as USB, JTAG interface, serial port), and then sends malicious commands or messages to AC.</t>
  </si>
  <si>
    <t xml:space="preserve">Due to vulnerabilities such as buffer overflows and backdoors, the integrity of ACmay be compromised, resulting in malicious modification of AC data or code. </t>
  </si>
  <si>
    <t>Attackers can tamper with the memory of AC through diagnostic services, leading to data alterations</t>
  </si>
  <si>
    <t xml:space="preserve">Due to vulnerabilities such as buffer overflows and backdoors, the integrity of ACmay be compromised, resulting in malicious modification of data or code.  </t>
  </si>
  <si>
    <t>Attackers can tamper with the configuration or memory data of [AC Name].</t>
  </si>
  <si>
    <t>Due to a flaw in the communication protocol, the availability of ACcan be compromised, resulting in an unavailability of the AC or a denial of service attack.</t>
  </si>
  <si>
    <t>Because the device does not verify the source information, the authenticity of ACmay be compromised, resulting in the AC accepting false data from a replicable terminal</t>
  </si>
  <si>
    <t>Attackers can deceive the ECU by impersonating others and send malicious data to AC.</t>
  </si>
  <si>
    <t>Due to improper setting of CAN access control permissions or risks in the access control mechanism, the authorization of ACmay be damaged, causing the AC to exceed the permission.</t>
  </si>
  <si>
    <t>P034</t>
  </si>
  <si>
    <t>PDC*n</t>
  </si>
  <si>
    <t xml:space="preserve">Because device identification information and key configurations can be read arbitrarily, the confidentiality of PDC*n may be damaged, resulting in the disclosure of sensitive PDC*n information. </t>
  </si>
  <si>
    <t>An attacker gains access to the communication channel (CAN) of the PDC*n or control rights of other Electronic Control Units (ECUs) within the domain through an external communication channel (such as FMS or OBD interfaces), and then sends malicious commands or messages to the PDC*n.</t>
  </si>
  <si>
    <t>Due to USB, JTAG, UART, and other interfaces being left open or having ineffective access control, PDC*n may be compromised, leading to the leakage of sensitive information.</t>
  </si>
  <si>
    <t>The attacker gains control of the electronic control unit (ECU) of PDC*n through an external debugging interface (such as USB, JTAG interface, serial port), and then sends malicious commands or messages to PDC*n.</t>
  </si>
  <si>
    <t xml:space="preserve">Due to vulnerabilities such as buffer overflows and backdoors, the integrity of PDC*nmay be compromised, resulting in malicious modification of PDC*n data or code. </t>
  </si>
  <si>
    <t>Attackers can tamper with the memory of PDC*n through diagnostic services, leading to data alterations</t>
  </si>
  <si>
    <t xml:space="preserve">Due to vulnerabilities such as buffer overflows and backdoors, the integrity of PDC*nmay be compromised, resulting in malicious modification of data or code.  </t>
  </si>
  <si>
    <t>Attackers can tamper with the configuration or memory data of [PDC*n Name].</t>
  </si>
  <si>
    <t>Due to a flaw in the communication protocol, the availability of PDC*ncan be compromised, resulting in an unavailability of the PDC*n or a denial of service attack.</t>
  </si>
  <si>
    <t>Because the device does not verify the source information, the authenticity of PDC*nmay be compromised, resulting in the PDC*n accepting false data from a replicable terminal</t>
  </si>
  <si>
    <t>Attackers can deceive the ECU by impersonating others and send malicious data to PDC*n.</t>
  </si>
  <si>
    <t>Due to improper setting of CAN access control permissions or risks in the access control mechanism, the authorization of PDC*nmay be damaged, causing the PDC*n to exceed the permission.</t>
  </si>
  <si>
    <t>P036</t>
  </si>
  <si>
    <t>CCU</t>
  </si>
  <si>
    <t xml:space="preserve">Because device identification information and key configurations can be read arbitrarily, the confidentiality of CCU may be damaged, resulting in the disclosure of sensitive CCU information. </t>
  </si>
  <si>
    <t>An attacker gains access to the communication channel (CAN) of the CCU or control rights of other Electronic Control Units (ECUs) within the domain through an external communication channel (such as FMS or OBD interfaces), and then sends malicious commands or messages to the CCU.</t>
  </si>
  <si>
    <t>System memory data or sensitive information should be protected to prevent attackers from obtaining system memory data or sensitive information through internal logic</t>
  </si>
  <si>
    <t>1.1、 3.1、26.2、19.3</t>
  </si>
  <si>
    <r>
      <rPr>
        <sz val="10"/>
        <color rgb="FF000000"/>
        <rFont val="等线"/>
        <charset val="134"/>
        <scheme val="minor"/>
      </rPr>
      <t xml:space="preserve">1  Back-end servers used as a means to attack a vehicle or extract data </t>
    </r>
    <r>
      <rPr>
        <sz val="10"/>
        <color rgb="FF000000"/>
        <rFont val="等线"/>
        <charset val="134"/>
      </rPr>
      <t xml:space="preserve">
</t>
    </r>
    <r>
      <rPr>
        <sz val="10"/>
        <color rgb="FF000000"/>
        <rFont val="等线"/>
        <charset val="134"/>
      </rPr>
      <t xml:space="preserve">3 Vehicle related data held on back-end servers being lost or compromised ("data breach") </t>
    </r>
    <r>
      <rPr>
        <sz val="10"/>
        <color rgb="FF000000"/>
        <rFont val="等线"/>
        <charset val="134"/>
      </rPr>
      <t xml:space="preserve">
</t>
    </r>
    <r>
      <rPr>
        <sz val="10"/>
        <color rgb="FF000000"/>
        <rFont val="等线"/>
        <charset val="134"/>
      </rPr>
      <t xml:space="preserve">19  Extraction of vehicle data/code </t>
    </r>
    <r>
      <rPr>
        <sz val="10"/>
        <color rgb="FF000000"/>
        <rFont val="等线"/>
        <charset val="134"/>
      </rPr>
      <t xml:space="preserve">
</t>
    </r>
    <r>
      <rPr>
        <sz val="10"/>
        <color rgb="FF000000"/>
        <rFont val="等线"/>
        <charset val="134"/>
      </rPr>
      <t>26  Cryptographic technologies can be compromised or are insufficiently applied</t>
    </r>
  </si>
  <si>
    <r>
      <rPr>
        <sz val="10"/>
        <color rgb="FF000000"/>
        <rFont val="等线"/>
        <charset val="134"/>
        <scheme val="minor"/>
      </rPr>
      <t>1.1 Abuse of privileges by staff (insider attack)</t>
    </r>
    <r>
      <rPr>
        <sz val="10"/>
        <color rgb="FF000000"/>
        <rFont val="等线"/>
        <charset val="134"/>
      </rPr>
      <t xml:space="preserve">
</t>
    </r>
    <r>
      <rPr>
        <sz val="10"/>
        <color rgb="FF000000"/>
        <rFont val="等线"/>
        <charset val="134"/>
      </rPr>
      <t>3.1 Abuse of privileges by staff (insider attack)</t>
    </r>
    <r>
      <rPr>
        <sz val="10"/>
        <color rgb="FF000000"/>
        <rFont val="等线"/>
        <charset val="134"/>
      </rPr>
      <t xml:space="preserve">
</t>
    </r>
    <r>
      <rPr>
        <sz val="10"/>
        <color rgb="FF000000"/>
        <rFont val="等线"/>
        <charset val="134"/>
      </rPr>
      <t xml:space="preserve">19.3Extraction of cryptographic keys </t>
    </r>
    <r>
      <rPr>
        <sz val="10"/>
        <color rgb="FF000000"/>
        <rFont val="等线"/>
        <charset val="134"/>
      </rPr>
      <t xml:space="preserve">
</t>
    </r>
    <r>
      <rPr>
        <sz val="10"/>
        <color rgb="FF000000"/>
        <rFont val="等线"/>
        <charset val="134"/>
      </rPr>
      <t>26.2 Insufficient use of cryptographic algorithms to protect sensitive systems</t>
    </r>
  </si>
  <si>
    <t xml:space="preserve">Because the communication channel through which the data is accessible is not isolated or the isolation is incomplete, the confidentiality of CCUmay be compromised, resulting in the disclosure of sensitive information.  </t>
  </si>
  <si>
    <t>Attackers can obtain full communication information, leading to the leakage of sensitive data, by sniffing and monitoring [CCU Name].</t>
  </si>
  <si>
    <t xml:space="preserve">Each ECU should be limited to sending and receiving messages within a specific CNA ID range to prevent attackers from obtaining the full communication information of the CCU. </t>
  </si>
  <si>
    <t>Due to USB, JTAG, UART, and other interfaces being left open or having ineffective access control, CCU may be compromised, leading to the leakage of sensitive information.</t>
  </si>
  <si>
    <t>The attacker gains control of the electronic control unit (ECU) of CCU through an external debugging interface (such as USB, JTAG interface, serial port), and then sends malicious commands or messages to CCU.</t>
  </si>
  <si>
    <t>After mass production, backdoors or debugging interfaces reserved during the development phase should be removed to prevent attackers from accessing the system and obtaining sensitive system information by using interfaces such as USB, JTAG, UART that are not closed or have invalid access control</t>
  </si>
  <si>
    <t>7.2、28.2</t>
  </si>
  <si>
    <r>
      <rPr>
        <sz val="10"/>
        <color rgb="FF000000"/>
        <rFont val="等线"/>
        <charset val="134"/>
        <scheme val="minor"/>
      </rPr>
      <t>7 Gaining unauthorized access to files or data</t>
    </r>
    <r>
      <rPr>
        <sz val="10"/>
        <color rgb="FF000000"/>
        <rFont val="等线"/>
        <charset val="134"/>
      </rPr>
      <t xml:space="preserve">
</t>
    </r>
    <r>
      <rPr>
        <sz val="10"/>
        <color rgb="FF000000"/>
        <rFont val="等线"/>
        <charset val="134"/>
      </rPr>
      <t xml:space="preserve">28 Using remainders from development (e.g. debug ports, JTAG ports, microprocessors, </t>
    </r>
    <r>
      <rPr>
        <sz val="10"/>
        <color rgb="FF000000"/>
        <rFont val="等线"/>
        <charset val="134"/>
      </rPr>
      <t xml:space="preserve">
</t>
    </r>
    <r>
      <rPr>
        <sz val="10"/>
        <color rgb="FF000000"/>
        <rFont val="等线"/>
        <charset val="134"/>
      </rPr>
      <t>development certificates, developer passwords, …) can permit an attacker to access ECUs or gain higher privileges</t>
    </r>
  </si>
  <si>
    <r>
      <rPr>
        <sz val="10"/>
        <color rgb="FF000000"/>
        <rFont val="等线"/>
        <charset val="134"/>
        <scheme val="minor"/>
      </rPr>
      <t>7.2 Information can be readily disclosed. For example, through eavesdropping on communications or through allowing unauthorized access to sensitive files or folders</t>
    </r>
    <r>
      <rPr>
        <sz val="10"/>
        <color rgb="FF000000"/>
        <rFont val="等线"/>
        <charset val="134"/>
      </rPr>
      <t xml:space="preserve">
</t>
    </r>
    <r>
      <rPr>
        <sz val="10"/>
        <color rgb="FF000000"/>
        <rFont val="等线"/>
        <charset val="134"/>
      </rPr>
      <t>28.2 Cybersecurity best practices for software and hardware development shall be followed. Cybersecurity testing with adequate coverage</t>
    </r>
  </si>
  <si>
    <t xml:space="preserve">Due to vulnerabilities such as buffer overflows and backdoors, the integrity of CCUmay be compromised, resulting in malicious modification of data or code. </t>
  </si>
  <si>
    <t>Attackers can tamper with the memory of CCU through diagnostic services, leading to data alterations</t>
  </si>
  <si>
    <t>Diagnostic write operations should have 27 level security access restrictions to prevent attackers from tampering with CCU memory through diagnostic services
Diagnostic 11 services require pre-safety condition restrictions, such as the addition of vehicle speed detection.</t>
  </si>
  <si>
    <t>5.2、5.3、5.4、5.5、20.1、23.1、28.1、25.1、25.2</t>
  </si>
  <si>
    <r>
      <rPr>
        <sz val="10"/>
        <color rgb="FF000000"/>
        <rFont val="等线"/>
        <charset val="134"/>
        <scheme val="minor"/>
      </rPr>
      <t xml:space="preserve">5 Communication channels used to conduct unauthorized manipulation, deletion or other </t>
    </r>
    <r>
      <rPr>
        <sz val="10"/>
        <color rgb="FF000000"/>
        <rFont val="等线"/>
        <charset val="134"/>
      </rPr>
      <t xml:space="preserve">
</t>
    </r>
    <r>
      <rPr>
        <sz val="10"/>
        <color rgb="FF000000"/>
        <rFont val="等线"/>
        <charset val="134"/>
      </rPr>
      <t xml:space="preserve">amendments to vehicle held code/data </t>
    </r>
    <r>
      <rPr>
        <sz val="10"/>
        <color rgb="FF000000"/>
        <rFont val="等线"/>
        <charset val="134"/>
      </rPr>
      <t xml:space="preserve">
</t>
    </r>
    <r>
      <rPr>
        <sz val="10"/>
        <color rgb="FF000000"/>
        <rFont val="等线"/>
        <charset val="134"/>
      </rPr>
      <t xml:space="preserve">20 Illegal/unauthorized changes to vehicle’s electronic ID </t>
    </r>
    <r>
      <rPr>
        <sz val="10"/>
        <color rgb="FF000000"/>
        <rFont val="等线"/>
        <charset val="134"/>
      </rPr>
      <t xml:space="preserve">
</t>
    </r>
    <r>
      <rPr>
        <sz val="10"/>
        <color rgb="FF000000"/>
        <rFont val="等线"/>
        <charset val="134"/>
      </rPr>
      <t xml:space="preserve">23 Introduction of new software overwrite existing software </t>
    </r>
    <r>
      <rPr>
        <sz val="10"/>
        <color rgb="FF000000"/>
        <rFont val="等线"/>
        <charset val="134"/>
      </rPr>
      <t xml:space="preserve">
</t>
    </r>
    <r>
      <rPr>
        <sz val="10"/>
        <color rgb="FF000000"/>
        <rFont val="等线"/>
        <charset val="134"/>
      </rPr>
      <t>28 Software or hardware development permits vulnerabilities</t>
    </r>
    <r>
      <rPr>
        <sz val="10"/>
        <color rgb="FF000000"/>
        <rFont val="等线"/>
        <charset val="134"/>
      </rPr>
      <t xml:space="preserve">  </t>
    </r>
  </si>
  <si>
    <t xml:space="preserve">Due to vulnerabilities such as buffer overflows and backdoors, the integrity of CCUmay be compromised, resulting in malicious modification of data or code.  </t>
  </si>
  <si>
    <t>Attackers can tamper with the configuration or memory data of [CCU Name].</t>
  </si>
  <si>
    <t>Security flashing should have integrity verification and signature verification mechanisms to prevent attackers from tampering with CCU configuration or memory data</t>
  </si>
  <si>
    <t>12.2、12.3、12.4、22.2</t>
  </si>
  <si>
    <r>
      <rPr>
        <sz val="10"/>
        <color rgb="FF000000"/>
        <rFont val="等线"/>
        <charset val="134"/>
        <scheme val="minor"/>
      </rPr>
      <t>12.2Compromise of local/physical software update procedures. This includes fabricating the system update program or firmware</t>
    </r>
    <r>
      <rPr>
        <sz val="10"/>
        <color rgb="FF000000"/>
        <rFont val="等线"/>
        <charset val="134"/>
      </rPr>
      <t xml:space="preserve">
</t>
    </r>
    <r>
      <rPr>
        <sz val="10"/>
        <color rgb="FF000000"/>
        <rFont val="等线"/>
        <charset val="134"/>
      </rPr>
      <t>12.3The software is manipulated before the update process (and is therefore corrupted), although the update process is intact</t>
    </r>
    <r>
      <rPr>
        <sz val="10"/>
        <color rgb="FF000000"/>
        <rFont val="等线"/>
        <charset val="134"/>
      </rPr>
      <t xml:space="preserve">
</t>
    </r>
    <r>
      <rPr>
        <sz val="10"/>
        <color rgb="FF000000"/>
        <rFont val="等线"/>
        <charset val="134"/>
      </rPr>
      <t>12.4 Compromise of cryptographic keys of the software provider to allow invalid update</t>
    </r>
    <r>
      <rPr>
        <sz val="10"/>
        <color rgb="FF000000"/>
        <rFont val="等线"/>
        <charset val="134"/>
      </rPr>
      <t xml:space="preserve">
</t>
    </r>
    <r>
      <rPr>
        <sz val="10"/>
        <color rgb="FF000000"/>
        <rFont val="等线"/>
        <charset val="134"/>
      </rPr>
      <t xml:space="preserve">22.2Introduce malicious software or malicious software </t>
    </r>
    <r>
      <rPr>
        <sz val="10"/>
        <color rgb="FF000000"/>
        <rFont val="等线"/>
        <charset val="134"/>
      </rPr>
      <t xml:space="preserve">
</t>
    </r>
    <r>
      <rPr>
        <sz val="10"/>
        <color rgb="FF000000"/>
        <rFont val="等线"/>
        <charset val="134"/>
      </rPr>
      <t>activity</t>
    </r>
    <r>
      <rPr>
        <sz val="10"/>
        <color rgb="FF000000"/>
        <rFont val="等线"/>
        <charset val="134"/>
      </rPr>
      <t xml:space="preserve"> </t>
    </r>
  </si>
  <si>
    <t xml:space="preserve">Due to possible I/O and processing bottlenecks in the communication channel, the availability of CCUmay be compromised, resulting in unavailability of functionality or denial of service attacks. </t>
  </si>
  <si>
    <r>
      <rPr>
        <sz val="10"/>
        <color rgb="FF000000"/>
        <rFont val="等线"/>
        <charset val="134"/>
        <scheme val="minor"/>
      </rPr>
      <t>20 Manipulation of vehicle data/code</t>
    </r>
    <r>
      <rPr>
        <sz val="10"/>
        <color rgb="FF000000"/>
        <rFont val="等线"/>
        <charset val="134"/>
      </rPr>
      <t xml:space="preserve">
</t>
    </r>
    <r>
      <rPr>
        <sz val="10"/>
        <color rgb="FF000000"/>
        <rFont val="等线"/>
        <charset val="134"/>
      </rPr>
      <t>24 Disruption of systems or operations</t>
    </r>
    <r>
      <rPr>
        <sz val="10"/>
        <color rgb="FF000000"/>
        <rFont val="等线"/>
        <charset val="134"/>
      </rPr>
      <t xml:space="preserve">
</t>
    </r>
    <r>
      <rPr>
        <sz val="10"/>
        <color rgb="FF000000"/>
        <rFont val="等线"/>
        <charset val="134"/>
      </rPr>
      <t>27 Parts or supplies could be compromised to permit vehicles to be attacked</t>
    </r>
    <r>
      <rPr>
        <sz val="10"/>
        <color rgb="FF000000"/>
        <rFont val="等线"/>
        <charset val="134"/>
      </rPr>
      <t xml:space="preserve"> </t>
    </r>
  </si>
  <si>
    <r>
      <rPr>
        <sz val="10"/>
        <color rgb="FF000000"/>
        <rFont val="等线"/>
        <charset val="134"/>
        <scheme val="minor"/>
      </rPr>
      <t>20.5Unauthorized changes to system diagnostic data</t>
    </r>
    <r>
      <rPr>
        <sz val="10"/>
        <color rgb="FF000000"/>
        <rFont val="等线"/>
        <charset val="134"/>
      </rPr>
      <t xml:space="preserve">
</t>
    </r>
    <r>
      <rPr>
        <sz val="10"/>
        <color rgb="FF000000"/>
        <rFont val="等线"/>
        <charset val="134"/>
      </rPr>
      <t>24.1 Denial of service, for example this may be triggered on the internal network by flooding a CAN bus, or by provoking faults on an ECU via a high rate of messaging</t>
    </r>
    <r>
      <rPr>
        <sz val="10"/>
        <color rgb="FF000000"/>
        <rFont val="等线"/>
        <charset val="134"/>
      </rPr>
      <t xml:space="preserve">
</t>
    </r>
    <r>
      <rPr>
        <sz val="10"/>
        <color rgb="FF000000"/>
        <rFont val="等线"/>
        <charset val="134"/>
      </rPr>
      <t>27.1Hardware or software, engineered to enable an attack or fails to meet design criteria to stop an attack</t>
    </r>
    <r>
      <rPr>
        <sz val="10"/>
        <color rgb="FF000000"/>
        <rFont val="等线"/>
        <charset val="134"/>
      </rPr>
      <t xml:space="preserve"> </t>
    </r>
  </si>
  <si>
    <t xml:space="preserve">Due to a flaw in the communication protocol, the availability of CCUcan be compromised, resulting in unavailability of functionality or denial of service attacks. </t>
  </si>
  <si>
    <r>
      <rPr>
        <sz val="10"/>
        <color rgb="FF000000"/>
        <rFont val="等线"/>
        <charset val="134"/>
        <scheme val="minor"/>
      </rPr>
      <t>20 Manipulation of vehicle data/code</t>
    </r>
    <r>
      <rPr>
        <sz val="10"/>
        <color rgb="FF000000"/>
        <rFont val="等线"/>
        <charset val="134"/>
      </rPr>
      <t xml:space="preserve">
</t>
    </r>
    <r>
      <rPr>
        <sz val="10"/>
        <color rgb="FF000000"/>
        <rFont val="等线"/>
        <charset val="134"/>
      </rPr>
      <t>24 Disruption of systems or operations</t>
    </r>
    <r>
      <rPr>
        <sz val="10"/>
        <color rgb="FF000000"/>
        <rFont val="等线"/>
        <charset val="134"/>
      </rPr>
      <t xml:space="preserve">
</t>
    </r>
    <r>
      <rPr>
        <sz val="10"/>
        <color rgb="FF000000"/>
        <rFont val="等线"/>
        <charset val="134"/>
      </rPr>
      <t>29 Network design introduces vulnerabilities</t>
    </r>
    <r>
      <rPr>
        <sz val="10"/>
        <color rgb="FF000000"/>
        <rFont val="等线"/>
        <charset val="134"/>
      </rPr>
      <t xml:space="preserve">   </t>
    </r>
  </si>
  <si>
    <r>
      <rPr>
        <sz val="10"/>
        <color rgb="FF000000"/>
        <rFont val="等线"/>
        <charset val="134"/>
        <scheme val="minor"/>
      </rPr>
      <t>20.5Unauthorized changes to system diagnostic data</t>
    </r>
    <r>
      <rPr>
        <sz val="10"/>
        <color rgb="FF000000"/>
        <rFont val="等线"/>
        <charset val="134"/>
      </rPr>
      <t xml:space="preserve">
</t>
    </r>
    <r>
      <rPr>
        <sz val="10"/>
        <color rgb="FF000000"/>
        <rFont val="等线"/>
        <charset val="134"/>
      </rPr>
      <t>24.1 Denial of service, for example this may be triggered on the internal network by flooding a CAN bus, or by provoking faults on an ECU via a high rate of messaging</t>
    </r>
    <r>
      <rPr>
        <sz val="10"/>
        <color rgb="FF000000"/>
        <rFont val="等线"/>
        <charset val="134"/>
      </rPr>
      <t xml:space="preserve">
</t>
    </r>
    <r>
      <rPr>
        <sz val="10"/>
        <color rgb="FF000000"/>
        <rFont val="等线"/>
        <charset val="134"/>
      </rPr>
      <t>29.2Circumvent network separation to gain control. Specific example is the use of unprotected gateways, or access points (such as truck-trailer gateways), to circumvent protections and gain access to other network segments to perform malicious acts, such as sending arbitrary CAN bus messages</t>
    </r>
    <r>
      <rPr>
        <sz val="10"/>
        <color rgb="FF000000"/>
        <rFont val="等线"/>
        <charset val="134"/>
      </rPr>
      <t xml:space="preserve"> </t>
    </r>
  </si>
  <si>
    <t>Due to possible I/O and processing bottlenecks in the communication channel, the availability of CCUmay be compromised, resulting in unavailability of functionality or denial of service attacks.</t>
  </si>
  <si>
    <t>Attackers can flood CCUservices through external ports or debugging interfaces, rendering the services unavailable.</t>
  </si>
  <si>
    <t>The attacker flashes the firmware ofCCU through an external interface (such as USB, JTAG interface, OBD) and sends malicious commands or messages to CCU.</t>
  </si>
  <si>
    <t>SR-02-008</t>
  </si>
  <si>
    <t>CCUshould be started securely to prevent attackers from flooding CCUservices through external ports or debug interfaces, causing service unavailability</t>
  </si>
  <si>
    <t>8.1、20.5</t>
  </si>
  <si>
    <r>
      <rPr>
        <sz val="10"/>
        <color rgb="FF000000"/>
        <rFont val="等线"/>
        <charset val="134"/>
        <scheme val="minor"/>
      </rPr>
      <t>8 Denial of service attacks via communication channels to disrupt vehicle functions</t>
    </r>
    <r>
      <rPr>
        <sz val="10"/>
        <color rgb="FF000000"/>
        <rFont val="等线"/>
        <charset val="134"/>
      </rPr>
      <t xml:space="preserve">
</t>
    </r>
    <r>
      <rPr>
        <sz val="10"/>
        <color rgb="FF000000"/>
        <rFont val="等线"/>
        <charset val="134"/>
      </rPr>
      <t>20 Manipulation of vehicle data/code</t>
    </r>
    <r>
      <rPr>
        <sz val="10"/>
        <color rgb="FF000000"/>
        <rFont val="等线"/>
        <charset val="134"/>
      </rPr>
      <t xml:space="preserve"> </t>
    </r>
  </si>
  <si>
    <r>
      <rPr>
        <sz val="10"/>
        <color rgb="FF000000"/>
        <rFont val="等线"/>
        <charset val="134"/>
        <scheme val="minor"/>
      </rPr>
      <t>8.1 Sending a large number of garbage data to vehicle information system, so that it is unable to provide services in the normal manner</t>
    </r>
    <r>
      <rPr>
        <sz val="10"/>
        <color rgb="FF000000"/>
        <rFont val="等线"/>
        <charset val="134"/>
      </rPr>
      <t xml:space="preserve">
</t>
    </r>
    <r>
      <rPr>
        <sz val="10"/>
        <color rgb="FF000000"/>
        <rFont val="等线"/>
        <charset val="134"/>
      </rPr>
      <t>20.5Unauthorized changes to system diagnostic data</t>
    </r>
  </si>
  <si>
    <t xml:space="preserve">Because the device does not verify the source information, the authenticity of CCUmay be compromised, resulting in the CCU accepting false data from a replicable terminal. </t>
  </si>
  <si>
    <t>Attackers can deceive the ECU by impersonating others and send malicious data to CCU.</t>
  </si>
  <si>
    <t>SR-02-009</t>
  </si>
  <si>
    <t>Anti replay measures should be taken to prevent attackers from deceiving ECU with other identities and sending malicious data to CCU</t>
  </si>
  <si>
    <t>6.3、20.4</t>
  </si>
  <si>
    <r>
      <rPr>
        <sz val="10"/>
        <color rgb="FF000000"/>
        <rFont val="等线"/>
        <charset val="134"/>
        <scheme val="minor"/>
      </rPr>
      <t>6 Communication channels permit untrusted/unreliable messages to be accepted or are vulnerable to session hijacking/replay attacks</t>
    </r>
    <r>
      <rPr>
        <sz val="10"/>
        <color rgb="FF000000"/>
        <rFont val="等线"/>
        <charset val="134"/>
      </rPr>
      <t xml:space="preserve">
</t>
    </r>
    <r>
      <rPr>
        <sz val="10"/>
        <color rgb="FF000000"/>
        <rFont val="等线"/>
        <charset val="134"/>
      </rPr>
      <t>20 Manipulation of vehicle data/code</t>
    </r>
    <r>
      <rPr>
        <sz val="10"/>
        <color rgb="FF000000"/>
        <rFont val="等线"/>
        <charset val="134"/>
      </rPr>
      <t xml:space="preserve">     </t>
    </r>
  </si>
  <si>
    <r>
      <rPr>
        <sz val="10"/>
        <color rgb="FF000000"/>
        <rFont val="等线"/>
        <charset val="134"/>
        <scheme val="minor"/>
      </rPr>
      <t>6.3 Replay attack, for example an attack against a communication gateway allows the attacker to downgrade software of an ECU or firmware of the gateway</t>
    </r>
    <r>
      <rPr>
        <sz val="10"/>
        <color rgb="FF000000"/>
        <rFont val="等线"/>
        <charset val="134"/>
      </rPr>
      <t xml:space="preserve">
</t>
    </r>
    <r>
      <rPr>
        <sz val="10"/>
        <color rgb="FF000000"/>
        <rFont val="等线"/>
        <charset val="134"/>
      </rPr>
      <t>20.4Data manipulation to falsify vehicle’s driving data (e.g. mileage, driving speed, driving directions, etc.)</t>
    </r>
    <r>
      <rPr>
        <sz val="10"/>
        <color rgb="FF000000"/>
        <rFont val="等线"/>
        <charset val="134"/>
      </rPr>
      <t xml:space="preserve"> </t>
    </r>
  </si>
  <si>
    <t>Due to improper setting of CAN access control permissions or risks in the access control mechanism, the authorization of CCUmay be damaged, causing the CCU to exceed the permission.</t>
  </si>
  <si>
    <t>Seeds should have randomness and a length of no less than 4 bytes to prevent attackers from using pseudo-random numbers, short random numbers, and other risks to bypass 27 services or ungraded permissions through explosive means, in order to obtain permission elevation with lower permissions.</t>
  </si>
  <si>
    <t>9.1、26.1</t>
  </si>
  <si>
    <r>
      <rPr>
        <sz val="10"/>
        <color rgb="FF000000"/>
        <rFont val="等线"/>
        <charset val="134"/>
        <scheme val="minor"/>
      </rPr>
      <t>9 An unprivileged user is able to gain privileged access to vehicle systems</t>
    </r>
    <r>
      <rPr>
        <sz val="10"/>
        <color rgb="FF000000"/>
        <rFont val="等线"/>
        <charset val="134"/>
      </rPr>
      <t xml:space="preserve">
</t>
    </r>
    <r>
      <rPr>
        <sz val="10"/>
        <color rgb="FF000000"/>
        <rFont val="等线"/>
        <charset val="134"/>
      </rPr>
      <t>26 Cryptographic technologies can be compromised or are insufficiently applied</t>
    </r>
  </si>
  <si>
    <r>
      <rPr>
        <sz val="10"/>
        <color rgb="FF000000"/>
        <rFont val="等线"/>
        <charset val="134"/>
        <scheme val="minor"/>
      </rPr>
      <t xml:space="preserve">9.1An unprivileged user is able to gain privileged access, for example root access </t>
    </r>
    <r>
      <rPr>
        <sz val="10"/>
        <color rgb="FF000000"/>
        <rFont val="等线"/>
        <charset val="134"/>
      </rPr>
      <t xml:space="preserve">
</t>
    </r>
    <r>
      <rPr>
        <sz val="10"/>
        <color rgb="FF000000"/>
        <rFont val="等线"/>
        <charset val="134"/>
      </rPr>
      <t>26.1 Combination of short encryption keys and long period of validity enables attacker to break encryption</t>
    </r>
  </si>
  <si>
    <t>P037</t>
  </si>
  <si>
    <t>BCM*n</t>
  </si>
  <si>
    <t>DM-08-001</t>
  </si>
  <si>
    <t xml:space="preserve">Because device identification information and key configurations can be read arbitrarily, the confidentiality of BCM may be damaged, resulting in the disclosure of sensitive BCM information. </t>
  </si>
  <si>
    <t>TM-08-001</t>
  </si>
  <si>
    <t>An attacker gains access to the communication channel (CAN) of the BCM or control rights of other Electronic Control Units (ECUs) within the domain through an external communication channel (such as FMS or OBD interfaces), and then sends malicious commands or messages to the BCM.</t>
  </si>
  <si>
    <t>SR-08-001</t>
  </si>
  <si>
    <t>DM-08-002</t>
  </si>
  <si>
    <t>Due to USB, JTAG, UART, and other interfaces being left open or having ineffective access control, BCM may be compromised, leading to the leakage of sensitive information.</t>
  </si>
  <si>
    <t>TM-08-002</t>
  </si>
  <si>
    <t>The attacker gains control of the electronic control unit (ECU) of BCM through an external debugging interface (such as USB, JTAG interface, serial port), and then sends malicious commands or messages to BCM.</t>
  </si>
  <si>
    <t>SR-08-002</t>
  </si>
  <si>
    <t>DM-08-003</t>
  </si>
  <si>
    <t xml:space="preserve">Due to vulnerabilities such as buffer overflows and backdoors, the integrity of BCMmay be compromised, resulting in malicious modification of BCM data or code. </t>
  </si>
  <si>
    <t>TM-08-003</t>
  </si>
  <si>
    <t>Attackers can tamper with the memory of BCM through diagnostic services, leading to data alterations</t>
  </si>
  <si>
    <t>SR-08-003</t>
  </si>
  <si>
    <t>DM-08-004</t>
  </si>
  <si>
    <t xml:space="preserve">Due to vulnerabilities such as buffer overflows and backdoors, the integrity of BCMmay be compromised, resulting in malicious modification of data or code.  </t>
  </si>
  <si>
    <t>TM-08-004</t>
  </si>
  <si>
    <t>Attackers can tamper with the configuration or memory data of [BCM Name].</t>
  </si>
  <si>
    <t>SR-08-004</t>
  </si>
  <si>
    <t>DM-08-005</t>
  </si>
  <si>
    <t xml:space="preserve">Due to possible I/O and processing bottlenecks in the communication channel, the availability of BCMmay be compromised, resulting in unavailability of the BCM or denial of service attacks. </t>
  </si>
  <si>
    <t>TM-08-005</t>
  </si>
  <si>
    <t>DM-08-006</t>
  </si>
  <si>
    <t>Due to a flaw in the communication protocol, the availability of BCMcan be compromised, resulting in an unavailability of the BCM or a denial of service attack.</t>
  </si>
  <si>
    <t>TM-08-006</t>
  </si>
  <si>
    <t>DM-08-007</t>
  </si>
  <si>
    <t>Because the device does not verify the source information, the authenticity of BCMmay be compromised, resulting in the BCM accepting false data from a replicable terminal</t>
  </si>
  <si>
    <t>TM-08-007</t>
  </si>
  <si>
    <t>Attackers can deceive the ECU by impersonating others and send malicious data to BCM.</t>
  </si>
  <si>
    <t>SR-08-007</t>
  </si>
  <si>
    <t>DM-08-008</t>
  </si>
  <si>
    <t>TM-08-008</t>
  </si>
  <si>
    <t>The attacker captures the RF signal sent by BCM and then tampered with and replayed the signal to BCM.</t>
  </si>
  <si>
    <t>SR-08-008</t>
  </si>
  <si>
    <t>Radio frequency such as wireless keys should have a rolling code mechanism to prevent replay and relay.
The rolling code synchronization mechanism should ensure that there is no rolling code synchronization attack.</t>
  </si>
  <si>
    <t>M10、M20</t>
  </si>
  <si>
    <t>6.3Replay attack, for example an attack against a communication gateway allows the attacker to downgrade software of an ECU or firmware of the gateway
16.1 Manipulation of functions designed to remotely operate vehicle systems, such as remote key, immobiliser, and charging pile</t>
  </si>
  <si>
    <t>DM-08-009</t>
  </si>
  <si>
    <t>Due to improper setting of CAN access control permissions or risks in the access control mechanism, the authorization of BCMmay be damaged, causing the BCM to exceed the permission.</t>
  </si>
  <si>
    <t>TM-08-009</t>
  </si>
  <si>
    <t>SR-08-009</t>
  </si>
  <si>
    <t>P038</t>
  </si>
  <si>
    <t>LBMS</t>
  </si>
  <si>
    <t xml:space="preserve">Because device identification information and key configurations can be read arbitrarily, the confidentiality of LBMS may be damaged, resulting in the disclosure of sensitive LBMS information. </t>
  </si>
  <si>
    <t>An attacker gains access to the communication channel (CAN) of the LBMS or control rights of other Electronic Control Units (ECUs) within the domain through an external communication channel (such as FMS or OBD interfaces), and then sends malicious commands or messages to the LBMS.</t>
  </si>
  <si>
    <t>Due to USB, JTAG, UART, and other interfaces being left open or having ineffective access control, LBMS may be compromised, leading to the leakage of sensitive information.</t>
  </si>
  <si>
    <t>The attacker gains control of the electronic control unit (ECU) of LBMS through an external debugging interface (such as USB, JTAG interface, serial port), and then sends malicious commands or messages to LBMS.</t>
  </si>
  <si>
    <t xml:space="preserve">Due to vulnerabilities such as buffer overflows and backdoors, the integrity of LBMSmay be compromised, resulting in malicious modification of LBMS data or code. </t>
  </si>
  <si>
    <t>Attackers can tamper with the memory of LBMS through diagnostic services, leading to data alterations</t>
  </si>
  <si>
    <t xml:space="preserve">Due to vulnerabilities such as buffer overflows and backdoors, the integrity of LBMSmay be compromised, resulting in malicious modification of data or code.  </t>
  </si>
  <si>
    <t>Attackers can tamper with the configuration or memory data of [LBMS Name].</t>
  </si>
  <si>
    <t>Due to a flaw in the communication protocol, the availability of LBMScan be compromised, resulting in an unavailability of the LBMS or a denial of service attack.</t>
  </si>
  <si>
    <t>Because the device does not verify the source information, the authenticity of LBMSmay be compromised, resulting in the LBMS accepting false data from a replicable terminal</t>
  </si>
  <si>
    <t>Attackers can deceive the ECU by impersonating others and send malicious data to LBMS.</t>
  </si>
  <si>
    <t>Due to improper setting of CAN access control permissions or risks in the access control mechanism, the authorization of LBMSmay be damaged, causing the LBMS to exceed the permission.</t>
  </si>
  <si>
    <t>P039</t>
  </si>
  <si>
    <t>Smoke Alarm</t>
  </si>
  <si>
    <t>Due to USB, JTAG, UART, and other interfaces being left open or having ineffective access control, Smoke Alarm may be compromised, leading to the leakage of sensitive information.</t>
  </si>
  <si>
    <t>The attacker gains control of the electronic control unit (ECU) of Smoke Alarm through an external debugging interface (such as USB, JTAG interface, serial port), and then sends malicious commands or messages to Smoke Alarm.</t>
  </si>
  <si>
    <t>Due to the potential interception of communication channels, the integrity of Smoke Alarmmay be compromised, resulting in malicious alterations to data or code.</t>
  </si>
  <si>
    <t>An attacker gains access to the communication channel (CAN) of the Smoke Alarm or control rights of other Electronic Control Units (ECUs) within the domain through an external communication channel (such as FMS or OBD interfaces), and then sends malicious commands or messages to the Smoke Alarm.</t>
  </si>
  <si>
    <t xml:space="preserve">Due to vulnerabilities such as buffer overflows and backdoors, the integrity of Smoke Alarmmay be compromised, resulting in malicious modification of data or code.  </t>
  </si>
  <si>
    <t>Attackers can tamper with the configuration or memory data of [Smoke Alarm Name].</t>
  </si>
  <si>
    <t>The network security attribute [Availability] is not applicable to this Smoke Alarm.</t>
  </si>
  <si>
    <t>P040</t>
  </si>
  <si>
    <t>IPM</t>
  </si>
  <si>
    <t xml:space="preserve">Because device identification information and key configurations can be read arbitrarily, the confidentiality of IPM may be damaged, resulting in the disclosure of sensitive IPM information. </t>
  </si>
  <si>
    <t>An attacker gains access to the communication channel (CAN) of the IPM or control rights of other Electronic Control Units (ECUs) within the domain through an external communication channel (such as FMS or OBD interfaces), and then sends malicious commands or messages to the IPM.</t>
  </si>
  <si>
    <t>Due to USB, JTAG, UART, and other interfaces being left open or having ineffective access control, IPM may be compromised, leading to the leakage of sensitive information.</t>
  </si>
  <si>
    <t>The attacker gains control of the electronic control unit (ECU) of IPM through an external debugging interface (such as USB, JTAG interface, serial port), and then sends malicious commands or messages to IPM.</t>
  </si>
  <si>
    <t xml:space="preserve">Due to vulnerabilities such as buffer overflows and backdoors, the integrity of IPMmay be compromised, resulting in malicious modification of IPM data or code. </t>
  </si>
  <si>
    <t>Attackers can tamper with the memory of IPM through diagnostic services, leading to data alterations</t>
  </si>
  <si>
    <t xml:space="preserve">Due to vulnerabilities such as buffer overflows and backdoors, the integrity of IPMmay be compromised, resulting in malicious modification of data or code.  </t>
  </si>
  <si>
    <t>Attackers can tamper with the configuration or memory data of [IPM Name].</t>
  </si>
  <si>
    <t>Due to a flaw in the communication protocol, the availability of IPMcan be compromised, resulting in an unavailability of the IPM or a denial of service attack.</t>
  </si>
  <si>
    <t>Because the device does not verify the source information, the authenticity of IPMmay be compromised, resulting in the IPM accepting false data from a replicable terminal</t>
  </si>
  <si>
    <t>Attackers can deceive the ECU by impersonating others and send malicious data to IPM.</t>
  </si>
  <si>
    <t>Due to improper setting of CAN access control permissions or risks in the access control mechanism, the authorization of IPMmay be damaged, causing the IPM to exceed the permission.</t>
  </si>
  <si>
    <t>P041</t>
  </si>
  <si>
    <t>AEBS</t>
  </si>
  <si>
    <t xml:space="preserve">Because device identification information and key configurations can be read arbitrarily, the confidentiality of AEBS may be damaged, resulting in the disclosure of sensitive AEBS information. </t>
  </si>
  <si>
    <t>An attacker gains access to the communication channel (CAN) of the AEBS or control rights of other Electronic Control Units (ECUs) within the domain through an external communication channel (such as FMS or OBD interfaces), and then sends malicious commands or messages to the AEBS.</t>
  </si>
  <si>
    <t>Due to USB, JTAG, UART, and other interfaces being left open or having ineffective access control, AEBS may be compromised, leading to the leakage of sensitive information.</t>
  </si>
  <si>
    <t>The attacker gains control of the electronic control unit (ECU) of AEBS through an external debugging interface (such as USB, JTAG interface, serial port), and then sends malicious commands or messages to AEBS.</t>
  </si>
  <si>
    <t xml:space="preserve">Due to vulnerabilities such as buffer overflows and backdoors, the integrity of AEBSmay be compromised, resulting in malicious modification of AEBS data or code. </t>
  </si>
  <si>
    <t>Attackers can tamper with the memory of AEBS through diagnostic services, leading to data alterations</t>
  </si>
  <si>
    <t xml:space="preserve">Due to vulnerabilities such as buffer overflows and backdoors, the integrity of AEBSmay be compromised, resulting in malicious modification of data or code.  </t>
  </si>
  <si>
    <t>Attackers can tamper with the configuration or memory data of [AEBS Name].</t>
  </si>
  <si>
    <t>Due to a flaw in the communication protocol, the availability of AEBScan be compromised, resulting in an unavailability of the AEBS or a denial of service attack.</t>
  </si>
  <si>
    <t>Because the device does not verify the source information, the authenticity of AEBSmay be compromised, resulting in the AEBS accepting false data from a replicable terminal</t>
  </si>
  <si>
    <t>Attackers can deceive the ECU by impersonating others and send malicious data to AEBS.</t>
  </si>
  <si>
    <t>Due to improper setting of CAN access control permissions or risks in the access control mechanism, the authorization of AEBSmay be damaged, causing the AEBS to exceed the permission.</t>
  </si>
  <si>
    <t>P042</t>
  </si>
  <si>
    <t>SRR</t>
  </si>
  <si>
    <t xml:space="preserve">Because device identification information and key configurations can be read arbitrarily, the confidentiality of SRR may be damaged, resulting in the disclosure of sensitive SRR information. </t>
  </si>
  <si>
    <t>An attacker gains access to the communication channel (CAN) of the SRR or control rights of other Electronic Control Units (ECUs) within the domain through an external communication channel (such as FMS or OBD interfaces), and then sends malicious commands or messages to the SRR.</t>
  </si>
  <si>
    <t>Due to USB, JTAG, UART, and other interfaces being left open or having ineffective access control, SRR may be compromised, leading to the leakage of sensitive information.</t>
  </si>
  <si>
    <t>The attacker gains control of the electronic control unit (ECU) of SRR through an external debugging interface (such as USB, JTAG interface, serial port), and then sends malicious commands or messages to SRR.</t>
  </si>
  <si>
    <t xml:space="preserve">Due to vulnerabilities such as buffer overflows and backdoors, the integrity of SRRmay be compromised, resulting in malicious modification of SRR data or code. </t>
  </si>
  <si>
    <t>Attackers can tamper with the memory of SRR through diagnostic services, leading to data alterations</t>
  </si>
  <si>
    <t xml:space="preserve">Due to vulnerabilities such as buffer overflows and backdoors, the integrity of SRRmay be compromised, resulting in malicious modification of data or code.  </t>
  </si>
  <si>
    <t>Attackers can tamper with the configuration or memory data of [SRR Name].</t>
  </si>
  <si>
    <t>Due to a flaw in the communication protocol, the availability of SRRcan be compromised, resulting in an unavailability of the SRR or a denial of service attack.</t>
  </si>
  <si>
    <t>Because the device does not verify the source information, the authenticity of SRRmay be compromised, resulting in the SRR accepting false data from a replicable terminal</t>
  </si>
  <si>
    <t>Attackers can deceive the ECU by impersonating others and send malicious data to SRR.</t>
  </si>
  <si>
    <t>Due to improper setting of CAN access control permissions or risks in the access control mechanism, the authorization of SRRmay be damaged, causing the SRR to exceed the permission.</t>
  </si>
  <si>
    <t>P043</t>
  </si>
  <si>
    <t>MCU</t>
  </si>
  <si>
    <t xml:space="preserve">Because device identification information and key configurations can be read arbitrarily, the confidentiality of MCU may be damaged, resulting in the disclosure of sensitive MCU information. </t>
  </si>
  <si>
    <t>An attacker gains access to the communication channel (CAN) of the MCU or control rights of other Electronic Control Units (ECUs) within the domain through an external communication channel (such as FMS or OBD interfaces), and then sends malicious commands or messages to the MCU.</t>
  </si>
  <si>
    <t>Due to USB, JTAG, UART, and other interfaces being left open or having ineffective access control, MCU may be compromised, leading to the leakage of sensitive information.</t>
  </si>
  <si>
    <t>The attacker gains control of the electronic control unit (ECU) of MCU through an external debugging interface (such as USB, JTAG interface, serial port), and then sends malicious commands or messages to MCU.</t>
  </si>
  <si>
    <t xml:space="preserve">Due to vulnerabilities such as buffer overflows and backdoors, the integrity of MCUmay be compromised, resulting in malicious modification of MCU data or code. </t>
  </si>
  <si>
    <t>Attackers can tamper with the memory of MCU through diagnostic services, leading to data alterations</t>
  </si>
  <si>
    <t xml:space="preserve">Due to vulnerabilities such as buffer overflows and backdoors, the integrity of MCUmay be compromised, resulting in malicious modification of data or code.  </t>
  </si>
  <si>
    <t>Attackers can tamper with the configuration or memory data of [MCU Name].</t>
  </si>
  <si>
    <t>Due to a flaw in the communication protocol, the availability of MCUcan be compromised, resulting in an unavailability of the MCU or a denial of service attack.</t>
  </si>
  <si>
    <t>Because the device does not verify the source information, the authenticity of MCUmay be compromised, resulting in the MCU accepting false data from a replicable terminal</t>
  </si>
  <si>
    <t>Attackers can deceive the ECU by impersonating others and send malicious data to MCU.</t>
  </si>
  <si>
    <t>Due to improper setting of CAN access control permissions or risks in the access control mechanism, the authorization of MCUmay be damaged, causing the MCU to exceed the permission.</t>
  </si>
  <si>
    <t>P044</t>
  </si>
  <si>
    <t>PTC</t>
  </si>
  <si>
    <t xml:space="preserve">Because device identification information and key configurations can be read arbitrarily, the confidentiality of PTC may be damaged, resulting in the disclosure of sensitive PTC information. </t>
  </si>
  <si>
    <t>An attacker gains access to the communication channel (CAN) of the PTC or control rights of other Electronic Control Units (ECUs) within the domain through an external communication channel (such as FMS or OBD interfaces), and then sends malicious commands or messages to the PTC.</t>
  </si>
  <si>
    <t>Due to USB, JTAG, UART, and other interfaces being left open or having ineffective access control, PTC may be compromised, leading to the leakage of sensitive information.</t>
  </si>
  <si>
    <t>The attacker gains control of the electronic control unit (ECU) of PTC through an external debugging interface (such as USB, JTAG interface, serial port), and then sends malicious commands or messages to PTC.</t>
  </si>
  <si>
    <t xml:space="preserve">Due to vulnerabilities such as buffer overflows and backdoors, the integrity of PTCmay be compromised, resulting in malicious modification of PTC data or code. </t>
  </si>
  <si>
    <t>Attackers can tamper with the memory of PTC through diagnostic services, leading to data alterations</t>
  </si>
  <si>
    <t xml:space="preserve">Due to vulnerabilities such as buffer overflows and backdoors, the integrity of PTCmay be compromised, resulting in malicious modification of data or code.  </t>
  </si>
  <si>
    <t>Attackers can tamper with the configuration or memory data of [PTC Name].</t>
  </si>
  <si>
    <t>Due to a flaw in the communication protocol, the availability of PTCcan be compromised, resulting in an unavailability of the PTC or a denial of service attack.</t>
  </si>
  <si>
    <t>Because the device does not verify the source information, the authenticity of PTCmay be compromised, resulting in the PTC accepting false data from a replicable terminal</t>
  </si>
  <si>
    <t>Attackers can deceive the ECU by impersonating others and send malicious data to PTC.</t>
  </si>
  <si>
    <t>Due to improper setting of CAN access control permissions or risks in the access control mechanism, the authorization of PTCmay be damaged, causing the PTC to exceed the permission.</t>
  </si>
  <si>
    <t>P046</t>
  </si>
  <si>
    <t>FPAS</t>
  </si>
  <si>
    <t xml:space="preserve">Because device identification information and key configurations can be read arbitrarily, the confidentiality of FPAS may be damaged, resulting in the disclosure of sensitive FPAS information. </t>
  </si>
  <si>
    <t>An attacker gains access to the communication channel (CAN) of the FPAS or control rights of other Electronic Control Units (ECUs) within the domain through an external communication channel (such as FMS or OBD interfaces), and then sends malicious commands or messages to the FPAS.</t>
  </si>
  <si>
    <t>Due to USB, JTAG, UART, and other interfaces being left open or having ineffective access control, FPAS may be compromised, leading to the leakage of sensitive information.</t>
  </si>
  <si>
    <t>The attacker gains control of the electronic control unit (ECU) of FPAS through an external debugging interface (such as USB, JTAG interface, serial port), and then sends malicious commands or messages to FPAS.</t>
  </si>
  <si>
    <t xml:space="preserve">Due to vulnerabilities such as buffer overflows and backdoors, the integrity of FPASmay be compromised, resulting in malicious modification of FPAS data or code. </t>
  </si>
  <si>
    <t>Attackers can tamper with the memory of FPAS through diagnostic services, leading to data alterations</t>
  </si>
  <si>
    <t xml:space="preserve">Due to vulnerabilities such as buffer overflows and backdoors, the integrity of FPASmay be compromised, resulting in malicious modification of data or code.  </t>
  </si>
  <si>
    <t>Attackers can tamper with the configuration or memory data of [FPAS Name].</t>
  </si>
  <si>
    <t>Due to a flaw in the communication protocol, the availability of FPAScan be compromised, resulting in an unavailability of the FPAS or a denial of service attack.</t>
  </si>
  <si>
    <t>Because the device does not verify the source information, the authenticity of FPASmay be compromised, resulting in the FPAS accepting false data from a replicable terminal</t>
  </si>
  <si>
    <t>Attackers can deceive the ECU by impersonating others and send malicious data to FPAS.</t>
  </si>
  <si>
    <t>Due to improper setting of CAN access control permissions or risks in the access control mechanism, the authorization of FPASmay be damaged, causing the FPAS to exceed the permission.</t>
  </si>
  <si>
    <t>P047</t>
  </si>
  <si>
    <t>RPAS</t>
  </si>
  <si>
    <t xml:space="preserve">Because device identification information and key configurations can be read arbitrarily, the confidentiality of RPAS may be damaged, resulting in the disclosure of sensitive RPAS information. </t>
  </si>
  <si>
    <t>An attacker gains access to the communication channel (CAN) of the RPAS or control rights of other Electronic Control Units (ECUs) within the domain through an external communication channel (such as FMS or OBD interfaces), and then sends malicious commands or messages to the RPAS.</t>
  </si>
  <si>
    <t>Due to USB, JTAG, UART, and other interfaces being left open or having ineffective access control, RPAS may be compromised, leading to the leakage of sensitive information.</t>
  </si>
  <si>
    <t>The attacker gains control of the electronic control unit (ECU) of RPAS through an external debugging interface (such as USB, JTAG interface, serial port), and then sends malicious commands or messages to RPAS.</t>
  </si>
  <si>
    <t xml:space="preserve">Due to vulnerabilities such as buffer overflows and backdoors, the integrity of RPASmay be compromised, resulting in malicious modification of RPAS data or code. </t>
  </si>
  <si>
    <t>Attackers can tamper with the memory of RPAS through diagnostic services, leading to data alterations</t>
  </si>
  <si>
    <t xml:space="preserve">Due to vulnerabilities such as buffer overflows and backdoors, the integrity of RPASmay be compromised, resulting in malicious modification of data or code.  </t>
  </si>
  <si>
    <t>Attackers can tamper with the configuration or memory data of [RPAS Name].</t>
  </si>
  <si>
    <t>Due to a flaw in the communication protocol, the availability of RPAScan be compromised, resulting in an unavailability of the RPAS or a denial of service attack.</t>
  </si>
  <si>
    <t>Because the device does not verify the source information, the authenticity of RPASmay be compromised, resulting in the RPAS accepting false data from a replicable terminal</t>
  </si>
  <si>
    <t>Attackers can deceive the ECU by impersonating others and send malicious data to RPAS.</t>
  </si>
  <si>
    <t>Due to improper setting of CAN access control permissions or risks in the access control mechanism, the authorization of RPASmay be damaged, causing the RPAS to exceed the permission.</t>
  </si>
  <si>
    <t>P048</t>
  </si>
  <si>
    <t>OBD</t>
  </si>
  <si>
    <t>DM-07-001</t>
  </si>
  <si>
    <t xml:space="preserve">Because communication data is not transmitted encrypted, simple encryption is adopted, or channel isolation is incomplete, the confidentiality of OBDmay be damaged, resulting in the disclosure of sensitive information.  </t>
  </si>
  <si>
    <t>Communication data is not encrypted for transmission, employs a simplistic encryption method, or has incomplete channel isolation.</t>
  </si>
  <si>
    <t>TM-07-001</t>
  </si>
  <si>
    <t>Attackers can obtain full communication information or sensitive data by accessing the OBD interface.</t>
  </si>
  <si>
    <t>An attacker gains access to the communication channel (CAN) of the OBD or control rights of other Electronic Control Units (ECUs) within the domain through an external communication channel (such as FMS or OBD interfaces), and then sends malicious commands or messages to the OBD.</t>
  </si>
  <si>
    <t>SR-07-001</t>
  </si>
  <si>
    <t>The CAN connected to the OBD port is solely for diagnostic use and is not multiplexed with the vehicle's internal communication lines.</t>
  </si>
  <si>
    <t>M22</t>
  </si>
  <si>
    <t>Devices connected to external interfaces e.g. USB ports, OBD port, used as a means to attack vehicle systems</t>
  </si>
  <si>
    <t>Diagnostic access (e.g. dongles in OBD port) usedto facilitate an attack, e.g. manipulate vehicle parameters (directly or indirectly)</t>
  </si>
  <si>
    <t>DM-07-003</t>
  </si>
  <si>
    <t xml:space="preserve">Due to a flaw in the communication protocol, the availability of OBDcan be compromised, resulting in unavailability of functionality or denial of service attacks.  </t>
  </si>
  <si>
    <t>TM-07-003</t>
  </si>
  <si>
    <t>Attackers can disrupt the OBD interface by abusing the error frame mechanism.</t>
  </si>
  <si>
    <t>SR-07-003</t>
  </si>
  <si>
    <t>Implement a timely detection and handling mechanism for error frames to ensure that error frames do not cause abnormal operation or crashes of the OBD interface.</t>
  </si>
  <si>
    <t>CAN</t>
  </si>
  <si>
    <t>Data Stream</t>
  </si>
  <si>
    <t>General  CAN Stream</t>
  </si>
  <si>
    <t>DM-15-001</t>
  </si>
  <si>
    <t xml:space="preserve">Because the communication channel through which the data is accessible is not isolated or the isolation is incomplete, the confidentiality of General  CAN Streammay be compromised, resulting in the disclosure of sensitive information.  </t>
  </si>
  <si>
    <t>TM-15-001</t>
  </si>
  <si>
    <t>Attackers can obtain full communication information, leading to the leakage of sensitive data, by sniffing and monitoring [General  CAN Stream Name].</t>
  </si>
  <si>
    <t>An attacker gains access to the communication channel (CAN) of the General  CAN Stream or control rights of other Electronic Control Units (ECUs) within the domain through an external communication channel (such as FMS or OBD interfaces), and then sends malicious commands or messages to the General  CAN Stream.</t>
  </si>
  <si>
    <t>DM-15-002</t>
  </si>
  <si>
    <t>Due to the lack of encrypted transmission in the communication channels accessing data, or the utilization of simplistic encryption methods, the confidentiality of General  CAN Streammay be compromised, leading to the leakage of sensitive information.</t>
  </si>
  <si>
    <t>The communication channel for accessible data is not encrypted for transmission, or employs a simplistic encryption method.</t>
  </si>
  <si>
    <t>TM-15-002</t>
  </si>
  <si>
    <t>Attackers can obtain unencrypted sensitive information by sniffing and monitoring [General  CAN Stream Name].</t>
  </si>
  <si>
    <t>7 Information can be readily disclosed. For example, through eavesdropping on communications or through allowing unauthorized access to sensitive files or folders 
26 Cryptographic technologies can be compromised or are insufficiently applied</t>
  </si>
  <si>
    <t>7.1Interception of information / interfering radiations 
/ monitoring communications
26.2 Insufficient use of cryptographic algorithms to protect sensitive systems</t>
  </si>
  <si>
    <t>DM-15-003</t>
  </si>
  <si>
    <t>Due to the potential interception of communication channels, the integrity of General  CAN Streammay be compromised, resulting in malicious alterations to data or code.</t>
  </si>
  <si>
    <t>TM-15-003</t>
  </si>
  <si>
    <t>DM-15-004</t>
  </si>
  <si>
    <t>Due to potential bottlenecks in I/O and processing capabilities of critical communication systems, the availability of General  CAN Streammay be compromised, leading to functionality unavailability or denial of service attacks.</t>
  </si>
  <si>
    <t>The key communication system may have bottlenecks in I/O and processing capabilities.</t>
  </si>
  <si>
    <t>TM-15-004</t>
  </si>
  <si>
    <t>Attacks involving sending a large number of data frames can degrade the availability or performance of the bus, causing operational functions to malfunction.</t>
  </si>
  <si>
    <t>7 Information can be readily disclosed. For example, through eavesdropping on communications or through allowing unauthorized access to sensitive files or folders
24 Disruption of systems or operations</t>
  </si>
  <si>
    <t>7.1Interception of information / interfering radiations 
/ monitoring communications
24.1 Denial of service, for example this may be triggered on the internal network by flooding a CAN bus, or by provoking faults on an ECU via a high rate of messaging</t>
  </si>
  <si>
    <t>DM-15-005</t>
  </si>
  <si>
    <t>Due to flaws in communication protocols, the availability of General  CAN Streammay be compromised, resulting in functionality unavailability or denial of service attacks.</t>
  </si>
  <si>
    <t>TM-15-005</t>
  </si>
  <si>
    <t>Attacks involving sending a large number of low-ID and higher-priority data frames can disrupt operational functions.</t>
  </si>
  <si>
    <t>7 Information can be readily disclosed. For example, through eavesdropping on communications or through allowing unauthorized access to sensitive files or folders
11 Messages received by the vehicle (for example X2V or diagnostic messages), or transmitted within it, contain malicious content
24 Disruption of systems or operations</t>
  </si>
  <si>
    <t>7.1Interception of information / interfering radiations 
/ monitoring communications
11.1Malicious internal (e.g. CAN) messages
11.3 Malicious diagnostic messages 
24.1 Denial of service, for example this may be triggered on the internal network by flooding a CAN bus, or by provoking faults on an ECU via a high rate of messaging</t>
  </si>
  <si>
    <t>DM-15-006</t>
  </si>
  <si>
    <t>Due to components failing to verify source information, the authenticity of General  CAN Streammay be compromised, allowing the General  CAN Stream to accept false data sent from imitated terminals.</t>
  </si>
  <si>
    <t>TM-15-006</t>
  </si>
  <si>
    <t>AE(P001P002)</t>
  </si>
  <si>
    <t xml:space="preserve">ETH data flow between TBOX and CDC  </t>
  </si>
  <si>
    <t>DM-18-001</t>
  </si>
  <si>
    <t>Due to unisolated or partially isolated communication channels for accessible data, the confidentiality of [ETH data flow between TBOX and CDC   name] may be compromised, resulting in the leakage of sensitive information.</t>
  </si>
  <si>
    <t>TM-18-001</t>
  </si>
  <si>
    <t>Attackers can obtain full communication information, leading to the leakage of sensitive data, by sniffing and monitoring [ETH data flow between TBOX and CDC   Name].</t>
  </si>
  <si>
    <t>An attacker can use the insecure TLS configuration in vehicle public network communications to carry out a man-in-the-middle attack (MITM) to steal or tamper with communication data, resulting in the disclosure of vehicle control instructions or sensitive information.</t>
  </si>
  <si>
    <t>无限制(Ultimated)</t>
  </si>
  <si>
    <t>SR-18-001</t>
  </si>
  <si>
    <t>When the vehicle is based on the public network communication, the TLS protocol should be used for secure communication and the secure TLS protocol version and reasonable security configuration should be adopted according to the requirements of the enterprise.</t>
  </si>
  <si>
    <t>Man in the middle attack / session hijacking</t>
  </si>
  <si>
    <t>DM-18-002</t>
  </si>
  <si>
    <t>Due to the absence of encryption or the use of simplistic encryption methods in transmitting accessible data, the confidentiality of [ETH data flow between TBOX and CDC   name] may be compromised, leading to the leakage of sensitive information.</t>
  </si>
  <si>
    <t>TM-18-002</t>
  </si>
  <si>
    <t>Attackers can obtain unencrypted sensitive information by sniffing and monitoring [ETH data flow between TBOX and CDC   Name].</t>
  </si>
  <si>
    <t>Attackers can exploit vulnerabilities in insecure encryption algorithms or authentication mechanisms in Ethernet communications to carry out man-in-the-middle attacks or replay attacks to decrypt, tamper with, or falsify communication data, resulting in abnormal vehicle function or sensitive information disclosure.</t>
  </si>
  <si>
    <t>SR-18-002</t>
  </si>
  <si>
    <t>The encryption algorithm is used to encrypt the Ethernet communication content, and the appropriate authentication mechanism is adopted to ensure that the encrypted content is used by the legitimate receiver.</t>
  </si>
  <si>
    <t>M8</t>
  </si>
  <si>
    <t>Information can be readily disclosed. For example, through eavesdropping on communications or through allowing unauthorized access to sensitive files or folders</t>
  </si>
  <si>
    <t>Gaining unauthorized access to files or data</t>
  </si>
  <si>
    <t>DM-18-003</t>
  </si>
  <si>
    <t>Due to the potential hijacking of communication channels, the integrity of [ETH data flow between TBOX and CDC   name] may be compromised, resulting in malicious alterations to data or code.</t>
  </si>
  <si>
    <t>TM-18-003</t>
  </si>
  <si>
    <t>Attackers can tamper with communication data through man-in-the-middle attacks.</t>
  </si>
  <si>
    <t>Attackers can use the weaknesses in the digital signature verification process to bypass integrity check, tamper with transmitted data, and cause vehicles to receive forged instructions or error information, affecting system security and stability.</t>
  </si>
  <si>
    <t>SR-18-003</t>
  </si>
  <si>
    <t>Digital signature techniques are used to ensure that data is not tampered with during transmission, such as two-way certificate verification.</t>
  </si>
  <si>
    <t>DM-18-004</t>
  </si>
  <si>
    <t>Due to potential bottlenecks in I/O and processing capabilities of critical communication systems, the availability of [ETH data flow between TBOX and CDC   name] may be compromised, resulting in functional unavailability or denial of service attacks.</t>
  </si>
  <si>
    <t>TM-18-004</t>
  </si>
  <si>
    <t>Attackers can cause denial of service by sending a large number of malformed messages.</t>
  </si>
  <si>
    <t>Attackers can use improper Ethernet rule configuration defects to bypass traffic control policies and launch DDoS attacks or malicious traffic injection, affecting normal communication and vehicle functions.</t>
  </si>
  <si>
    <t>SR-18-004</t>
  </si>
  <si>
    <t>By configuring iptables, ACL and other security policies, the traffic is controlled to avoid network paralysis caused by malicious attacks or abnormal traffic.</t>
  </si>
  <si>
    <t>M13、M3</t>
  </si>
  <si>
    <t>Denial of service attacks via communication channels to disrupt vehicle functions
It is possible to deny legitimate updates</t>
  </si>
  <si>
    <t>Sending a large number of garbage data to vehicle information system, so that it is unable to provide services in the normal manner
Denial of Service attack against update server or network to prevent rollout of critical software updates and/or unlock of customer specific features</t>
  </si>
  <si>
    <t>DM-18-005</t>
  </si>
  <si>
    <t>Due to flaws in communication protocols, the availability of [ETH data flow between TBOX and CDC   name] may be compromised, leading to functional unavailability or denial of service attacks.</t>
  </si>
  <si>
    <t>TM-18-005</t>
  </si>
  <si>
    <t>Attackers can exploit denial of service vulnerabilities to cause denial of service.</t>
  </si>
  <si>
    <t>Attackers can use network isolation to bypass subnet isolation, achieve cross-network segment attacks, obtain sensitive data or control devices in other subnets, and compromise the security of the vehicle network.</t>
  </si>
  <si>
    <t>DM-18-006</t>
  </si>
  <si>
    <t>Due to unverified source information in components, the authenticity of [ETH data flow between TBOX and CDC   name] may be compromised, resulting in the ETH data flow between TBOX and CDC   accepting false data sent from imitated terminals.</t>
  </si>
  <si>
    <t>TM-18-006</t>
  </si>
  <si>
    <t>Attackers can tamper with and forge Electronic Control Units (ECUs) to send malicious messages.</t>
  </si>
  <si>
    <t>By bypassing or cracking weak authentication mechanisms, attackers can forge ECU identities, send malicious messages or instructions that cause vehicle systems to perform unauthorized actions or create security vulnerabilities.</t>
  </si>
  <si>
    <t>SR-18-006</t>
  </si>
  <si>
    <t>An effective authentication mechanism was implemented to prevent attackers from tampering and forging ECU to send malicious messages</t>
  </si>
  <si>
    <t>5.2 Communications channels permit manipulate of 
vehicle held data/code 
5.3Communications channels permit overwrite of vehicle held data/code 
5.4Communications channels permit erasure of vehicle 
held data/code 
5.5Communications channels permit introduction of 
data/code to the vehicle (write data code)</t>
  </si>
  <si>
    <t>DM-18-007</t>
  </si>
  <si>
    <t>Due to unverified source information in components, the authenticity of [ETH data flow between TBOX and CDC   name] may be compromised, leading to the ETH data flow between TBOX and CDC   accepting false data sent from imitated terminals.</t>
  </si>
  <si>
    <t>TM-18-007</t>
  </si>
  <si>
    <t>Attackers can cause abnormal responses in driving functions by replaying ETH messages through the replay channel.</t>
  </si>
  <si>
    <t>By exploiting weaknesses in encryption algorithms or authentication mechanisms, attackers can decrypt or forge communication messages, tamper with data, or trick recipients into performing malicious operations that compromise the confidentiality, integrity, and source credibility of communication content.</t>
  </si>
  <si>
    <t>AE(P001P009)</t>
  </si>
  <si>
    <t xml:space="preserve">ETH data flow between VCM and CDC  </t>
  </si>
  <si>
    <t>Due to unisolated or partially isolated communication channels for accessible data, the confidentiality of [ETH data flow between VCM and CDC   name] may be compromised, resulting in the leakage of sensitive information.</t>
  </si>
  <si>
    <t>Attackers can obtain full communication information, leading to the leakage of sensitive data, by sniffing and monitoring [ETH data flow between VCM and CDC   Name].</t>
  </si>
  <si>
    <t>Due to the absence of encryption or the use of simplistic encryption methods in transmitting accessible data, the confidentiality of [ETH data flow between VCM and CDC   name] may be compromised, leading to the leakage of sensitive information.</t>
  </si>
  <si>
    <t>Attackers can obtain unencrypted sensitive information by sniffing and monitoring [ETH data flow between VCM and CDC   Name].</t>
  </si>
  <si>
    <t>Due to the potential hijacking of communication channels, the integrity of [ETH data flow between VCM and CDC   name] may be compromised, resulting in malicious alterations to data or code.</t>
  </si>
  <si>
    <t>Due to potential bottlenecks in I/O and processing capabilities of critical communication systems, the availability of [ETH data flow between VCM and CDC   name] may be compromised, resulting in functional unavailability or denial of service attacks.</t>
  </si>
  <si>
    <t>Due to flaws in communication protocols, the availability of [ETH data flow between VCM and CDC   name] may be compromised, leading to functional unavailability or denial of service attacks.</t>
  </si>
  <si>
    <t>Due to unverified source information in components, the authenticity of [ETH data flow between VCM and CDC   name] may be compromised, resulting in the ETH data flow between VCM and CDC   accepting false data sent from imitated terminals.</t>
  </si>
  <si>
    <t>Due to unverified source information in components, the authenticity of [ETH data flow between VCM and CDC   name] may be compromised, leading to the ETH data flow between VCM and CDC   accepting false data sent from imitated terminals.</t>
  </si>
  <si>
    <t>AF(P010P036)-1</t>
  </si>
  <si>
    <t>Key CAN data flow between SM and CCU for  [open door] Func</t>
  </si>
  <si>
    <t>DM-09-001</t>
  </si>
  <si>
    <t xml:space="preserve">Because the communication channel through which the data is accessible is not isolated or the isolation is incomplete, the confidentiality of Key CAN data flow between SM and CCU for  [open door] Funcmay be compromised, resulting in the disclosure of sensitive information.  </t>
  </si>
  <si>
    <t>TM-09-001</t>
  </si>
  <si>
    <t>Attackers can obtain full communication information, leading to the leakage of sensitive data, by sniffing and monitoring [Key CAN data flow between SM and CCU for  [open door] Func Name].</t>
  </si>
  <si>
    <t>An attacker gains access to the communication channel (CAN) of the Key CAN data flow between SM and CCU for  [open door] Func or control rights of other Electronic Control Units (ECUs) within the domain through an external communication channel (such as FMS or OBD interfaces), and then sends malicious commands or messages to the Key CAN data flow between SM and CCU for  [open door] Func.</t>
  </si>
  <si>
    <t>SR-09-001</t>
  </si>
  <si>
    <t>DM-09-002</t>
  </si>
  <si>
    <t>Due to the lack of encrypted transmission in the communication channels accessing data, or the utilization of simplistic encryption methods, the confidentiality of Key CAN data flow between SM and CCU for  [open door] Funcmay be compromised, leading to the leakage of sensitive information.</t>
  </si>
  <si>
    <t>TM-09-002</t>
  </si>
  <si>
    <t>Attackers can obtain unencrypted sensitive information by sniffing and monitoring [Key CAN data flow between SM and CCU for  [open door] Func Name].</t>
  </si>
  <si>
    <t>SR-09-002</t>
  </si>
  <si>
    <t>Ensure that ECU business functions transmit encrypted data, prohibiting the transmission of plaintext strings and information.</t>
  </si>
  <si>
    <t>M12、M23</t>
  </si>
  <si>
    <t>DM-09-003</t>
  </si>
  <si>
    <t>Due to the potential interception of communication channels, the integrity of Key CAN data flow between SM and CCU for  [open door] Funcmay be compromised, resulting in malicious alterations to data or code.</t>
  </si>
  <si>
    <t>TM-09-003</t>
  </si>
  <si>
    <t>DM-09-004</t>
  </si>
  <si>
    <t>Due to potential bottlenecks in I/O and processing capabilities of critical communication systems, the availability of Key CAN data flow between SM and CCU for  [open door] Funcmay be compromised, leading to functionality unavailability or denial of service attacks.</t>
  </si>
  <si>
    <t>TM-09-004</t>
  </si>
  <si>
    <t>SR-09-004</t>
  </si>
  <si>
    <t>Control communication between ECUs through CAN gateways to prevent malicious nodes from interfering with the CAN bus.</t>
  </si>
  <si>
    <t>M12、M13</t>
  </si>
  <si>
    <t>DM-09-005</t>
  </si>
  <si>
    <t>Due to flaws in communication protocols, the availability of Key CAN data flow between SM and CCU for  [open door] Funcmay be compromised, resulting in functionality unavailability or denial of service attacks.</t>
  </si>
  <si>
    <t>TM-09-005</t>
  </si>
  <si>
    <t>SR-09-005</t>
  </si>
  <si>
    <t>Set communication timeouts to promptly identify and address communication anomalies, ensuring the smooth operation of the CAN bus.</t>
  </si>
  <si>
    <t>M10、M12、M13、M15</t>
  </si>
  <si>
    <t>DM-09-006</t>
  </si>
  <si>
    <t>Due to components failing to verify source information, the authenticity of Key CAN data flow between SM and CCU for  [open door] Funcmay be compromised, allowing the Key CAN data flow between SM and CCU for  [open door] Func to accept false data sent from imitated terminals.</t>
  </si>
  <si>
    <t>TM-09-006</t>
  </si>
  <si>
    <t>SR-09-006</t>
  </si>
  <si>
    <t>Add timestamps or unique sequence numbers to CAN messages to differentiate between replay attacks and normal message transmissions.</t>
  </si>
  <si>
    <t>AF(P010P036)-2</t>
  </si>
  <si>
    <t>Key CAN data flow between SM and CCU for  [shift gears] Func</t>
  </si>
  <si>
    <t xml:space="preserve">Because the communication channel through which the data is accessible is not isolated or the isolation is incomplete, the confidentiality of Key CAN data flow between SM and CCU for  [shift gears] Funcmay be compromised, resulting in the disclosure of sensitive information.  </t>
  </si>
  <si>
    <t>Attackers can obtain full communication information, leading to the leakage of sensitive data, by sniffing and monitoring [Key CAN data flow between SM and CCU for  [shift gears] Func Name].</t>
  </si>
  <si>
    <t>An attacker gains access to the communication channel (CAN) of the Key CAN data flow between SM and CCU for  [shift gears] Func or control rights of other Electronic Control Units (ECUs) within the domain through an external communication channel (such as FMS or OBD interfaces), and then sends malicious commands or messages to the Key CAN data flow between SM and CCU for  [shift gears] Func.</t>
  </si>
  <si>
    <t>Due to the lack of encrypted transmission in the communication channels accessing data, or the utilization of simplistic encryption methods, the confidentiality of Key CAN data flow between SM and CCU for  [shift gears] Funcmay be compromised, leading to the leakage of sensitive information.</t>
  </si>
  <si>
    <t>Attackers can obtain unencrypted sensitive information by sniffing and monitoring [Key CAN data flow between SM and CCU for  [shift gears] Func Name].</t>
  </si>
  <si>
    <t>Due to the potential interception of communication channels, the integrity of Key CAN data flow between SM and CCU for  [shift gears] Funcmay be compromised, resulting in malicious alterations to data or code.</t>
  </si>
  <si>
    <t>Due to potential bottlenecks in I/O and processing capabilities of critical communication systems, the availability of Key CAN data flow between SM and CCU for  [shift gears] Funcmay be compromised, leading to functionality unavailability or denial of service attacks.</t>
  </si>
  <si>
    <t>Due to flaws in communication protocols, the availability of Key CAN data flow between SM and CCU for  [shift gears] Funcmay be compromised, resulting in functionality unavailability or denial of service attacks.</t>
  </si>
  <si>
    <t>Due to components failing to verify source information, the authenticity of Key CAN data flow between SM and CCU for  [shift gears] Funcmay be compromised, allowing the Key CAN data flow between SM and CCU for  [shift gears] Func to accept false data sent from imitated terminals.</t>
  </si>
  <si>
    <t>AF(P010P036)-3</t>
  </si>
  <si>
    <t>Key CAN data flow between SM and CCU for  [suspension control] Func</t>
  </si>
  <si>
    <t xml:space="preserve">Because the communication channel through which the data is accessible is not isolated or the isolation is incomplete, the confidentiality of Key CAN data flow between SM and CCU for  [suspension control] Funcmay be compromised, resulting in the disclosure of sensitive information.  </t>
  </si>
  <si>
    <t>Attackers can obtain full communication information, leading to the leakage of sensitive data, by sniffing and monitoring [Key CAN data flow between SM and CCU for  [suspension control] Func Name].</t>
  </si>
  <si>
    <t>An attacker gains access to the communication channel (CAN) of the Key CAN data flow between SM and CCU for  [suspension control] Func or control rights of other Electronic Control Units (ECUs) within the domain through an external communication channel (such as FMS or OBD interfaces), and then sends malicious commands or messages to the Key CAN data flow between SM and CCU for  [suspension control] Func.</t>
  </si>
  <si>
    <t>Due to the lack of encrypted transmission in the communication channels accessing data, or the utilization of simplistic encryption methods, the confidentiality of Key CAN data flow between SM and CCU for  [suspension control] Funcmay be compromised, leading to the leakage of sensitive information.</t>
  </si>
  <si>
    <t>Attackers can obtain unencrypted sensitive information by sniffing and monitoring [Key CAN data flow between SM and CCU for  [suspension control] Func Name].</t>
  </si>
  <si>
    <t>Due to the potential interception of communication channels, the integrity of Key CAN data flow between SM and CCU for  [suspension control] Funcmay be compromised, resulting in malicious alterations to data or code.</t>
  </si>
  <si>
    <t>Due to potential bottlenecks in I/O and processing capabilities of critical communication systems, the availability of Key CAN data flow between SM and CCU for  [suspension control] Funcmay be compromised, leading to functionality unavailability or denial of service attacks.</t>
  </si>
  <si>
    <t>Due to flaws in communication protocols, the availability of Key CAN data flow between SM and CCU for  [suspension control] Funcmay be compromised, resulting in functionality unavailability or denial of service attacks.</t>
  </si>
  <si>
    <t>Due to components failing to verify source information, the authenticity of Key CAN data flow between SM and CCU for  [suspension control] Funcmay be compromised, allowing the Key CAN data flow between SM and CCU for  [suspension control] Func to accept false data sent from imitated terminals.</t>
  </si>
  <si>
    <t>AF(P010P036)-4</t>
  </si>
  <si>
    <t>Key CAN data flow between SM and CCU for  [shade control] Func</t>
  </si>
  <si>
    <t xml:space="preserve">Because the communication channel through which the data is accessible is not isolated or the isolation is incomplete, the confidentiality of Key CAN data flow between SM and CCU for  [shade control] Funcmay be compromised, resulting in the disclosure of sensitive information.  </t>
  </si>
  <si>
    <t>Attackers can obtain full communication information, leading to the leakage of sensitive data, by sniffing and monitoring [Key CAN data flow between SM and CCU for  [shade control] Func Name].</t>
  </si>
  <si>
    <t>An attacker gains access to the communication channel (CAN) of the Key CAN data flow between SM and CCU for  [shade control] Func or control rights of other Electronic Control Units (ECUs) within the domain through an external communication channel (such as FMS or OBD interfaces), and then sends malicious commands or messages to the Key CAN data flow between SM and CCU for  [shade control] Func.</t>
  </si>
  <si>
    <t>Due to the lack of encrypted transmission in the communication channels accessing data, or the utilization of simplistic encryption methods, the confidentiality of Key CAN data flow between SM and CCU for  [shade control] Funcmay be compromised, leading to the leakage of sensitive information.</t>
  </si>
  <si>
    <t>Attackers can obtain unencrypted sensitive information by sniffing and monitoring [Key CAN data flow between SM and CCU for  [shade control] Func Name].</t>
  </si>
  <si>
    <t>Due to the potential interception of communication channels, the integrity of Key CAN data flow between SM and CCU for  [shade control] Funcmay be compromised, resulting in malicious alterations to data or code.</t>
  </si>
  <si>
    <t>Due to potential bottlenecks in I/O and processing capabilities of critical communication systems, the availability of Key CAN data flow between SM and CCU for  [shade control] Funcmay be compromised, leading to functionality unavailability or denial of service attacks.</t>
  </si>
  <si>
    <t>Due to flaws in communication protocols, the availability of Key CAN data flow between SM and CCU for  [shade control] Funcmay be compromised, resulting in functionality unavailability or denial of service attacks.</t>
  </si>
  <si>
    <t>Due to components failing to verify source information, the authenticity of Key CAN data flow between SM and CCU for  [shade control] Funcmay be compromised, allowing the Key CAN data flow between SM and CCU for  [shade control] Func to accept false data sent from imitated terminals.</t>
  </si>
  <si>
    <t>AF(P010P036)-5</t>
  </si>
  <si>
    <t>Key CAN data flow between SM and CCU for  [Steering wheel lock control] Func</t>
  </si>
  <si>
    <t xml:space="preserve">Because the communication channel through which the data is accessible is not isolated or the isolation is incomplete, the confidentiality of Key CAN data flow between SM and CCU for  [Steering wheel lock control] Funcmay be compromised, resulting in the disclosure of sensitive information.  </t>
  </si>
  <si>
    <t>Attackers can obtain full communication information, leading to the leakage of sensitive data, by sniffing and monitoring [Key CAN data flow between SM and CCU for  [Steering wheel lock control] Func Name].</t>
  </si>
  <si>
    <t>An attacker gains access to the communication channel (CAN) of the Key CAN data flow between SM and CCU for  [Steering wheel lock control] Func or control rights of other Electronic Control Units (ECUs) within the domain through an external communication channel (such as FMS or OBD interfaces), and then sends malicious commands or messages to the Key CAN data flow between SM and CCU for  [Steering wheel lock control] Func.</t>
  </si>
  <si>
    <t>Due to the lack of encrypted transmission in the communication channels accessing data, or the utilization of simplistic encryption methods, the confidentiality of Key CAN data flow between SM and CCU for  [Steering wheel lock control] Funcmay be compromised, leading to the leakage of sensitive information.</t>
  </si>
  <si>
    <t>Attackers can obtain unencrypted sensitive information by sniffing and monitoring [Key CAN data flow between SM and CCU for  [Steering wheel lock control] Func Name].</t>
  </si>
  <si>
    <t>Due to the potential interception of communication channels, the integrity of Key CAN data flow between SM and CCU for  [Steering wheel lock control] Funcmay be compromised, resulting in malicious alterations to data or code.</t>
  </si>
  <si>
    <t>Due to potential bottlenecks in I/O and processing capabilities of critical communication systems, the availability of Key CAN data flow between SM and CCU for  [Steering wheel lock control] Funcmay be compromised, leading to functionality unavailability or denial of service attacks.</t>
  </si>
  <si>
    <t>Due to flaws in communication protocols, the availability of Key CAN data flow between SM and CCU for  [Steering wheel lock control] Funcmay be compromised, resulting in functionality unavailability or denial of service attacks.</t>
  </si>
  <si>
    <t>Due to components failing to verify source information, the authenticity of Key CAN data flow between SM and CCU for  [Steering wheel lock control] Funcmay be compromised, allowing the Key CAN data flow between SM and CCU for  [Steering wheel lock control] Func to accept false data sent from imitated terminals.</t>
  </si>
  <si>
    <t>AF(P034P036)</t>
  </si>
  <si>
    <t>Key CAN data flow between CCU and PDC*n for  [open door] Func</t>
  </si>
  <si>
    <t xml:space="preserve">Because the communication channel through which the data is accessible is not isolated or the isolation is incomplete, the confidentiality of Key CAN data flow between CCU and PDC*n for  [open door] Funcmay be compromised, resulting in the disclosure of sensitive information.  </t>
  </si>
  <si>
    <t>Attackers can obtain full communication information, leading to the leakage of sensitive data, by sniffing and monitoring [Key CAN data flow between CCU and PDC*n for  [open door] Func Name].</t>
  </si>
  <si>
    <t>An attacker gains access to the communication channel (CAN) of the Key CAN data flow between CCU and PDC*n for  [open door] Func or control rights of other Electronic Control Units (ECUs) within the domain through an external communication channel (such as FMS or OBD interfaces), and then sends malicious commands or messages to the Key CAN data flow between CCU and PDC*n for  [open door] Func.</t>
  </si>
  <si>
    <t>Due to the lack of encrypted transmission in the communication channels accessing data, or the utilization of simplistic encryption methods, the confidentiality of Key CAN data flow between CCU and PDC*n for  [open door] Funcmay be compromised, leading to the leakage of sensitive information.</t>
  </si>
  <si>
    <t>Attackers can obtain unencrypted sensitive information by sniffing and monitoring [Key CAN data flow between CCU and PDC*n for  [open door] Func Name].</t>
  </si>
  <si>
    <t>Due to the potential interception of communication channels, the integrity of Key CAN data flow between CCU and PDC*n for  [open door] Funcmay be compromised, resulting in malicious alterations to data or code.</t>
  </si>
  <si>
    <t>Due to potential bottlenecks in I/O and processing capabilities of critical communication systems, the availability of Key CAN data flow between CCU and PDC*n for  [open door] Funcmay be compromised, leading to functionality unavailability or denial of service attacks.</t>
  </si>
  <si>
    <t>Due to flaws in communication protocols, the availability of Key CAN data flow between CCU and PDC*n for  [open door] Funcmay be compromised, resulting in functionality unavailability or denial of service attacks.</t>
  </si>
  <si>
    <t>Due to components failing to verify source information, the authenticity of Key CAN data flow between CCU and PDC*n for  [open door] Funcmay be compromised, allowing the Key CAN data flow between CCU and PDC*n for  [open door] Func to accept false data sent from imitated terminals.</t>
  </si>
  <si>
    <t>AF(P037P036)-1</t>
  </si>
  <si>
    <t>Key CAN data flow between CCU and BCM for  [light control] Func</t>
  </si>
  <si>
    <t>DM-19-001</t>
  </si>
  <si>
    <t xml:space="preserve">Because the communication channel through which the data is accessible is not isolated or the isolation is incomplete, the confidentiality of Key CAN data flow between CCU and BCM for  [light control] Funcmay be compromised, resulting in the disclosure of sensitive information.  </t>
  </si>
  <si>
    <t>TM-19-001</t>
  </si>
  <si>
    <t>Attackers can obtain full communication information, leading to the leakage of sensitive data, by sniffing and monitoring [Key CAN data flow between CCU and BCM for  [light control] Func Name].</t>
  </si>
  <si>
    <t>An attacker gains access to the communication channel (CAN) of the Key CAN data flow between CCU and BCM for  [light control] Func or control rights of other Electronic Control Units (ECUs) within the domain through an external communication channel (such as FMS or OBD interfaces), and then sends malicious commands or messages to the Key CAN data flow between CCU and BCM for  [light control] Func.</t>
  </si>
  <si>
    <t>SR-19-001</t>
  </si>
  <si>
    <t>DM-19-002</t>
  </si>
  <si>
    <t>Due to the lack of encrypted transmission in the communication channels accessing data, or the utilization of simplistic encryption methods, the confidentiality of Key CAN data flow between CCU and BCM for  [light control] Funcmay be compromised, leading to the leakage of sensitive information.</t>
  </si>
  <si>
    <t>TM-19-002</t>
  </si>
  <si>
    <t>Attackers can obtain unencrypted sensitive information by sniffing and monitoring [Key CAN data flow between CCU and BCM for  [light control] Func Name].</t>
  </si>
  <si>
    <t>SR-19-002</t>
  </si>
  <si>
    <t>DM-19-003</t>
  </si>
  <si>
    <t>Due to the potential interception of communication channels, the integrity of Key CAN data flow between CCU and BCM for  [light control] Funcmay be compromised, resulting in malicious alterations to data or code.</t>
  </si>
  <si>
    <t>TM-19-003</t>
  </si>
  <si>
    <t>DM-19-004</t>
  </si>
  <si>
    <t>Due to potential bottlenecks in I/O and processing capabilities of critical communication systems, the availability of Key CAN data flow between CCU and BCM for  [light control] Funcmay be compromised, leading to functionality unavailability or denial of service attacks.</t>
  </si>
  <si>
    <t>TM-19-004</t>
  </si>
  <si>
    <t>SR-19-004</t>
  </si>
  <si>
    <t>DM-19-005</t>
  </si>
  <si>
    <t>Due to flaws in communication protocols, the availability of Key CAN data flow between CCU and BCM for  [light control] Funcmay be compromised, resulting in functionality unavailability or denial of service attacks.</t>
  </si>
  <si>
    <t>TM-19-005</t>
  </si>
  <si>
    <t>DM-19-006</t>
  </si>
  <si>
    <t>Due to components failing to verify source information, the authenticity of Key CAN data flow between CCU and BCM for  [light control] Funcmay be compromised, allowing the Key CAN data flow between CCU and BCM for  [light control] Func to accept false data sent from imitated terminals.</t>
  </si>
  <si>
    <t>TM-19-006</t>
  </si>
  <si>
    <t>SR-19-006</t>
  </si>
  <si>
    <t>F001</t>
  </si>
  <si>
    <t>Functional Unit</t>
  </si>
  <si>
    <t>EBUS platform</t>
  </si>
  <si>
    <t>DM-12-001</t>
  </si>
  <si>
    <t>The confidentiality of theEBUS platformmay be compromised, resulting in the disclosure of sensitive asset information.</t>
  </si>
  <si>
    <t>Sensitive data stored in the platform can be read arbitrarily</t>
  </si>
  <si>
    <t>TM-12-001</t>
  </si>
  <si>
    <t>Attackers can obtain sensitive information such as algorithm logic, keys, and logs in the platform</t>
  </si>
  <si>
    <t>Attackers obtain TSP addresses and exploit vulnerabilities to read sensitive information</t>
  </si>
  <si>
    <t>SR-12-001</t>
  </si>
  <si>
    <t>Use secure cryptographic algorithms to encrypt sensitive information such as upgrade packages, firmware packages, and logs stored in the platform.</t>
  </si>
  <si>
    <t>M4、M5</t>
  </si>
  <si>
    <t>Vehicle related data held on back-end servers being lost or compromised ("data breach")</t>
  </si>
  <si>
    <t>3.2 Loss of information in the cloud. Sensitive data may be lost due to attacks or accidents when data is stored by third-party cloud service providers
3.5 Information breach by unintended sharing of data (e.g. admin errors)</t>
  </si>
  <si>
    <t>DM-12-002</t>
  </si>
  <si>
    <t>Sensitive information transmission process is not encrypted</t>
  </si>
  <si>
    <t>TM-12-002</t>
  </si>
  <si>
    <t>Attackers can obtain sensitive information</t>
  </si>
  <si>
    <t>Attackers can obtain unencrypted sensitive information by monitoring communication</t>
  </si>
  <si>
    <t>SR-12-002</t>
  </si>
  <si>
    <t>The transmission process of sensitive information should have confidentiality requirements, and sensitive information should be encrypted to prevent attackers from obtaining sensitive information through man in the middle attacks</t>
  </si>
  <si>
    <t>DM-12-003</t>
  </si>
  <si>
    <t>The platform uses weak password passwords or long-term fixed passwords</t>
  </si>
  <si>
    <t>TM-12-003</t>
  </si>
  <si>
    <t>An attacker can guess the password associated with the blasting platform</t>
  </si>
  <si>
    <t>The attacker obtains the TSP platform address and performs blasting operations at the password authentication point.</t>
  </si>
  <si>
    <t>SR-12-003</t>
  </si>
  <si>
    <t>Do not use weak passwords and passwords, and update passwords regularly.</t>
  </si>
  <si>
    <t>M19、M23、M24</t>
  </si>
  <si>
    <t>30.3 The (integrity of) sensitive data may be lost due to IT components wear and tear, causing potential cascading issues (in case of key alteration, for example)
15 Legitimate actors are able to take actions that would unwittingly facilitate a cyber- attack
26 Cryptographic technologies can be compromised or are insufficiently applied</t>
  </si>
  <si>
    <t>15.2 Defined security procedures are not followed
26.1 Combination of short encryption keys and long period of validity enables attacker to break encryption
26.3 Using already or soon to be deprecated cryptographic algorithms
30.3 The (integrity of) sensitive data may be lost due to IT components wear and tear, causing potential cascading issues (in case of key alteration, for example)</t>
  </si>
  <si>
    <t>DM-12-004</t>
  </si>
  <si>
    <t>Authentication and authentication are not performed when the platform password is retrieved or reset</t>
  </si>
  <si>
    <t>TM-12-004</t>
  </si>
  <si>
    <t>An attacker can reset or retrieve the platform-related password</t>
  </si>
  <si>
    <t>The attacker obtains the TSP platform address and obtains the TSP platform password through password retrieval and reset operations.</t>
  </si>
  <si>
    <t>SR-12-004</t>
  </si>
  <si>
    <t>Authenticate and authenticate the operation of password retrieval and reset, as well as the operator.</t>
  </si>
  <si>
    <t>M10、M18、M24</t>
  </si>
  <si>
    <t>15 Legitimate actors are able to take actions that would unwittingly facilitate a cyber- attack
30.3 The (integrity of) sensitive data may be lost due to IT components wear and tear, causing potential cascading issues (in case of key alteration, for example)
12 Misuse or compromise of update procedures</t>
  </si>
  <si>
    <t>15.1 Innocent victim (e.g. owner, operator or maintenance engineer) being tricked into taking an action to unintentionally load malware or enable an attack
12.4 Compromise of cryptographic keys of the software 
provider to allow invalid update
30.3 The (integrity of) sensitive data may be lost due to IT components wear and tear, causing potential cascading issues (in case of key alteration, for example)</t>
  </si>
  <si>
    <t>DM-12-005</t>
  </si>
  <si>
    <t>Due to the lack of signature verification on the platform, the integrity of theEBUS platformmay be compromised, and the platform may be attacked by man-in-the-middle.</t>
  </si>
  <si>
    <t>The platform does not use a signature algorithm to verify data integrity</t>
  </si>
  <si>
    <t>TM-12-005</t>
  </si>
  <si>
    <t>Attackers tamper with legitimate data to spoof the communicating end</t>
  </si>
  <si>
    <t>The attacker obtains the TSP platform address and tamperes with the platform communication data through a man-in-the-middle method.</t>
  </si>
  <si>
    <t>SR-12-005</t>
  </si>
  <si>
    <t>The platform uses TLS 1.2 or higher level security protocols for communication and use two-way authentication</t>
  </si>
  <si>
    <t>M2</t>
  </si>
  <si>
    <t>1 Back-end servers used as a means to attack a vehicle or extract data
3 Vehicle related data held on back-end servers being lost or compromised ("data breach")</t>
  </si>
  <si>
    <t>1.2 Unauthorized internet access to the server (enabled for example by backdoors, unpatched system software vulnerabilities, SQL attacks or other means)
3.3 Unauthorized internet access to the server (enabled for example by backdoors, unpatched system software vulnerabilities, SQL attacks or other means)</t>
  </si>
  <si>
    <t>DM-12-006</t>
  </si>
  <si>
    <t>Due to the lack of secure development design of the platform or the existence of undeleted backdoors, the availability of EBUS platform may be compromised, and the platform may be controlled by attackers.</t>
  </si>
  <si>
    <t>There are vulnerabilities or backdoors in the platform components or code</t>
  </si>
  <si>
    <t>TM-12-006</t>
  </si>
  <si>
    <t>There are no undeleted backdoors on the platform or vulnerabilities in the component code, which allow attackers to remotely control the backdoor</t>
  </si>
  <si>
    <t>The attacker obtains the TSP platform address and obtains platform permissions through the platform backdoor.</t>
  </si>
  <si>
    <t>SR-12-006</t>
  </si>
  <si>
    <t>Ensure that there are no vulnerabilities in the platform components or code, and remove the backdoor when the application goes live</t>
  </si>
  <si>
    <t>M2、M3、M19</t>
  </si>
  <si>
    <t>1 Back-end servers used as a means to attack a vehicle or extract data
2 Services from back-end server being disrupted, affecting the operation of a vehicle
3 Vehicle related data held on back-end servers being lost or compromised ("data breach") 
15 Legitimate actors are able to take actions that would unwittingly facilitate a cyberattack</t>
  </si>
  <si>
    <t>1.2 Unauthorized internet access to the server (enabled for example by backdoors, unpatched system software vulnerabilities, SQL attacks or other means)
1.3 Unauthorized physical access to the server (conducted by for example USB sticks or other media connecting to the server)
3.3 Unauthorized internet access to the server (enabled for example by backdoors, unpatched system software vulnerabilities, SQL attacks or other means)
3.4 Unauthorized physical access to the server (conducted for example by USB sticks or other media connecting to the server) 
2.1 Abuse of privileges by staff (insider attack)
15.2 Defined security procedures are not followed</t>
  </si>
  <si>
    <t>DM-12-008</t>
  </si>
  <si>
    <t>Due to the lack of effective access control of the platform, the authorization of EBUS platform may be compromised, and the platform can be overstepped or escalated after being hacked by an attacker.</t>
  </si>
  <si>
    <t>The platform does not have effective access control</t>
  </si>
  <si>
    <t>TM-12-008</t>
  </si>
  <si>
    <t>The platform does not have effective access control, which allows attackers to escalate or overstep their privileges</t>
  </si>
  <si>
    <t>The attacker obtains the TSP platform address and escalates privileges through access control flaws.</t>
  </si>
  <si>
    <t>SR-12-008</t>
  </si>
  <si>
    <t>Design access control policies, such as password validation, user role levels, and fine-grained permission segmentation</t>
  </si>
  <si>
    <t>M1、M24</t>
  </si>
  <si>
    <t>1 Back-end servers used as a means to attack a vehicle or extract data
3 Vehicle related data held on back-end servers being lost or compromised ("data breach") 
30.1 Damage caused by a third party. Sensitive data may be lost or compromised due to physical damages in cases of traffic accident or theft</t>
  </si>
  <si>
    <t>1.1 Abuse of privileges by staff (insider attack)
1.3 Unauthorized physical access to the server (conducted by for example USB sticks or other media connecting to the server)
3.1 Abuse of privileges by staff (insider attack)
30.1 Damage caused by a third party. Sensitive data may be lost or compromised due to physical damages in cases of traffic accident or theft</t>
  </si>
  <si>
    <t>DM-12-009</t>
  </si>
  <si>
    <t>The flashing service has no logging or event logs can be modified with arbitrary permissions, and the non-repudiation of theEBUS platformmay be compromised.</t>
  </si>
  <si>
    <t>There is no logging or event logs for platform services that can be modified by arbitrary permissions</t>
  </si>
  <si>
    <t>TM-12-009</t>
  </si>
  <si>
    <t>An attacker can take advantage of the improper configuration of the security flash log permission to tamper with the security flash log, resulting in the non-repudiation of security flash being destroyed</t>
  </si>
  <si>
    <t>The attacker obtains the TSP platform address, obtains platform permissions through vulnerabilities, and tamperes with the logs.</t>
  </si>
  <si>
    <t>SR-12-009</t>
  </si>
  <si>
    <t>Encryption measures are used to store sensitive log information to ensure that log data remains confidential even in the event of a physical or cyber attack, and the application system should not provide audit record deletion and modification capabilities without business requirements.</t>
  </si>
  <si>
    <t>M1、M2</t>
  </si>
  <si>
    <t>1.1 Abuse of privileges by staff (insider attack)
1.2 Unauthorized internet access to the server (enabled for example by backdoors, unpatched system software vulnerabilities, SQL attacks or other means)
1.3 Unauthorized physical access to the server (conducted by for example USB sticks or other media connecting to the server)
3.1 Abuse of privileges by staff (insider attack)
3.3 Unauthorized internet access to the server (enabled for example by backdoors, unpatched system software vulnerabilities, SQL attacks or other means)</t>
  </si>
  <si>
    <t>F002</t>
  </si>
  <si>
    <t>OTA platform</t>
  </si>
  <si>
    <t>DM-17-001</t>
  </si>
  <si>
    <t>The confidentiality of theOTA platformmay be compromised, resulting in the disclosure of sensitive asset information.</t>
  </si>
  <si>
    <t>TM-114-001</t>
  </si>
  <si>
    <t>The attacker obtains the OTA platform address, obtains the OTA platform permission through the vulnerability, and obtains the sensitive information stored on the platform</t>
  </si>
  <si>
    <t>SR-17-001</t>
  </si>
  <si>
    <t>DM-17-002</t>
  </si>
  <si>
    <t>The upgrade package Sharing process is not encrypted</t>
  </si>
  <si>
    <t>TM-114-002</t>
  </si>
  <si>
    <t>An attacker can obtain sensitive information in the upgrade package</t>
  </si>
  <si>
    <t>The attacker triggers the upgrade process and obtains the upgrade packet data using the man-in-the-middle method</t>
  </si>
  <si>
    <t>12.1 Compromise of over the air software update procedures. This includes fabricating the system update program or firmware
12.2 Compromise of local/physical software update procedures. This includes fabricating the system update program or firmware</t>
  </si>
  <si>
    <t>DM-17-003</t>
  </si>
  <si>
    <t>TM-114-003</t>
  </si>
  <si>
    <t>The attacker obtains the OTA platform address and explodes it at the password authentication office</t>
  </si>
  <si>
    <t>SR-17-003</t>
  </si>
  <si>
    <t>M24、M19、M23</t>
  </si>
  <si>
    <t>DM-17-004</t>
  </si>
  <si>
    <t>TM-114-004</t>
  </si>
  <si>
    <t>The attacker obtains the OTA platform address, and obtains the OTA platform password through password retrieval and reset operations</t>
  </si>
  <si>
    <t>DM-17-005</t>
  </si>
  <si>
    <t>Due to the lack of signature verification on the platform, the integrity of theOTA platformmay be compromised, and the platform may be attacked by man-in-the-middle.</t>
  </si>
  <si>
    <t>TM-114-005</t>
  </si>
  <si>
    <t>The attacker obtains the OTA platform address and tampers the platform communication data through a man-in-the-middle method</t>
  </si>
  <si>
    <t>SR-17-005</t>
  </si>
  <si>
    <t>The platform uses TLS 1.2 or higher security protocols for communication.</t>
  </si>
  <si>
    <t>M2、M10</t>
  </si>
  <si>
    <t>1 Back-end servers used as a means to attack a vehicle or extract data
3 Vehicle related data held on back-end servers being lost or compromised ("data breach")
6 Communication channels permit untrusted/unreliable messages to be accepted or are vulnerable to session hijacking/replay attacks</t>
  </si>
  <si>
    <t>1.2 Unauthorized internet access to the server (enabled for example by backdoors, unpatched system software vulnerabilities, SQL attacks or other means)
3.3 Unauthorized internet access to the server (enabled for example by backdoors, unpatched system software vulnerabilities, SQL attacks or other means)
6.1 Accepting information from an unreliable or untrusted source</t>
  </si>
  <si>
    <t>DM-17-006</t>
  </si>
  <si>
    <t>Due to the lack of effective access control of the platform, the authorization of OTA platformmay be compromised, and the platform can be overstepped or escalated after being hacked by an attacker.</t>
  </si>
  <si>
    <t>TM-114-006</t>
  </si>
  <si>
    <t>The attacker obtains the OTA platform address and claims the right through the access control defect</t>
  </si>
  <si>
    <t>SR-17-006</t>
  </si>
  <si>
    <t>M1、M24、M8</t>
  </si>
  <si>
    <t>DM-17-007</t>
  </si>
  <si>
    <t>Due to the lack of secure development design of the platform or the existence of undeleted backdoors, the availability of OTA platformmay be compromised, and the platform may be controlled by attackers.</t>
  </si>
  <si>
    <t>TM-114-007</t>
  </si>
  <si>
    <t>The attacker obtains the OTA platform address and the platform permission through the platform backdoor</t>
  </si>
  <si>
    <t>SR-17-007</t>
  </si>
  <si>
    <t>M2、M8、M3、M19</t>
  </si>
  <si>
    <t>DM-17-008</t>
  </si>
  <si>
    <t>The flashing service has no logging or event logs can be modified with arbitrary permissions, and the non-repudiation of theOTA platformmay be compromised.</t>
  </si>
  <si>
    <t>TM-114-008</t>
  </si>
  <si>
    <t>The attacker obtains the OTA platform address, obtains the platform permission through the vulnerability, and tampers with the logs</t>
  </si>
  <si>
    <t>DM-17-009</t>
  </si>
  <si>
    <t>The flush service is not authenticated effectively, and the authorization of OTA platformmay be compromised.</t>
  </si>
  <si>
    <t>The flush service is not properly authenticated</t>
  </si>
  <si>
    <t>TM-114-009</t>
  </si>
  <si>
    <t>The attacker simulates OTA to upgrade the master node for secure flush, which allows the attacker to perform the flush operation beyond his authority</t>
  </si>
  <si>
    <t xml:space="preserve">The attacker imitates the OTAmaster node to perform the flush operation on other components </t>
  </si>
  <si>
    <t>SR-17-009</t>
  </si>
  <si>
    <t>The write process should have access control and identity authentication.</t>
  </si>
  <si>
    <t>M10、M7</t>
  </si>
  <si>
    <t>10 Secure software update procedures shall be employed
7 Access control techniques and designs shall be applied to protect system data/code. Example Security Controls can be found in OWASP.</t>
  </si>
  <si>
    <t>12.1 Compromise of over the air software update procedures. This includes fabricating the system update program or firmware
22.2 Introduce malicious software or malicious software activity</t>
  </si>
  <si>
    <t>F003</t>
  </si>
  <si>
    <t>VSOC platform</t>
  </si>
  <si>
    <t>The confidentiality of theVSOC platformmay be compromised, resulting in the disclosure of sensitive asset information.</t>
  </si>
  <si>
    <t>Due to the lack of signature verification on the platform, the integrity of theVSOC platformmay be compromised, and the platform may be attacked by man-in-the-middle.</t>
  </si>
  <si>
    <t>Due to the lack of secure development design of the platform or the existence of undeleted backdoors, the availability of VSOC platform may be compromised, and the platform may be controlled by attackers.</t>
  </si>
  <si>
    <t>Due to the lack of effective access control of the platform, the authorization of VSOC platform may be compromised, and the platform can be overstepped or escalated after being hacked by an attacker.</t>
  </si>
  <si>
    <t>The flashing service has no logging or event logs can be modified with arbitrary permissions, and the non-repudiation of theVSOC platformmay be compromised.</t>
  </si>
  <si>
    <t>F004</t>
  </si>
  <si>
    <t>TPMS RF Function</t>
  </si>
  <si>
    <t>DM-20-001</t>
  </si>
  <si>
    <t>Because the communication data is not transmitted encrypted and simple encryption is adopted, the confidentiality of [TPMS RF Function name] may be damaged, resulting in the disclosure of sensitive information.</t>
  </si>
  <si>
    <t>TM-20-001</t>
  </si>
  <si>
    <t>Attackers can acquire tire pressure information by sniffing or listening to TPMS data.</t>
  </si>
  <si>
    <t>The attacker performs the attack by directly attacking the TPMS RF signal from outside the vehicle</t>
  </si>
  <si>
    <t>7.1 Interception of information / interfering radiations 
/ monitoring communications</t>
  </si>
  <si>
    <t>DM-20-003</t>
  </si>
  <si>
    <t>Due to a defect in the device, the availability of [TPMS RF Function name] can be compromised, resulting in unavailability of functionality or denial of service attacks.</t>
  </si>
  <si>
    <t>The device has defects.</t>
  </si>
  <si>
    <t>TM-20-003</t>
  </si>
  <si>
    <t>Attackers can render TPMS unavailable through vulnerabilities.</t>
  </si>
  <si>
    <t>An attacker gains access to the communication channel (CAN) of the TPMS RF Function or control rights of other Electronic Control Units (ECUs) within the domain through an external communication channel (such as FMS or OBD interfaces), and then sends malicious commands or messages to the TPMS RF Function.</t>
  </si>
  <si>
    <t xml:space="preserve">20.3 Action to circumvent monitoring systems (e.g. hacking/ tampering/ blocking of messages such as 
ODR Tracker data, or number of runs) </t>
  </si>
  <si>
    <t>DM-20-004</t>
  </si>
  <si>
    <t>Because the device does not verify the source message, the authenticity of [TPMS RF Function name] may be compromised, resulting in the TPMS RF Function accepting false data from a replicable terminal.</t>
  </si>
  <si>
    <t>TM-20-004</t>
  </si>
  <si>
    <t>Attackers can disrupt tire pressure display functionality by forging TPMS signals.</t>
  </si>
  <si>
    <t>6 Communication channels permit untrusted/unreliable messages to be accepted or are vulnerable to session 
hijacking/replay attacks</t>
  </si>
  <si>
    <t>6.1 Accepting information from an unreliable or untrusted source</t>
  </si>
  <si>
    <t>F003.1</t>
  </si>
  <si>
    <t>Data Storage</t>
  </si>
  <si>
    <t>Two way authentication certificate for T-BOX and VSOC platform</t>
  </si>
  <si>
    <t>DM-10-001</t>
  </si>
  <si>
    <t>Due to the compromise of the storage PKI system, the confidentiality of Two way authentication certificate for T-BOX and VSOC platform may be compromised, resulting in the leakage of sensitive information.</t>
  </si>
  <si>
    <t>PKI system has been exploited</t>
  </si>
  <si>
    <t>TM-10-001</t>
  </si>
  <si>
    <t>An attacker can leak Two way authentication certificate for T-BOX and VSOC platform through the system</t>
  </si>
  <si>
    <t>The PKI certificate is not stored securely, and attackers exploit the storage PKI system to extract the PKI certificate through vulnerabilities</t>
  </si>
  <si>
    <t>SR-10-001</t>
  </si>
  <si>
    <t>PKI certificate files should be encrypted and stored in the system, and plain text storage is prohibited.</t>
  </si>
  <si>
    <t>DM-10-002</t>
  </si>
  <si>
    <t>Due to the compromise of the storage PKI system, the integrity of Two way authentication certificate for T-BOX and VSOC platformmay be destroyed, resulting in malicious modification of asset data or code.</t>
  </si>
  <si>
    <t>TM-10-002</t>
  </si>
  <si>
    <t>An attacker can tamper with the Two way authentication certificate for T-BOX and VSOC platform, causing the certificate PKI certificate to be damaged.</t>
  </si>
  <si>
    <t>PKI certificate not stored securely, attackers exploit storage PKI system to modify PKI certificate through vulnerabilities</t>
  </si>
  <si>
    <t>SR-10-002</t>
  </si>
  <si>
    <t>PKI certificate files should be prohibited from being accessed and modified by low-privileged users.</t>
  </si>
  <si>
    <t>M10、M6</t>
  </si>
  <si>
    <t>Communication channels used to conduct unauthorized manipulation, deletion or other amendments to vehicle held code/data</t>
  </si>
  <si>
    <t>Communications channels permit code injection, for example tampered software binary might be injected into the communication stream</t>
  </si>
  <si>
    <t>F003(P002F003)</t>
  </si>
  <si>
    <t>Data upload data flow between T-BOX and VSOC platform</t>
  </si>
  <si>
    <t>DM-11-001</t>
  </si>
  <si>
    <t>Since the communication data stream is not encrypted, the confidentiality ofData upload data flow between T-BOX and VSOC platformmay be compromised, resulting in the leakage of sensitive information.</t>
  </si>
  <si>
    <t>Communication data is not encrypted for transmission,</t>
  </si>
  <si>
    <t>TM-11-001</t>
  </si>
  <si>
    <t>An attacker can sniff and monitor Data upload data flow between T-BOX and VSOC platform, which can lead to the attacker obtaining all communication information and leaking sensitive information.</t>
  </si>
  <si>
    <t>Attackers obtain TSP addresses and exploit vulnerabilities to obtain or modify sensitive information in the platform</t>
  </si>
  <si>
    <t>SR-11-001</t>
  </si>
  <si>
    <t>Use secure channel protocols (such as TLS/SSL) to protect the security of data transmission and prevent man-in-the-middle attacks.
Encryption algorithms are used to encrypt Ethernet communication content to ensure that only legitimate recipients can decrypt and read the data.</t>
  </si>
  <si>
    <t>M10、M12</t>
  </si>
  <si>
    <t>7 Information can be readily disclosed. For example, 
through eavesdropping on communications or through allowing unauthorized access to sensitive files or folders 
6 Communication channels permit untrusted/unreliable messages to be accepted or are vulnerable to session hijacking/replay attacks</t>
  </si>
  <si>
    <t>7.1"Interception of information / interfering radiations 
/ monitoring communications"
6.2 Man in the middle attack / session hijacking</t>
  </si>
  <si>
    <t>DM-11-002</t>
  </si>
  <si>
    <t>Since the communication channel is hijacked, the integrity ofData upload data flow between T-BOX and VSOC platformmay be destroyed, resulting in malicious modification of data.</t>
  </si>
  <si>
    <t>The communication channel has been hijacked</t>
  </si>
  <si>
    <t>TM-11-002</t>
  </si>
  <si>
    <t>Attackers can tamper with network communication data frames, causing the integrity of data streams to be compromised</t>
  </si>
  <si>
    <t>SR-11-002</t>
  </si>
  <si>
    <t>Use digital signature technology to ensure that data is not tampered with during transmission.</t>
  </si>
  <si>
    <t>DM-11-003</t>
  </si>
  <si>
    <t>Due to the vulnerability of stored business data, the authorization ofData upload data flow between T-BOX and VSOC platformmay be damaged, resulting in unavailable functions or denial of service attacks.</t>
  </si>
  <si>
    <t>Fragility in storing business information</t>
  </si>
  <si>
    <t>TM-11-003</t>
  </si>
  <si>
    <t>An attacker can tamper with the Data upload data flow between T-BOX and VSOC platform, causing availability to be destroyed</t>
  </si>
  <si>
    <t>Attackers obtain TSP addresses, exploit vulnerabilities to gain platform privileges, tamper with data, and cause denial of service</t>
  </si>
  <si>
    <t>SR-11-003</t>
  </si>
  <si>
    <t>It should be ensured that the system storing business data has robust protection measures, including access control, data encryption, and vulnerability management, to prevent unauthorized access and denial of service attacks</t>
  </si>
  <si>
    <t>M1、M3、M24</t>
  </si>
  <si>
    <t>1.1 Abuse of privileges by staff (insider attack)
1.3 Unauthorized physical access to the server (conducted by for example USB sticks or other media connecting to the server)
3.1 Abuse of privileges by staff (insider attack)
30.1 Damage caused by a third party. Sensitive data may be lost or compromised due to physical damages in cases of traffic accident or theft
2.1 Attack on back-end server stops it functioning for example it prevents it from interacting with vehicles and providing services they rely on</t>
  </si>
  <si>
    <t>DM-11-004</t>
  </si>
  <si>
    <t>Since the communication channel does not authenticate the data source, the authenticity ofData upload data flow between T-BOX and VSOC platformmay be destroyed, causing the asset to accept false data sent from a counterfeitable terminal.</t>
  </si>
  <si>
    <t>The communication channel does not authenticate the data source</t>
  </si>
  <si>
    <t>TM-11-004</t>
  </si>
  <si>
    <t>Attackers can upload false data and forge information</t>
  </si>
  <si>
    <t>Attackers obtain upload addresses and upload false data</t>
  </si>
  <si>
    <t>SR-11-004</t>
  </si>
  <si>
    <t>External communication should use TLS 1.2 or higher security protocols for communication, and use two-way authentication.</t>
  </si>
  <si>
    <t>DM-11-005</t>
  </si>
  <si>
    <t>Due to the lack of effective access control of the platform, the authorization of Data upload data flow between T-BOX and VSOC platform may be compromised, and the platform can be overstepped or escalated after being hacked by an attacker.</t>
  </si>
  <si>
    <t>TM-11-005</t>
  </si>
  <si>
    <t>SR-11-005</t>
  </si>
  <si>
    <t>Assets Number</t>
  </si>
  <si>
    <t>Assets Type</t>
  </si>
  <si>
    <t>Assets Name</t>
  </si>
  <si>
    <t>P049</t>
  </si>
  <si>
    <t>FMS</t>
  </si>
  <si>
    <t>资产类别属性参数
Asset class attribute parameters</t>
  </si>
  <si>
    <t>资产网络安全属性相关性
Correlation of asset Cyber Security attributes</t>
  </si>
  <si>
    <t>标识
Identification</t>
  </si>
  <si>
    <t>攻击可行性等级评定表
Attack feasibility rating table</t>
  </si>
  <si>
    <t>风险处理决定
Risk treatment decision</t>
  </si>
  <si>
    <t>安全影响（S）评级标准
Safety Impact (S) Rating Criteria</t>
  </si>
  <si>
    <t>风险矩阵
Risk matrix</t>
  </si>
  <si>
    <t>资产类型ID
Asset Type ID</t>
  </si>
  <si>
    <t>资产类型名称
Asset type name</t>
  </si>
  <si>
    <t>有关联
Be connected</t>
  </si>
  <si>
    <t>维度
Dimension</t>
  </si>
  <si>
    <t>等级
Rank</t>
  </si>
  <si>
    <t>价值分数
Value score</t>
  </si>
  <si>
    <t>说明
Description</t>
  </si>
  <si>
    <t>备注
Remarks</t>
  </si>
  <si>
    <t>消除
Avoiding</t>
  </si>
  <si>
    <t>影响评级
Impact rating</t>
  </si>
  <si>
    <t>级别
Level</t>
  </si>
  <si>
    <t>别值
Don't value</t>
  </si>
  <si>
    <t>评级标准
Rating standard</t>
  </si>
  <si>
    <t>攻击可行性等级评定
Attack feasibility rating</t>
  </si>
  <si>
    <t>AssetID_01</t>
  </si>
  <si>
    <t>数据流
Data stream</t>
  </si>
  <si>
    <t>无关联
Unrelated</t>
  </si>
  <si>
    <t>T
经过的时间
T 
The elapsed time</t>
  </si>
  <si>
    <t>≤1天
≤ 1 day</t>
  </si>
  <si>
    <t>以“专家”的知识状况，识别漏洞、开发和（成功）应用漏洞的时间
Based on the knowledge status of "expert", identify vulnerabilities, and develop and (successfully) apply vulnerabilities</t>
  </si>
  <si>
    <t>降低
Reducing</t>
  </si>
  <si>
    <t>严重
Severe</t>
  </si>
  <si>
    <t>S3</t>
  </si>
  <si>
    <t>致命的伤害，威胁生命（生存不确定性）
Deadly injury, life threatening (survival uncertainty)</t>
  </si>
  <si>
    <t>非常低
Very low</t>
  </si>
  <si>
    <t>低
Low</t>
  </si>
  <si>
    <t>中
Medium</t>
  </si>
  <si>
    <t>高
High</t>
  </si>
  <si>
    <t>AssetID_02</t>
  </si>
  <si>
    <t>数据存储
Data storage</t>
  </si>
  <si>
    <t>≤1周
≤ 1 week</t>
  </si>
  <si>
    <t>转移
Sharing</t>
  </si>
  <si>
    <t>S2</t>
  </si>
  <si>
    <t>严重的伤害，造成生命危险（可能生存）
Serious injury, causing danger to life (possible survival)</t>
  </si>
  <si>
    <t>AssetID_03</t>
  </si>
  <si>
    <t>功能单元
Function Unit</t>
  </si>
  <si>
    <t>≤1个月
≤ 1 month</t>
  </si>
  <si>
    <t>保留
Retaining</t>
  </si>
  <si>
    <t>中等
Medium</t>
  </si>
  <si>
    <t>S1</t>
  </si>
  <si>
    <t>轻微和中度的伤害
Minor and General injuries</t>
  </si>
  <si>
    <t>AssetID_04</t>
  </si>
  <si>
    <t>外部实体
External entity</t>
  </si>
  <si>
    <t>≤6个月
≤ 6 months</t>
  </si>
  <si>
    <t>S0</t>
  </si>
  <si>
    <t>没有受伤
No injuries</t>
  </si>
  <si>
    <t>AssetID_05</t>
  </si>
  <si>
    <t>通信信道
Channel</t>
  </si>
  <si>
    <t>&gt;6个月
&gt; 6 months</t>
  </si>
  <si>
    <t>K
专业知识
K 
Professional knowledge</t>
  </si>
  <si>
    <t>业余
Layman</t>
  </si>
  <si>
    <t>初学者，与专家或精通的人员相比，业务及信息安全知识经验较浅者
Beginners, compared with experts or proficient personnel, have less experience in business and information security knowledge</t>
  </si>
  <si>
    <t>说明：
Description:</t>
  </si>
  <si>
    <t>熟练
Proficient</t>
  </si>
  <si>
    <t>具有专业知识背景者，对产品或系统的信息安全知识较为渊博
Those with professional knowledge background have profound knowledge of information security of products or systems</t>
  </si>
  <si>
    <t>专家
Expert</t>
  </si>
  <si>
    <t>熟悉底层算法、协议、硬件级系统，对信息安全攻击理论、知识、技术方法及工具掌握扎实
Familiar with underlying algorithms, protocols and hardware-level systems, and have a solid grasp of information security attack theory, knowledge, technical methods and tools</t>
  </si>
  <si>
    <t>财务影响（F）评级标准
Financial impact (F) rating criteria</t>
  </si>
  <si>
    <t>多领域多位专家
Multiple experts</t>
  </si>
  <si>
    <t>专家团队，掌握不同领域的专业知识
Expert team, master professional knowledge in different fields</t>
  </si>
  <si>
    <t>级别值
Level value</t>
  </si>
  <si>
    <t>P
信息公开性
P 
Information openness</t>
  </si>
  <si>
    <t>公开
Public</t>
  </si>
  <si>
    <t>任何人都可以轻松获取（如从互联网上）
It can be easily accessed by anyone (eg from the Internet)</t>
  </si>
  <si>
    <t>F3</t>
  </si>
  <si>
    <t>经济损失导致灾难性后果，受影响的道路者可能无法克服
Economic losses lead to disastrous consequences, which may not be overcome by the affected road walkers</t>
  </si>
  <si>
    <t>受限
Restricted</t>
  </si>
  <si>
    <t>在开发者组织内共享，或依据保密协议与其他组织共享
Share within the developer organization, or share with other organizations according to a non-disclosure agreement</t>
  </si>
  <si>
    <t>F2</t>
  </si>
  <si>
    <t>经济损失导致重大后果，受影响的道路者能够克服这些后果
Economic losses lead to significant consequences, which can be overcome by affected road walkers</t>
  </si>
  <si>
    <t>机密
Confidential</t>
  </si>
  <si>
    <t>在开发者组织内不同的团队间共享，只有特定的成员才能访问
It is shared among different teams within the developer organization and can only be accessed by specific members</t>
  </si>
  <si>
    <t>F1</t>
  </si>
  <si>
    <t>经济损失导致的不便的影响后果，受影响的道路者能够用有限的资源克服这些后果
The consequences of inconvenience caused by economic losses, which can be overcome by affected road users with limited resources</t>
  </si>
  <si>
    <t>严格机密
Strictly confidential</t>
  </si>
  <si>
    <t>仅有业务领域内团队核心成员可获取，访问控制非常严格
It is only available to the core members of the team in the business area, and the access control is very strict</t>
  </si>
  <si>
    <t>F0</t>
  </si>
  <si>
    <t>经济损失导致的影响后果可忽略不计，或与道路使用者无关
The consequences of economic losses are negligible or have nothing to do with road users</t>
  </si>
  <si>
    <t>O
机会窗口
O 
Opportunity window</t>
  </si>
  <si>
    <t>无限制
Unlimited</t>
  </si>
  <si>
    <t>没有时间限制的高可用性（资产总是可被访问），无实际存在或时间限制的远程访问
High availability without time constraints (assets are always accessible), remote access without physical presence or time constraints</t>
  </si>
  <si>
    <t>容易
Easy</t>
  </si>
  <si>
    <t>高可用性和有限的时间访问，远程可访问
High availability and limited time access, remote access</t>
  </si>
  <si>
    <t>一般
Medium</t>
  </si>
  <si>
    <t>低可用性，有限的物理或逻辑访问，在不使用特殊工具下对车辆内外部进行物理访问
Low availability, limited physical or logical access, physical access to the inside and outside of the vehicle without using special tools</t>
  </si>
  <si>
    <t>困难
Difficult</t>
  </si>
  <si>
    <t>非常低的可用性，访问程度不实际，无法实施攻击
Very low availability, impractical access, unable to implement attacks</t>
  </si>
  <si>
    <t>对操作（O）的影响评级标准
Impact rating criteria for operation (O)</t>
  </si>
  <si>
    <t>E
设备与工具
E 
Equipment and Tools</t>
  </si>
  <si>
    <t>普通
Standard</t>
  </si>
  <si>
    <t>现成的设备，很容易获取，使用公开或开源的软硬件设备、工具
Ready-made devices, easy access, use of open or open source software and hardware devices, tools</t>
  </si>
  <si>
    <t>专业
Specialized</t>
  </si>
  <si>
    <t>不容易得到，但可以通过购买或开发轻松获取的专业软硬件设备、工具
Professional software and hardware equipment and tools that are not easily available, but can be easily obtained by purchasing or developing</t>
  </si>
  <si>
    <t>O3</t>
  </si>
  <si>
    <t>对操作的危害导致核心功能丧失或受损
Hazards to operations lead to loss or impairment of core functions</t>
  </si>
  <si>
    <t>定制
Bespoke</t>
  </si>
  <si>
    <t>专门生产的，公众不易获取，其分配收到控制，设备非常昂贵
It is specially produced, not easily accessible to the public, its distribution is controlled, and the equipment is very expensive</t>
  </si>
  <si>
    <t>O2</t>
  </si>
  <si>
    <t>对操作的危害导致重要功能丧失或受损
Hazard to operation resulting in loss or impairment of important functions</t>
  </si>
  <si>
    <t>多个定制
Multiple bespoke</t>
  </si>
  <si>
    <t>在攻击的不同步骤中需要使用不同类型的定制设备
Different types of custom devices need to be used in different steps of the attack</t>
  </si>
  <si>
    <t>O1</t>
  </si>
  <si>
    <t>对操作的危害导致车辆功能的部分退化
Harm to operation leads to partial degradation of vehicle function</t>
  </si>
  <si>
    <t>备注：依据ISO21434进行赋值
Remarks: Assign values according to ISO21434</t>
  </si>
  <si>
    <t>O0</t>
  </si>
  <si>
    <t>对操作的危害没有导致车辆功能损害或损害无法感知
Hazards to operation do not result in impairment of vehicle function or impairment that cannot be perceived</t>
  </si>
  <si>
    <t>攻击可行性得分
（最低分）
Attack feasibility score 
(Lowest score)</t>
  </si>
  <si>
    <t>攻击可行性得分
（最高分）
Attack feasibility score 
(Highest score)</t>
  </si>
  <si>
    <t>等级划分分界线
Hierarchical dividing line</t>
  </si>
  <si>
    <t>对隐私（P）的影响评级标准
Impact rating criteria for privacy (P)</t>
  </si>
  <si>
    <t>P3</t>
  </si>
  <si>
    <t>隐私损害对道路使用者产生重大甚至不可逆转的影响，有关道路者的信息是高度敏感的，很容易与PII主体联系起来
Privacy damage has a significant and even irreversible impact on road users. The information about road users is highly sensitive and can easily be connected with PII subjects</t>
  </si>
  <si>
    <t>备注：依据ISO21434进行赋值，计算等级
Remarks: Assign values and calculate grades according to ISO21434</t>
  </si>
  <si>
    <t>P2</t>
  </si>
  <si>
    <t>隐私损害对道路使用者产生严重影响，有关道路者的信息高度敏感但难以与PII主体联系起来，或敏感但易与PII主体相联系
Privacy damage has a serious impact on road users, and the information about road users is highly sensitive but difficult to relate to PII subjects, or sensitive but easy to relate to PII subjects</t>
  </si>
  <si>
    <t>P1</t>
  </si>
  <si>
    <t>隐私损害对道路使用者带来不便，有关道路者的信息敏感但难以与PII主体联系起来，或不敏感但易与PII主体相联系
Privacy breach brings inconvenience to road users, and information about road users is sensitive but difficult to relate to PII subjects, or insensitive but easy to relate to PII subjects</t>
  </si>
  <si>
    <t>资产
Asset</t>
  </si>
  <si>
    <t>机密性
Confidentiality</t>
  </si>
  <si>
    <t>完整性
Integrity</t>
  </si>
  <si>
    <t>可用性
Avaliability</t>
  </si>
  <si>
    <t>真实性
Authenticity</t>
  </si>
  <si>
    <t>不可抵赖性
Non-repudiation</t>
  </si>
  <si>
    <t>新鲜性
Freshness</t>
  </si>
  <si>
    <t>P0</t>
  </si>
  <si>
    <t>隐私损害没有造成影响，后果可忽略不计或与道路使用者无关。有关道路者的信息不敏感且难以与PII主体相联系起来
Privacy damage has no impact, and the consequences are negligible or unrelated to road users. Information about road users is insensitive and difficult to relate to PII subjects</t>
  </si>
  <si>
    <t>功能单元
Functional unit</t>
  </si>
  <si>
    <t>说明：PII及PII主体定义可参照ISO/IEC 29100
Note: The definition of PII and PII body can refer to ISO/IEC 29100</t>
  </si>
  <si>
    <t>影响评级赋值
Impact rating assignment</t>
  </si>
  <si>
    <t>影响类别风险偏好
Impact category risk preference</t>
  </si>
  <si>
    <t>影响类别
Impact category</t>
  </si>
  <si>
    <t>风险偏好（权重值）
Risk preference (weight value)</t>
  </si>
  <si>
    <t>威胁
Threat</t>
  </si>
  <si>
    <t>I-信息泄露
Information leakage</t>
  </si>
  <si>
    <t>T-篡改
Tampering</t>
  </si>
  <si>
    <t>D-拒绝服务
Denial of Service</t>
  </si>
  <si>
    <t>S-身份仿冒
Spoofing</t>
  </si>
  <si>
    <t>E权限提升
Elevation of Privilege</t>
  </si>
  <si>
    <t>R-抵赖
Repudiation</t>
  </si>
  <si>
    <t>R-重放
Replay</t>
  </si>
  <si>
    <t>安全
Safety</t>
  </si>
  <si>
    <t>S</t>
  </si>
  <si>
    <t>备注：资产类别（蓝色）-网络安全属性（黄色）-STRIDE（红色）矩阵表
Remarks: Asset Class (blue)-Cyber Security Attributes (yellow)-STRIDE (red) Matrix Table</t>
  </si>
  <si>
    <t>财务
Finance</t>
  </si>
  <si>
    <t>F</t>
  </si>
  <si>
    <t>是指“信息不被泄露给未授权的个人、实体和过程或不被其使用的特性。”简单地说，就是确保所传输的数据只被其预定的接收者读取。
It refers to "the characteristic that information is not leaked to or used by unauthorized individuals, entities and processes." Simply put, it is to ensure that the transmitted data is only read by its intended recipient.</t>
  </si>
  <si>
    <t>操作
Operation</t>
  </si>
  <si>
    <t>O</t>
  </si>
  <si>
    <t>是指“保护资产的正确和完整的特性。”简单地说，就是确保接收到的数据就是发送的数据。
It means "protecting the correct and complete characteristics of assets." Simply put, it is to ensure that the received data is the sent data.</t>
  </si>
  <si>
    <t>隐私
Privacy</t>
  </si>
  <si>
    <t>P</t>
  </si>
  <si>
    <t>可用性
Availability</t>
  </si>
  <si>
    <t>是指“需要时，授权实体可以访问和使用的特性。”可用性确保数据在需要时可以使用。
It refers to "features that can be accessed and used by authorized entities when necessary." Availability ensures that data is available when needed.</t>
  </si>
  <si>
    <r>
      <rPr>
        <sz val="12"/>
        <color theme="1"/>
        <rFont val="宋体"/>
        <charset val="134"/>
      </rPr>
      <t>备注：由企业自主进行评定，4个类别的风险偏好（权重值）不能彼此相同，需排出先后顺序。此风险偏好（权重值）用于在多个类别的影响评级结果相同时选择出最关键的一项。</t>
    </r>
    <r>
      <rPr>
        <sz val="12"/>
        <color rgb="FFFF0000"/>
        <rFont val="宋体"/>
        <charset val="134"/>
      </rPr>
      <t>目前的评定影响综合等级为取4个类别的风险中的最高值。</t>
    </r>
    <r>
      <rPr>
        <sz val="12"/>
        <color theme="1"/>
        <rFont val="宋体"/>
        <charset val="134"/>
      </rPr>
      <t xml:space="preserve">
Remarks: The risk preferences (weight values) of the four categories cannot be the same as each other, and they need to be ranked in sequence. This risk preference (weight value) is used to select the most critical item when the impact rating results of multiple categories are the same.</t>
    </r>
    <r>
      <rPr>
        <sz val="12"/>
        <color rgb="FFFF0000"/>
        <rFont val="宋体"/>
        <charset val="134"/>
      </rPr>
      <t>The current assessment of the comprehensive impact level takes the highest value among the four categories of risks.</t>
    </r>
  </si>
  <si>
    <t>一个实体是其所声称实体的这种特性。一般是指对信息的来源进行判断，能对伪造来源的信息予以鉴别；
An entity is this characteristic of its claimed entity. Generally, it refers to judging the source of information and identifying the information from forged sources;</t>
  </si>
  <si>
    <t xml:space="preserve">备注：参考ISO 21434，可根据主机厂要求，自行确定。
Note: Referring to ISO 21434, it can be determined according to the requirements of the host factory. 	</t>
  </si>
  <si>
    <t>界定对信息处理的资源的使用和活动边界，并定义访问控制策略，确保信息资源的访问是处于有效控制之中。
Define the use and activity boundary of information processing resources, and define access control policies to ensure that the access of information resources is under effective control.</t>
  </si>
  <si>
    <t>证明所声称事态或行为的发生及其源头的能力。是指建立有效的责任机制，防止用户否认其行为。
The ability to prove the occurrence and source of the claimed state of affairs or behavior. It refers to establishing an effective responsibility mechanism to prevent users from denying their behavior.</t>
  </si>
  <si>
    <t>描述
Describe</t>
  </si>
  <si>
    <t>举例
Example</t>
  </si>
  <si>
    <t>汽车零部件的外部硬件设备。系统控制范围之外的用户、软件系统或者设备。作为一个系统或产品的输入或输出。
External hardware equipment of automobile parts. Users, software systems or equipment outside the control range of the system. As the input or output of a system or product.</t>
  </si>
  <si>
    <t>外部ETH服务设备、外部WiFi设备、外部蓝牙设备，外部4G/5G服务设备，车内网络连接设备
External ETH service equipment, external WiFi equipment, external Bluetooth equipment, external 4G/5G service equipment and in-car network connection equipment</t>
  </si>
  <si>
    <t>由多个组合或者进程构成的程序或软件。包含一个任务、一个执行过程，一定有数据流入和流出。
A program or software consisting of multiple combinations or processes. Including a task, an execution process, there must be data inflow and outflow.</t>
  </si>
  <si>
    <t>MPU、4G/5G模组、MCU、SSH客户端、FOTA应用、远程诊断应用、远程控制应用，以及设备内总线挂载的芯片等。MPU, 4G/5G module, MCU, SSH client, FOTA application, remote diagnosis application, remote control application, and chips mounted on the bus in the device.</t>
  </si>
  <si>
    <t>存储数据的内部实体，如数据库、消息队列、文件等。
Internal entities that store data, such as databases, message queues, files, etc.</t>
  </si>
  <si>
    <t>MPU、4G/5G模组、MCU等设备中存储的口令、密码、密钥、通信数据等。
Passwords, passwords, keys, communication data, etc. stored in MPU, 4G/5G module, MCU and other devices.</t>
  </si>
  <si>
    <t>数据拓扑图中的数据链路通道，外部实体之间的数据传输通道，表示数据传输的通用链路包含该链路的协议、方式。
The data link channel in the data topology graph, the data transmission channel between external entities, represents the general link of data transmission including the protocol and mode of the link.</t>
  </si>
  <si>
    <t>以太网ETH、蓝牙BLE、CAN网络、Flexray、Lin、4G、WI-FI、有线网络、视频线、有线USB等。
The data link channel in the data topology graph, the data transmission channel between external entities, represents the general link of data transmission including the protocol and mode of the link. Ethernet ETH, Bluetooth BLE, CAN network, Flexray, Lin, 4G, WI-FI, wired network, video cable, wired USB, etc.</t>
  </si>
  <si>
    <t>各个汽车零部件涉及的数据通信。外部实体与进程、进程与进程或者进程与数据存储之间的交互，表示数据的流转过程。
Data communication involved in various automobile parts. Interaction between external entities and processes, processes and processes, or processes and data stores, indicating the flow of data.</t>
  </si>
  <si>
    <t>SSH、WIFI、蓝牙、SPI、CAN等有线/无线连接传输的，以及MPU内FOTA、远程诊断和远程控制等进程交互数据。
SSH, WIFI, Bluetooth, SPI, CAN and other wired/wireless connection transmission, and MPU FOTA, remote diagnosis and remote control process interaction data.</t>
  </si>
  <si>
    <t>信息泄漏 (Information Disclosure)</t>
  </si>
  <si>
    <t>攻击者可以访问传输或存储的数据
Attackers can access transmitted or stored data</t>
  </si>
  <si>
    <t>用户信息被泄露
User information is leaked</t>
  </si>
  <si>
    <t>身份仿冒 (Spoofing)
Identity phishing (Soofing)</t>
  </si>
  <si>
    <t>攻击者冒充某人或某事
An attacker impersonates someone or something</t>
  </si>
  <si>
    <t>冒充其他用户账号
Pretending to be another user account</t>
  </si>
  <si>
    <t>数据篡改 (Tampering Data)</t>
  </si>
  <si>
    <t>攻击者改变传输过程或是存储的数据，也可以改变功能
Attackers can change the transmission process or stored data, and can also change the function</t>
  </si>
  <si>
    <t>修改订单信息
Modify order information</t>
  </si>
  <si>
    <t>抵赖/否认 (Repudiation Denial)</t>
  </si>
  <si>
    <t>攻击者执行的操作不能被追溯
The operation performed by the attacker cannot be traced back</t>
  </si>
  <si>
    <t>不承认修改行为
Do not recognize the modification behavior</t>
  </si>
  <si>
    <t>拒绝服务         (Denial of Service)</t>
  </si>
  <si>
    <t>攻击者中断系统的合法操作
Attacker interrupts legitimate operation of the system</t>
  </si>
  <si>
    <t>DDOS攻击导致网站不可用
DDOS Attack Causes Web Site to Be Unavailable</t>
  </si>
  <si>
    <t>权限提升      (Elevation of Privilege)</t>
  </si>
  <si>
    <t>攻击者执行未被授权的行为
Attacker performs unauthorized behavior</t>
  </si>
  <si>
    <t>普通用户提升到管理员
Ordinary users are promoted to administrators</t>
  </si>
  <si>
    <t>重放
（Relay)</t>
  </si>
  <si>
    <t xml:space="preserve">攻击者执行过期的报文或操作
The attacker executes an expired packet or operation
</t>
  </si>
  <si>
    <t>重访CAN通道控制报文
Replay CAN channel control messages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</si>
</sst>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Red]\(0.0\)"/>
    <numFmt numFmtId="177" formatCode="0.0_ "/>
    <numFmt numFmtId="178" formatCode="0.000_ "/>
    <numFmt numFmtId="179" formatCode="yyyy/mm/dd"/>
  </numFmts>
  <fonts count="64">
    <font>
      <sz val="12"/>
      <color theme="1"/>
      <name val="等线"/>
      <charset val="134"/>
      <scheme val="minor"/>
    </font>
    <font>
      <sz val="12"/>
      <color rgb="FF000000"/>
      <name val="等线"/>
      <charset val="134"/>
    </font>
    <font>
      <b/>
      <sz val="12"/>
      <color rgb="FF000000"/>
      <name val="等线"/>
      <charset val="134"/>
    </font>
    <font>
      <sz val="12"/>
      <color rgb="FF000000"/>
      <name val="宋体"/>
      <charset val="134"/>
    </font>
    <font>
      <b/>
      <sz val="12"/>
      <color rgb="FF000000"/>
      <name val="宋体"/>
      <charset val="134"/>
    </font>
    <font>
      <sz val="12"/>
      <color theme="1"/>
      <name val="宋体"/>
      <charset val="134"/>
    </font>
    <font>
      <sz val="11"/>
      <color rgb="FF000000"/>
      <name val="等线"/>
      <charset val="134"/>
    </font>
    <font>
      <b/>
      <sz val="12"/>
      <color theme="1"/>
      <name val="宋体"/>
      <charset val="134"/>
    </font>
    <font>
      <sz val="12"/>
      <color theme="0"/>
      <name val="宋体"/>
      <charset val="134"/>
    </font>
    <font>
      <sz val="12"/>
      <color rgb="FF000000"/>
      <name val="等线"/>
      <charset val="134"/>
      <scheme val="minor"/>
    </font>
    <font>
      <sz val="12"/>
      <color rgb="FFFF0000"/>
      <name val="等线"/>
      <charset val="134"/>
      <scheme val="minor"/>
    </font>
    <font>
      <b/>
      <sz val="12"/>
      <name val="宋体"/>
      <charset val="134"/>
    </font>
    <font>
      <sz val="12"/>
      <name val="宋体"/>
      <charset val="134"/>
    </font>
    <font>
      <b/>
      <sz val="12"/>
      <color rgb="FFFFFFFF"/>
      <name val="等线"/>
      <charset val="134"/>
    </font>
    <font>
      <sz val="10"/>
      <color rgb="FF000000"/>
      <name val="等线"/>
      <charset val="134"/>
    </font>
    <font>
      <sz val="12"/>
      <name val="等线"/>
      <charset val="134"/>
      <scheme val="minor"/>
    </font>
    <font>
      <sz val="10"/>
      <name val="等线"/>
      <charset val="134"/>
    </font>
    <font>
      <b/>
      <sz val="10"/>
      <color rgb="FF000000"/>
      <name val="微软雅黑"/>
      <charset val="134"/>
    </font>
    <font>
      <sz val="10"/>
      <name val="default"/>
      <charset val="134"/>
    </font>
    <font>
      <sz val="10"/>
      <color rgb="FFFF0000"/>
      <name val="等线"/>
      <charset val="134"/>
    </font>
    <font>
      <sz val="11"/>
      <color rgb="FFFF0000"/>
      <name val="等线"/>
      <charset val="134"/>
    </font>
    <font>
      <sz val="10"/>
      <color rgb="FFFF0000"/>
      <name val="等线"/>
      <charset val="134"/>
      <scheme val="minor"/>
    </font>
    <font>
      <sz val="11"/>
      <name val="等线"/>
      <charset val="134"/>
    </font>
    <font>
      <sz val="10"/>
      <name val="等线"/>
      <charset val="134"/>
      <scheme val="minor"/>
    </font>
    <font>
      <sz val="10"/>
      <color rgb="FFFF0000"/>
      <name val="default"/>
      <charset val="134"/>
    </font>
    <font>
      <sz val="10"/>
      <color rgb="FFFF0000"/>
      <name val="Arial"/>
      <charset val="134"/>
    </font>
    <font>
      <b/>
      <sz val="10"/>
      <color rgb="FFFF0000"/>
      <name val="Arial"/>
      <charset val="134"/>
    </font>
    <font>
      <b/>
      <sz val="11"/>
      <color rgb="FFFF0000"/>
      <name val="等线"/>
      <charset val="134"/>
    </font>
    <font>
      <sz val="11"/>
      <color theme="1"/>
      <name val="宋体"/>
      <charset val="134"/>
    </font>
    <font>
      <sz val="11"/>
      <name val="宋体"/>
      <charset val="134"/>
    </font>
    <font>
      <b/>
      <sz val="24"/>
      <color theme="0"/>
      <name val="等线"/>
      <charset val="134"/>
      <scheme val="minor"/>
    </font>
    <font>
      <b/>
      <sz val="12"/>
      <color theme="0"/>
      <name val="宋体"/>
      <charset val="134"/>
    </font>
    <font>
      <sz val="10"/>
      <color rgb="FF000000"/>
      <name val="等线"/>
      <charset val="134"/>
      <scheme val="minor"/>
    </font>
    <font>
      <sz val="10"/>
      <color rgb="FF000000"/>
      <name val="微软雅黑"/>
      <charset val="134"/>
    </font>
    <font>
      <b/>
      <sz val="24"/>
      <color rgb="FFFFFFFF"/>
      <name val="等线"/>
      <charset val="134"/>
    </font>
    <font>
      <b/>
      <sz val="16"/>
      <color rgb="FFFFFFFF"/>
      <name val="等线"/>
      <charset val="134"/>
    </font>
    <font>
      <b/>
      <sz val="11"/>
      <name val="等线"/>
      <charset val="134"/>
    </font>
    <font>
      <sz val="11"/>
      <name val="等线"/>
      <charset val="134"/>
      <scheme val="minor"/>
    </font>
    <font>
      <b/>
      <i/>
      <sz val="11"/>
      <color theme="1"/>
      <name val="等线"/>
      <charset val="134"/>
      <scheme val="minor"/>
    </font>
    <font>
      <b/>
      <sz val="11"/>
      <name val="等线"/>
      <charset val="134"/>
      <scheme val="minor"/>
    </font>
    <font>
      <b/>
      <i/>
      <sz val="11"/>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FF0000"/>
      <name val="宋体"/>
      <charset val="134"/>
    </font>
    <font>
      <sz val="10"/>
      <color rgb="FF000000"/>
      <name val="宋体"/>
      <charset val="134"/>
    </font>
    <font>
      <sz val="10"/>
      <name val="宋体"/>
      <charset val="134"/>
    </font>
  </fonts>
  <fills count="47">
    <fill>
      <patternFill patternType="none"/>
    </fill>
    <fill>
      <patternFill patternType="gray125"/>
    </fill>
    <fill>
      <patternFill patternType="solid">
        <fgColor rgb="FFBFBFBF"/>
        <bgColor indexed="64"/>
      </patternFill>
    </fill>
    <fill>
      <patternFill patternType="solid">
        <fgColor rgb="FFFFFF00"/>
        <bgColor indexed="64"/>
      </patternFill>
    </fill>
    <fill>
      <patternFill patternType="solid">
        <fgColor rgb="FF00B0F0"/>
        <bgColor indexed="64"/>
      </patternFill>
    </fill>
    <fill>
      <patternFill patternType="solid">
        <fgColor rgb="FFE70C00"/>
        <bgColor indexed="64"/>
      </patternFill>
    </fill>
    <fill>
      <patternFill patternType="solid">
        <fgColor rgb="FFC5E0B3"/>
        <bgColor indexed="64"/>
      </patternFill>
    </fill>
    <fill>
      <patternFill patternType="solid">
        <fgColor theme="0"/>
        <bgColor indexed="64"/>
      </patternFill>
    </fill>
    <fill>
      <patternFill patternType="solid">
        <fgColor rgb="FF48A3DC"/>
        <bgColor indexed="64"/>
      </patternFill>
    </fill>
    <fill>
      <patternFill patternType="solid">
        <fgColor theme="0" tint="-0.14981536301767"/>
        <bgColor indexed="64"/>
      </patternFill>
    </fill>
    <fill>
      <patternFill patternType="solid">
        <fgColor theme="1"/>
        <bgColor indexed="64"/>
      </patternFill>
    </fill>
    <fill>
      <patternFill patternType="solid">
        <fgColor rgb="FFFFFFFF"/>
        <bgColor rgb="FF000000"/>
      </patternFill>
    </fill>
    <fill>
      <patternFill patternType="solid">
        <fgColor rgb="FF48A3DC"/>
        <bgColor rgb="FF000000"/>
      </patternFill>
    </fill>
    <fill>
      <patternFill patternType="solid">
        <fgColor rgb="FFD9D9D9"/>
        <bgColor rgb="FF000000"/>
      </patternFill>
    </fill>
    <fill>
      <patternFill patternType="solid">
        <fgColor theme="0" tint="-0.149845881527146"/>
        <bgColor indexed="64"/>
      </patternFill>
    </fill>
    <fill>
      <patternFill patternType="solid">
        <fgColor theme="0" tint="-0.14993743705557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7">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auto="1"/>
      </left>
      <right style="thin">
        <color auto="1"/>
      </right>
      <top style="thin">
        <color auto="1"/>
      </top>
      <bottom style="thin">
        <color auto="1"/>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rgb="FF000000"/>
      </bottom>
      <diagonal/>
    </border>
    <border>
      <left style="thin">
        <color auto="1"/>
      </left>
      <right style="thin">
        <color rgb="FF000000"/>
      </right>
      <top style="thin">
        <color rgb="FF000000"/>
      </top>
      <bottom style="thin">
        <color auto="1"/>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right style="thin">
        <color rgb="FF000000"/>
      </right>
      <top style="thin">
        <color rgb="FF000000"/>
      </top>
      <bottom/>
      <diagonal/>
    </border>
    <border>
      <left style="thin">
        <color auto="1"/>
      </left>
      <right style="thin">
        <color auto="1"/>
      </right>
      <top style="thin">
        <color rgb="FF000000"/>
      </top>
      <bottom style="thin">
        <color auto="1"/>
      </bottom>
      <diagonal/>
    </border>
    <border>
      <left style="thin">
        <color auto="1"/>
      </left>
      <right style="thin">
        <color auto="1"/>
      </right>
      <top/>
      <bottom style="thin">
        <color auto="1"/>
      </bottom>
      <diagonal/>
    </border>
    <border>
      <left style="thin">
        <color rgb="FF000000"/>
      </left>
      <right style="thin">
        <color rgb="FF000000"/>
      </right>
      <top/>
      <bottom style="thin">
        <color rgb="FF000000"/>
      </bottom>
      <diagonal/>
    </border>
    <border>
      <left style="thin">
        <color auto="1"/>
      </left>
      <right style="thin">
        <color auto="1"/>
      </right>
      <top/>
      <bottom style="thin">
        <color rgb="FF000000"/>
      </bottom>
      <diagonal/>
    </border>
    <border>
      <left/>
      <right style="thin">
        <color rgb="FF000000"/>
      </right>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top style="thin">
        <color auto="1"/>
      </top>
      <bottom style="thin">
        <color auto="1"/>
      </bottom>
      <diagonal/>
    </border>
    <border>
      <left style="medium">
        <color theme="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theme="1"/>
      </left>
      <right/>
      <top/>
      <bottom style="medium">
        <color theme="1"/>
      </bottom>
      <diagonal/>
    </border>
    <border>
      <left/>
      <right/>
      <top/>
      <bottom style="medium">
        <color theme="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right style="medium">
        <color theme="1"/>
      </right>
      <top/>
      <bottom/>
      <diagonal/>
    </border>
    <border>
      <left style="medium">
        <color theme="1"/>
      </left>
      <right style="mediumDashed">
        <color theme="0" tint="-0.249946592608417"/>
      </right>
      <top style="mediumDashed">
        <color theme="0" tint="-0.249946592608417"/>
      </top>
      <bottom style="mediumDashed">
        <color theme="0" tint="-0.249946592608417"/>
      </bottom>
      <diagonal/>
    </border>
    <border>
      <left style="mediumDashed">
        <color theme="0" tint="-0.249946592608417"/>
      </left>
      <right style="mediumDashed">
        <color theme="0" tint="-0.249946592608417"/>
      </right>
      <top style="mediumDashed">
        <color theme="0" tint="-0.249946592608417"/>
      </top>
      <bottom style="mediumDashed">
        <color theme="0" tint="-0.249946592608417"/>
      </bottom>
      <diagonal/>
    </border>
    <border>
      <left style="mediumDashed">
        <color theme="0" tint="-0.249946592608417"/>
      </left>
      <right style="mediumDashed">
        <color theme="0" tint="-0.249946592608417"/>
      </right>
      <top style="mediumDashed">
        <color theme="0" tint="-0.249946592608417"/>
      </top>
      <bottom/>
      <diagonal/>
    </border>
    <border>
      <left/>
      <right/>
      <top style="mediumDashed">
        <color theme="0" tint="-0.249946592608417"/>
      </top>
      <bottom style="mediumDashed">
        <color theme="0" tint="-0.249946592608417"/>
      </bottom>
      <diagonal/>
    </border>
    <border>
      <left/>
      <right style="mediumDashed">
        <color theme="0" tint="-0.249946592608417"/>
      </right>
      <top style="mediumDashed">
        <color theme="0" tint="-0.249946592608417"/>
      </top>
      <bottom style="mediumDashed">
        <color theme="0" tint="-0.249946592608417"/>
      </bottom>
      <diagonal/>
    </border>
    <border>
      <left style="mediumDashed">
        <color theme="0" tint="-0.249946592608417"/>
      </left>
      <right/>
      <top style="mediumDashed">
        <color theme="0" tint="-0.249946592608417"/>
      </top>
      <bottom style="mediumDashed">
        <color theme="0" tint="-0.249946592608417"/>
      </bottom>
      <diagonal/>
    </border>
    <border>
      <left/>
      <right/>
      <top style="mediumDashed">
        <color theme="0" tint="-0.249946592608417"/>
      </top>
      <bottom/>
      <diagonal/>
    </border>
    <border>
      <left/>
      <right style="mediumDashed">
        <color theme="0" tint="-0.249946592608417"/>
      </right>
      <top style="mediumDashed">
        <color theme="0" tint="-0.249946592608417"/>
      </top>
      <bottom/>
      <diagonal/>
    </border>
    <border>
      <left/>
      <right style="medium">
        <color auto="1"/>
      </right>
      <top style="mediumDashed">
        <color theme="0" tint="-0.249946592608417"/>
      </top>
      <bottom style="mediumDashed">
        <color theme="0" tint="-0.249946592608417"/>
      </bottom>
      <diagonal/>
    </border>
    <border>
      <left style="mediumDashed">
        <color theme="0" tint="-0.249946592608417"/>
      </left>
      <right style="medium">
        <color auto="1"/>
      </right>
      <top style="mediumDashed">
        <color theme="0" tint="-0.249946592608417"/>
      </top>
      <bottom style="mediumDashed">
        <color theme="0" tint="-0.249946592608417"/>
      </bottom>
      <diagonal/>
    </border>
    <border>
      <left/>
      <right/>
      <top/>
      <bottom style="mediumDashed">
        <color theme="0" tint="-0.249946592608417"/>
      </bottom>
      <diagonal/>
    </border>
    <border>
      <left style="medium">
        <color theme="1"/>
      </left>
      <right style="mediumDashed">
        <color theme="0" tint="-0.249946592608417"/>
      </right>
      <top/>
      <bottom/>
      <diagonal/>
    </border>
    <border>
      <left style="mediumDashed">
        <color theme="0" tint="-0.249946592608417"/>
      </left>
      <right style="mediumDashed">
        <color theme="0" tint="-0.249946592608417"/>
      </right>
      <top/>
      <bottom/>
      <diagonal/>
    </border>
    <border>
      <left/>
      <right style="mediumDashed">
        <color theme="0" tint="-0.249946592608417"/>
      </right>
      <top/>
      <bottom style="mediumDashed">
        <color theme="0" tint="-0.249946592608417"/>
      </bottom>
      <diagonal/>
    </border>
    <border>
      <left style="mediumDashed">
        <color theme="0" tint="-0.249946592608417"/>
      </left>
      <right/>
      <top/>
      <bottom style="mediumDashed">
        <color theme="0" tint="-0.249946592608417"/>
      </bottom>
      <diagonal/>
    </border>
    <border>
      <left style="mediumDashed">
        <color theme="0" tint="-0.249946592608417"/>
      </left>
      <right style="mediumDashed">
        <color theme="0" tint="-0.249946592608417"/>
      </right>
      <top/>
      <bottom style="mediumDashed">
        <color theme="0" tint="-0.249946592608417"/>
      </bottom>
      <diagonal/>
    </border>
    <border>
      <left style="mediumDashed">
        <color theme="0" tint="-0.249946592608417"/>
      </left>
      <right/>
      <top style="mediumDashed">
        <color theme="0" tint="-0.249946592608417"/>
      </top>
      <bottom/>
      <diagonal/>
    </border>
    <border>
      <left style="medium">
        <color theme="1"/>
      </left>
      <right style="mediumDashed">
        <color theme="0" tint="-0.249946592608417"/>
      </right>
      <top/>
      <bottom style="mediumDashed">
        <color theme="0" tint="-0.249946592608417"/>
      </bottom>
      <diagonal/>
    </border>
    <border>
      <left style="mediumDashed">
        <color theme="0" tint="-0.249946592608417"/>
      </left>
      <right/>
      <top/>
      <bottom/>
      <diagonal/>
    </border>
    <border>
      <left style="thin">
        <color auto="1"/>
      </left>
      <right style="thin">
        <color auto="1"/>
      </right>
      <top/>
      <bottom/>
      <diagonal/>
    </border>
    <border>
      <left style="mediumDashed">
        <color rgb="FFBFBFBF"/>
      </left>
      <right style="mediumDashed">
        <color rgb="FFBFBFBF"/>
      </right>
      <top style="mediumDashed">
        <color rgb="FFBFBFBF"/>
      </top>
      <bottom style="mediumDashed">
        <color rgb="FFBFBFBF"/>
      </bottom>
      <diagonal/>
    </border>
    <border>
      <left/>
      <right style="mediumDashed">
        <color rgb="FFBFBFBF"/>
      </right>
      <top style="mediumDashed">
        <color rgb="FFBFBFBF"/>
      </top>
      <bottom style="mediumDashed">
        <color rgb="FFBFBFBF"/>
      </bottom>
      <diagonal/>
    </border>
    <border>
      <left/>
      <right/>
      <top style="mediumDashed">
        <color rgb="FFBFBFBF"/>
      </top>
      <bottom style="mediumDashed">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41" fillId="0" borderId="0" applyFont="0" applyFill="0" applyBorder="0" applyAlignment="0" applyProtection="0">
      <alignment vertical="center"/>
    </xf>
    <xf numFmtId="44" fontId="41" fillId="0" borderId="0" applyFont="0" applyFill="0" applyBorder="0" applyAlignment="0" applyProtection="0">
      <alignment vertical="center"/>
    </xf>
    <xf numFmtId="9" fontId="41" fillId="0" borderId="0" applyFont="0" applyFill="0" applyBorder="0" applyAlignment="0" applyProtection="0">
      <alignment vertical="center"/>
    </xf>
    <xf numFmtId="41" fontId="41" fillId="0" borderId="0" applyFont="0" applyFill="0" applyBorder="0" applyAlignment="0" applyProtection="0">
      <alignment vertical="center"/>
    </xf>
    <xf numFmtId="42" fontId="41" fillId="0" borderId="0" applyFon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1" fillId="16" borderId="59" applyNumberFormat="0" applyFont="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60" applyNumberFormat="0" applyFill="0" applyAlignment="0" applyProtection="0">
      <alignment vertical="center"/>
    </xf>
    <xf numFmtId="0" fontId="48" fillId="0" borderId="60" applyNumberFormat="0" applyFill="0" applyAlignment="0" applyProtection="0">
      <alignment vertical="center"/>
    </xf>
    <xf numFmtId="0" fontId="49" fillId="0" borderId="61" applyNumberFormat="0" applyFill="0" applyAlignment="0" applyProtection="0">
      <alignment vertical="center"/>
    </xf>
    <xf numFmtId="0" fontId="49" fillId="0" borderId="0" applyNumberFormat="0" applyFill="0" applyBorder="0" applyAlignment="0" applyProtection="0">
      <alignment vertical="center"/>
    </xf>
    <xf numFmtId="0" fontId="50" fillId="17" borderId="62" applyNumberFormat="0" applyAlignment="0" applyProtection="0">
      <alignment vertical="center"/>
    </xf>
    <xf numFmtId="0" fontId="51" fillId="18" borderId="63" applyNumberFormat="0" applyAlignment="0" applyProtection="0">
      <alignment vertical="center"/>
    </xf>
    <xf numFmtId="0" fontId="52" fillId="18" borderId="62" applyNumberFormat="0" applyAlignment="0" applyProtection="0">
      <alignment vertical="center"/>
    </xf>
    <xf numFmtId="0" fontId="53" fillId="19" borderId="64" applyNumberFormat="0" applyAlignment="0" applyProtection="0">
      <alignment vertical="center"/>
    </xf>
    <xf numFmtId="0" fontId="54" fillId="0" borderId="65" applyNumberFormat="0" applyFill="0" applyAlignment="0" applyProtection="0">
      <alignment vertical="center"/>
    </xf>
    <xf numFmtId="0" fontId="55" fillId="0" borderId="66" applyNumberFormat="0" applyFill="0" applyAlignment="0" applyProtection="0">
      <alignment vertical="center"/>
    </xf>
    <xf numFmtId="0" fontId="56" fillId="20" borderId="0" applyNumberFormat="0" applyBorder="0" applyAlignment="0" applyProtection="0">
      <alignment vertical="center"/>
    </xf>
    <xf numFmtId="0" fontId="57" fillId="21" borderId="0" applyNumberFormat="0" applyBorder="0" applyAlignment="0" applyProtection="0">
      <alignment vertical="center"/>
    </xf>
    <xf numFmtId="0" fontId="58" fillId="22" borderId="0" applyNumberFormat="0" applyBorder="0" applyAlignment="0" applyProtection="0">
      <alignment vertical="center"/>
    </xf>
    <xf numFmtId="0" fontId="59" fillId="23" borderId="0" applyNumberFormat="0" applyBorder="0" applyAlignment="0" applyProtection="0">
      <alignment vertical="center"/>
    </xf>
    <xf numFmtId="0" fontId="60" fillId="24" borderId="0" applyNumberFormat="0" applyBorder="0" applyAlignment="0" applyProtection="0">
      <alignment vertical="center"/>
    </xf>
    <xf numFmtId="0" fontId="60" fillId="25" borderId="0" applyNumberFormat="0" applyBorder="0" applyAlignment="0" applyProtection="0">
      <alignment vertical="center"/>
    </xf>
    <xf numFmtId="0" fontId="59" fillId="26" borderId="0" applyNumberFormat="0" applyBorder="0" applyAlignment="0" applyProtection="0">
      <alignment vertical="center"/>
    </xf>
    <xf numFmtId="0" fontId="59" fillId="27" borderId="0" applyNumberFormat="0" applyBorder="0" applyAlignment="0" applyProtection="0">
      <alignment vertical="center"/>
    </xf>
    <xf numFmtId="0" fontId="60" fillId="28" borderId="0" applyNumberFormat="0" applyBorder="0" applyAlignment="0" applyProtection="0">
      <alignment vertical="center"/>
    </xf>
    <xf numFmtId="0" fontId="60" fillId="29" borderId="0" applyNumberFormat="0" applyBorder="0" applyAlignment="0" applyProtection="0">
      <alignment vertical="center"/>
    </xf>
    <xf numFmtId="0" fontId="59" fillId="30" borderId="0" applyNumberFormat="0" applyBorder="0" applyAlignment="0" applyProtection="0">
      <alignment vertical="center"/>
    </xf>
    <xf numFmtId="0" fontId="59" fillId="31" borderId="0" applyNumberFormat="0" applyBorder="0" applyAlignment="0" applyProtection="0">
      <alignment vertical="center"/>
    </xf>
    <xf numFmtId="0" fontId="60" fillId="32" borderId="0" applyNumberFormat="0" applyBorder="0" applyAlignment="0" applyProtection="0">
      <alignment vertical="center"/>
    </xf>
    <xf numFmtId="0" fontId="60" fillId="33" borderId="0" applyNumberFormat="0" applyBorder="0" applyAlignment="0" applyProtection="0">
      <alignment vertical="center"/>
    </xf>
    <xf numFmtId="0" fontId="59" fillId="34" borderId="0" applyNumberFormat="0" applyBorder="0" applyAlignment="0" applyProtection="0">
      <alignment vertical="center"/>
    </xf>
    <xf numFmtId="0" fontId="59" fillId="35" borderId="0" applyNumberFormat="0" applyBorder="0" applyAlignment="0" applyProtection="0">
      <alignment vertical="center"/>
    </xf>
    <xf numFmtId="0" fontId="60" fillId="36" borderId="0" applyNumberFormat="0" applyBorder="0" applyAlignment="0" applyProtection="0">
      <alignment vertical="center"/>
    </xf>
    <xf numFmtId="0" fontId="60" fillId="37" borderId="0" applyNumberFormat="0" applyBorder="0" applyAlignment="0" applyProtection="0">
      <alignment vertical="center"/>
    </xf>
    <xf numFmtId="0" fontId="59" fillId="38" borderId="0" applyNumberFormat="0" applyBorder="0" applyAlignment="0" applyProtection="0">
      <alignment vertical="center"/>
    </xf>
    <xf numFmtId="0" fontId="59" fillId="39" borderId="0" applyNumberFormat="0" applyBorder="0" applyAlignment="0" applyProtection="0">
      <alignment vertical="center"/>
    </xf>
    <xf numFmtId="0" fontId="60" fillId="40" borderId="0" applyNumberFormat="0" applyBorder="0" applyAlignment="0" applyProtection="0">
      <alignment vertical="center"/>
    </xf>
    <xf numFmtId="0" fontId="60" fillId="41" borderId="0" applyNumberFormat="0" applyBorder="0" applyAlignment="0" applyProtection="0">
      <alignment vertical="center"/>
    </xf>
    <xf numFmtId="0" fontId="59" fillId="42" borderId="0" applyNumberFormat="0" applyBorder="0" applyAlignment="0" applyProtection="0">
      <alignment vertical="center"/>
    </xf>
    <xf numFmtId="0" fontId="59" fillId="43" borderId="0" applyNumberFormat="0" applyBorder="0" applyAlignment="0" applyProtection="0">
      <alignment vertical="center"/>
    </xf>
    <xf numFmtId="0" fontId="60" fillId="44" borderId="0" applyNumberFormat="0" applyBorder="0" applyAlignment="0" applyProtection="0">
      <alignment vertical="center"/>
    </xf>
    <xf numFmtId="0" fontId="60" fillId="45" borderId="0" applyNumberFormat="0" applyBorder="0" applyAlignment="0" applyProtection="0">
      <alignment vertical="center"/>
    </xf>
    <xf numFmtId="0" fontId="59" fillId="46"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cellStyleXfs>
  <cellXfs count="232">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2"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horizontal="center" vertical="center" wrapText="1"/>
    </xf>
    <xf numFmtId="0" fontId="2" fillId="0" borderId="0" xfId="0" applyFont="1" applyAlignment="1">
      <alignment horizontal="center" vertical="center" wrapText="1"/>
    </xf>
    <xf numFmtId="0" fontId="4" fillId="0" borderId="1" xfId="0" applyFont="1" applyBorder="1" applyAlignment="1">
      <alignment horizontal="center" vertical="center" wrapText="1"/>
    </xf>
    <xf numFmtId="0" fontId="5" fillId="0" borderId="4" xfId="0" applyFont="1" applyBorder="1" applyAlignment="1"/>
    <xf numFmtId="0" fontId="5" fillId="0" borderId="5" xfId="0" applyFont="1" applyBorder="1" applyAlignment="1"/>
    <xf numFmtId="0" fontId="5" fillId="0" borderId="6" xfId="0" applyFont="1" applyBorder="1" applyAlignment="1"/>
    <xf numFmtId="0" fontId="3" fillId="0" borderId="3" xfId="0" applyFont="1" applyBorder="1" applyAlignment="1">
      <alignment horizontal="center" vertical="center" wrapText="1"/>
    </xf>
    <xf numFmtId="0" fontId="1" fillId="0" borderId="1" xfId="0" applyFont="1" applyBorder="1" applyAlignment="1">
      <alignment horizontal="center" vertical="center" wrapText="1"/>
    </xf>
    <xf numFmtId="0" fontId="4" fillId="0" borderId="3" xfId="0" applyFont="1" applyBorder="1" applyAlignment="1">
      <alignment horizontal="center" vertical="center" wrapText="1"/>
    </xf>
    <xf numFmtId="0" fontId="3" fillId="0" borderId="1" xfId="0" applyFont="1" applyBorder="1" applyAlignment="1">
      <alignment horizontal="center" vertical="center" wrapText="1"/>
    </xf>
    <xf numFmtId="0" fontId="5" fillId="0" borderId="3" xfId="0" applyFont="1" applyBorder="1" applyAlignment="1"/>
    <xf numFmtId="0" fontId="1" fillId="0" borderId="3" xfId="0" applyFont="1" applyBorder="1" applyAlignment="1">
      <alignment horizontal="center" vertical="center"/>
    </xf>
    <xf numFmtId="0" fontId="3" fillId="0" borderId="3" xfId="0" applyFont="1" applyBorder="1" applyAlignment="1">
      <alignment horizontal="center" vertical="center"/>
    </xf>
    <xf numFmtId="176" fontId="3" fillId="0" borderId="3" xfId="0" applyNumberFormat="1" applyFont="1" applyBorder="1" applyAlignment="1">
      <alignment horizontal="center" vertical="center"/>
    </xf>
    <xf numFmtId="0" fontId="3" fillId="0" borderId="3" xfId="0" applyFont="1" applyBorder="1" applyAlignment="1">
      <alignment horizontal="left" vertical="center" wrapText="1"/>
    </xf>
    <xf numFmtId="0" fontId="1" fillId="0" borderId="3" xfId="0" applyFont="1" applyBorder="1">
      <alignment vertical="center"/>
    </xf>
    <xf numFmtId="0" fontId="6" fillId="0" borderId="0" xfId="0" applyFont="1" applyAlignment="1">
      <alignment horizontal="center" vertical="center" wrapText="1"/>
    </xf>
    <xf numFmtId="0" fontId="6" fillId="0" borderId="3" xfId="0" applyFont="1" applyBorder="1" applyAlignment="1">
      <alignment horizontal="center" vertical="center" wrapText="1"/>
    </xf>
    <xf numFmtId="177" fontId="6" fillId="0" borderId="3" xfId="0" applyNumberFormat="1" applyFont="1" applyBorder="1" applyAlignment="1">
      <alignment horizontal="center" vertical="center"/>
    </xf>
    <xf numFmtId="0" fontId="3" fillId="0" borderId="7" xfId="0" applyFont="1" applyBorder="1" applyAlignment="1">
      <alignment vertical="center" wrapText="1"/>
    </xf>
    <xf numFmtId="0" fontId="6" fillId="0" borderId="3" xfId="0" applyFont="1" applyBorder="1" applyAlignment="1">
      <alignment horizontal="center" vertical="center"/>
    </xf>
    <xf numFmtId="0" fontId="0" fillId="0" borderId="3" xfId="0" applyBorder="1" applyAlignment="1"/>
    <xf numFmtId="0" fontId="1" fillId="0" borderId="3" xfId="0" applyFont="1" applyBorder="1" applyAlignment="1">
      <alignment vertical="center" wrapText="1"/>
    </xf>
    <xf numFmtId="0" fontId="1" fillId="0" borderId="0" xfId="0" applyFont="1" applyAlignment="1">
      <alignment horizontal="center" vertical="center" wrapText="1"/>
    </xf>
    <xf numFmtId="0" fontId="1" fillId="0" borderId="7" xfId="0" applyFont="1" applyBorder="1" applyAlignment="1">
      <alignment horizontal="center" vertical="center" wrapText="1"/>
    </xf>
    <xf numFmtId="0" fontId="0" fillId="0" borderId="7" xfId="0" applyBorder="1" applyAlignment="1"/>
    <xf numFmtId="0" fontId="3" fillId="0" borderId="3" xfId="0" applyFont="1" applyBorder="1" applyAlignment="1">
      <alignment vertical="center" wrapText="1"/>
    </xf>
    <xf numFmtId="0" fontId="6" fillId="0" borderId="0" xfId="0" applyFont="1" applyAlignment="1">
      <alignment horizontal="left" vertical="center" wrapText="1"/>
    </xf>
    <xf numFmtId="0" fontId="2" fillId="0" borderId="3" xfId="0" applyFont="1" applyBorder="1" applyAlignment="1">
      <alignment vertical="center" wrapText="1"/>
    </xf>
    <xf numFmtId="0" fontId="4" fillId="2" borderId="7" xfId="0" applyFont="1" applyFill="1" applyBorder="1" applyAlignment="1">
      <alignment horizontal="center" vertical="center" wrapText="1"/>
    </xf>
    <xf numFmtId="0" fontId="5" fillId="0" borderId="7" xfId="0" applyFont="1" applyBorder="1" applyAlignment="1"/>
    <xf numFmtId="0" fontId="4" fillId="2"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177" fontId="6" fillId="0" borderId="1" xfId="0" applyNumberFormat="1" applyFont="1" applyBorder="1" applyAlignment="1">
      <alignment horizontal="center" vertical="center"/>
    </xf>
    <xf numFmtId="0" fontId="0" fillId="0" borderId="6" xfId="0" applyBorder="1" applyAlignment="1"/>
    <xf numFmtId="0" fontId="3" fillId="0" borderId="7" xfId="0" applyFont="1" applyBorder="1" applyAlignment="1">
      <alignment horizontal="center" vertical="center" wrapText="1"/>
    </xf>
    <xf numFmtId="176" fontId="3" fillId="0" borderId="7" xfId="0" applyNumberFormat="1" applyFont="1" applyBorder="1" applyAlignment="1">
      <alignment horizontal="center" vertical="center"/>
    </xf>
    <xf numFmtId="0" fontId="1" fillId="0" borderId="7" xfId="0" applyFont="1" applyBorder="1">
      <alignment vertical="center"/>
    </xf>
    <xf numFmtId="0" fontId="6" fillId="0" borderId="9" xfId="0" applyFont="1" applyBorder="1" applyAlignment="1">
      <alignment horizontal="center" vertical="center" wrapText="1"/>
    </xf>
    <xf numFmtId="177" fontId="6" fillId="0" borderId="9" xfId="0" applyNumberFormat="1" applyFont="1" applyBorder="1" applyAlignment="1">
      <alignment horizontal="center" vertical="center"/>
    </xf>
    <xf numFmtId="0" fontId="3" fillId="0" borderId="10" xfId="0" applyFont="1" applyBorder="1" applyAlignment="1">
      <alignment vertical="center" wrapText="1"/>
    </xf>
    <xf numFmtId="0" fontId="0" fillId="0" borderId="11" xfId="0" applyBorder="1" applyAlignment="1"/>
    <xf numFmtId="0" fontId="3" fillId="0" borderId="12" xfId="0" applyFont="1" applyBorder="1" applyAlignment="1">
      <alignment horizontal="center" vertical="center" wrapText="1"/>
    </xf>
    <xf numFmtId="176" fontId="3" fillId="0" borderId="12" xfId="0" applyNumberFormat="1" applyFont="1" applyBorder="1" applyAlignment="1">
      <alignment horizontal="center" vertical="center"/>
    </xf>
    <xf numFmtId="0" fontId="3" fillId="0" borderId="12" xfId="0" applyFont="1" applyBorder="1" applyAlignment="1">
      <alignment vertical="center" wrapText="1"/>
    </xf>
    <xf numFmtId="0" fontId="1" fillId="0" borderId="12" xfId="0" applyFont="1" applyBorder="1">
      <alignment vertical="center"/>
    </xf>
    <xf numFmtId="0" fontId="1" fillId="0" borderId="3" xfId="0" applyFont="1" applyBorder="1" applyAlignment="1">
      <alignment horizontal="center" vertical="center" wrapText="1"/>
    </xf>
    <xf numFmtId="0" fontId="3" fillId="0" borderId="13" xfId="0" applyFont="1" applyBorder="1" applyAlignment="1">
      <alignment horizontal="center" vertical="center" wrapText="1"/>
    </xf>
    <xf numFmtId="0" fontId="6" fillId="0" borderId="14" xfId="0" applyFont="1" applyBorder="1" applyAlignment="1">
      <alignment horizontal="center" vertical="center" wrapText="1"/>
    </xf>
    <xf numFmtId="177" fontId="6" fillId="0" borderId="14" xfId="0" applyNumberFormat="1" applyFont="1" applyBorder="1" applyAlignment="1">
      <alignment horizontal="center" vertical="center"/>
    </xf>
    <xf numFmtId="0" fontId="3" fillId="0" borderId="15" xfId="0" applyFont="1" applyBorder="1" applyAlignment="1">
      <alignment vertical="center" wrapText="1"/>
    </xf>
    <xf numFmtId="0" fontId="0" fillId="0" borderId="16" xfId="0" applyBorder="1" applyAlignment="1"/>
    <xf numFmtId="0" fontId="3" fillId="0" borderId="1" xfId="0" applyFont="1" applyBorder="1" applyAlignment="1">
      <alignment horizontal="left" vertical="center" wrapText="1"/>
    </xf>
    <xf numFmtId="176" fontId="1" fillId="0" borderId="0" xfId="0" applyNumberFormat="1" applyFo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177" fontId="3" fillId="0" borderId="0" xfId="0" applyNumberFormat="1" applyFont="1" applyAlignment="1">
      <alignment horizontal="center" vertical="center"/>
    </xf>
    <xf numFmtId="0" fontId="7" fillId="0" borderId="3" xfId="0" applyFont="1" applyBorder="1" applyAlignment="1">
      <alignment horizontal="center" vertical="center" wrapText="1"/>
    </xf>
    <xf numFmtId="0" fontId="7" fillId="3" borderId="3"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0" borderId="3" xfId="0" applyFont="1" applyBorder="1" applyAlignment="1">
      <alignment horizontal="center" vertical="center" wrapText="1"/>
    </xf>
    <xf numFmtId="9" fontId="1" fillId="0" borderId="0" xfId="0" applyNumberFormat="1" applyFont="1">
      <alignment vertical="center"/>
    </xf>
    <xf numFmtId="0" fontId="4"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3" fillId="0" borderId="0" xfId="0" applyFont="1">
      <alignment vertical="center"/>
    </xf>
    <xf numFmtId="0" fontId="4" fillId="2" borderId="19"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8" fillId="5" borderId="3" xfId="0" applyFont="1" applyFill="1" applyBorder="1" applyAlignment="1">
      <alignment horizontal="center" vertical="center" wrapText="1"/>
    </xf>
    <xf numFmtId="9" fontId="9" fillId="0" borderId="1" xfId="0" applyNumberFormat="1" applyFont="1" applyBorder="1" applyAlignment="1">
      <alignment horizontal="center" vertical="center"/>
    </xf>
    <xf numFmtId="0" fontId="1" fillId="0" borderId="17" xfId="0" applyFont="1" applyBorder="1" applyAlignment="1">
      <alignment horizontal="left" vertical="center" wrapText="1"/>
    </xf>
    <xf numFmtId="0" fontId="1" fillId="0" borderId="20" xfId="0" applyFont="1" applyBorder="1" applyAlignment="1">
      <alignment horizontal="left" vertical="center" wrapText="1"/>
    </xf>
    <xf numFmtId="0" fontId="1" fillId="0" borderId="18" xfId="0" applyFont="1" applyBorder="1" applyAlignment="1">
      <alignment horizontal="left" vertical="center" wrapText="1"/>
    </xf>
    <xf numFmtId="0" fontId="5" fillId="0" borderId="3" xfId="0" applyFont="1" applyBorder="1" applyAlignment="1">
      <alignment horizontal="left" vertical="center" wrapText="1"/>
    </xf>
    <xf numFmtId="0" fontId="10" fillId="0" borderId="0" xfId="0" applyFont="1" applyAlignment="1">
      <alignment horizontal="left" vertical="center" wrapText="1"/>
    </xf>
    <xf numFmtId="0" fontId="10" fillId="0" borderId="3" xfId="0" applyFont="1" applyBorder="1" applyAlignment="1">
      <alignment horizontal="left" vertical="center" wrapText="1"/>
    </xf>
    <xf numFmtId="0" fontId="11" fillId="0" borderId="3" xfId="0" applyFont="1" applyBorder="1" applyAlignment="1">
      <alignment horizontal="left" vertical="center" wrapText="1"/>
    </xf>
    <xf numFmtId="0" fontId="12" fillId="0" borderId="3" xfId="0" applyFont="1" applyBorder="1">
      <alignment vertical="center"/>
    </xf>
    <xf numFmtId="0" fontId="3" fillId="0" borderId="3" xfId="0" applyFont="1" applyBorder="1" applyAlignment="1">
      <alignment horizontal="center" vertical="top" wrapText="1"/>
    </xf>
    <xf numFmtId="0" fontId="13" fillId="0" borderId="0" xfId="0" applyFont="1" applyAlignment="1">
      <alignment vertical="center" wrapText="1"/>
    </xf>
    <xf numFmtId="0" fontId="1" fillId="0" borderId="0" xfId="0" applyFont="1" applyAlignment="1">
      <alignment vertical="top" wrapText="1"/>
    </xf>
    <xf numFmtId="0" fontId="14" fillId="0" borderId="0" xfId="0" applyFont="1">
      <alignment vertical="center"/>
    </xf>
    <xf numFmtId="0" fontId="15" fillId="0" borderId="0" xfId="0" applyFont="1">
      <alignment vertical="center"/>
    </xf>
    <xf numFmtId="0" fontId="6" fillId="0" borderId="0" xfId="0" applyFont="1" applyAlignment="1"/>
    <xf numFmtId="0" fontId="1" fillId="0" borderId="0" xfId="0" applyFont="1" applyAlignment="1">
      <alignment horizontal="center" vertical="center"/>
    </xf>
    <xf numFmtId="0" fontId="16" fillId="0" borderId="0" xfId="0" applyFont="1" applyAlignment="1">
      <alignment horizontal="center" vertical="center"/>
    </xf>
    <xf numFmtId="0" fontId="6" fillId="0" borderId="0" xfId="0" applyFont="1" applyAlignment="1">
      <alignment horizontal="left"/>
    </xf>
    <xf numFmtId="0" fontId="0" fillId="0" borderId="0" xfId="0" applyAlignment="1"/>
    <xf numFmtId="0" fontId="6" fillId="4" borderId="0" xfId="0" applyFont="1" applyFill="1">
      <alignment vertical="center"/>
    </xf>
    <xf numFmtId="0" fontId="17" fillId="6" borderId="3" xfId="0" applyFont="1" applyFill="1" applyBorder="1" applyAlignment="1">
      <alignment horizontal="center" vertical="center" wrapText="1"/>
    </xf>
    <xf numFmtId="0" fontId="18" fillId="0" borderId="1" xfId="0" applyFont="1" applyBorder="1" applyAlignment="1">
      <alignment horizontal="center" vertical="center" wrapText="1"/>
    </xf>
    <xf numFmtId="0" fontId="10" fillId="0" borderId="0" xfId="0" applyFont="1">
      <alignment vertical="center"/>
    </xf>
    <xf numFmtId="0" fontId="19" fillId="0" borderId="0" xfId="0" applyFont="1">
      <alignment vertical="center"/>
    </xf>
    <xf numFmtId="0" fontId="16" fillId="0" borderId="0" xfId="0" applyFont="1">
      <alignment vertical="center"/>
    </xf>
    <xf numFmtId="0" fontId="20" fillId="0" borderId="0" xfId="0" applyFont="1" applyAlignment="1">
      <alignment horizontal="left" vertical="center"/>
    </xf>
    <xf numFmtId="0" fontId="21" fillId="0" borderId="0" xfId="0" applyFont="1">
      <alignment vertical="center"/>
    </xf>
    <xf numFmtId="0" fontId="18" fillId="0" borderId="12" xfId="0" applyFont="1" applyBorder="1" applyAlignment="1">
      <alignment horizontal="center" vertical="center" wrapText="1"/>
    </xf>
    <xf numFmtId="0" fontId="18" fillId="0" borderId="3" xfId="0" applyFont="1" applyBorder="1" applyAlignment="1">
      <alignment horizontal="center" vertical="center" wrapText="1"/>
    </xf>
    <xf numFmtId="0" fontId="22" fillId="0" borderId="0" xfId="0" applyFont="1" applyAlignment="1">
      <alignment horizontal="left" vertical="center"/>
    </xf>
    <xf numFmtId="0" fontId="23" fillId="0" borderId="0" xfId="0" applyFont="1">
      <alignment vertical="center"/>
    </xf>
    <xf numFmtId="0" fontId="24" fillId="0" borderId="3" xfId="0" applyFont="1" applyBorder="1" applyAlignment="1">
      <alignment horizontal="center" vertical="center" wrapText="1"/>
    </xf>
    <xf numFmtId="0" fontId="6" fillId="0" borderId="0" xfId="0" applyFont="1">
      <alignment vertical="center"/>
    </xf>
    <xf numFmtId="0" fontId="25" fillId="0" borderId="3" xfId="0" applyFont="1" applyBorder="1" applyAlignment="1">
      <alignment horizontal="center" vertical="center" wrapText="1"/>
    </xf>
    <xf numFmtId="0" fontId="19" fillId="0" borderId="3" xfId="0" applyFont="1" applyBorder="1">
      <alignment vertical="center"/>
    </xf>
    <xf numFmtId="0" fontId="26" fillId="0" borderId="3" xfId="0" applyFont="1" applyBorder="1" applyAlignment="1">
      <alignment horizontal="center" vertical="center" wrapText="1"/>
    </xf>
    <xf numFmtId="0" fontId="26" fillId="0" borderId="3" xfId="0" applyFont="1" applyBorder="1" applyAlignment="1">
      <alignment horizontal="left" vertical="center" wrapText="1"/>
    </xf>
    <xf numFmtId="0" fontId="27" fillId="0" borderId="0" xfId="0" applyFont="1" applyAlignment="1">
      <alignment horizontal="left" vertical="center"/>
    </xf>
    <xf numFmtId="0" fontId="19" fillId="0" borderId="0" xfId="0" applyFont="1" applyAlignment="1">
      <alignment horizontal="left" vertical="center"/>
    </xf>
    <xf numFmtId="0" fontId="0" fillId="7" borderId="0" xfId="0" applyFill="1" applyAlignment="1" applyProtection="1">
      <alignment horizontal="left" vertical="center" wrapText="1"/>
      <protection locked="0"/>
    </xf>
    <xf numFmtId="0" fontId="28" fillId="0" borderId="0" xfId="0" applyFont="1" applyProtection="1">
      <alignment vertical="center"/>
      <protection locked="0"/>
    </xf>
    <xf numFmtId="0" fontId="29" fillId="0" borderId="0" xfId="0" applyFont="1" applyProtection="1">
      <alignment vertical="center"/>
      <protection locked="0"/>
    </xf>
    <xf numFmtId="0" fontId="28" fillId="0" borderId="0" xfId="0" applyFont="1" applyAlignment="1" applyProtection="1">
      <alignment horizontal="left" vertical="center"/>
      <protection locked="0"/>
    </xf>
    <xf numFmtId="0" fontId="28" fillId="0" borderId="0" xfId="0" applyFont="1" applyAlignment="1" applyProtection="1">
      <alignment horizontal="center" vertical="center"/>
      <protection locked="0"/>
    </xf>
    <xf numFmtId="0" fontId="28" fillId="0" borderId="0" xfId="0" applyFont="1" applyAlignment="1" applyProtection="1">
      <alignment vertical="center" wrapText="1"/>
      <protection locked="0"/>
    </xf>
    <xf numFmtId="0" fontId="28" fillId="0" borderId="0" xfId="0" applyFont="1" applyAlignment="1" applyProtection="1">
      <alignment horizontal="center" vertical="center" wrapText="1"/>
      <protection locked="0"/>
    </xf>
    <xf numFmtId="178" fontId="28" fillId="0" borderId="0" xfId="0" applyNumberFormat="1" applyFont="1" applyAlignment="1" applyProtection="1">
      <alignment horizontal="center" vertical="center"/>
      <protection locked="0"/>
    </xf>
    <xf numFmtId="0" fontId="28" fillId="0" borderId="0" xfId="0" applyFont="1" applyAlignment="1" applyProtection="1">
      <alignment horizontal="left" vertical="center" wrapText="1"/>
      <protection locked="0"/>
    </xf>
    <xf numFmtId="0" fontId="28" fillId="0" borderId="0" xfId="0" applyFont="1" applyAlignment="1" applyProtection="1">
      <alignment horizontal="center" vertical="top"/>
      <protection locked="0"/>
    </xf>
    <xf numFmtId="0" fontId="0" fillId="0" borderId="0" xfId="0" applyProtection="1">
      <alignment vertical="center"/>
      <protection locked="0"/>
    </xf>
    <xf numFmtId="0" fontId="30" fillId="8" borderId="21" xfId="0" applyFont="1" applyFill="1" applyBorder="1" applyAlignment="1" applyProtection="1">
      <alignment horizontal="center" vertical="center" wrapText="1"/>
      <protection locked="0"/>
    </xf>
    <xf numFmtId="0" fontId="30" fillId="8" borderId="0" xfId="0" applyFont="1" applyFill="1" applyAlignment="1" applyProtection="1">
      <alignment horizontal="center" vertical="center" wrapText="1"/>
      <protection locked="0"/>
    </xf>
    <xf numFmtId="0" fontId="0" fillId="9" borderId="22" xfId="0" applyFill="1" applyBorder="1" applyAlignment="1" applyProtection="1">
      <alignment horizontal="left" vertical="center" wrapText="1"/>
      <protection locked="0"/>
    </xf>
    <xf numFmtId="0" fontId="0" fillId="9" borderId="23" xfId="0" applyFill="1" applyBorder="1" applyAlignment="1" applyProtection="1">
      <alignment horizontal="center" vertical="center" wrapText="1"/>
      <protection locked="0"/>
    </xf>
    <xf numFmtId="0" fontId="0" fillId="9" borderId="24" xfId="0" applyFill="1" applyBorder="1" applyAlignment="1" applyProtection="1">
      <alignment horizontal="center" vertical="center" wrapText="1"/>
      <protection locked="0"/>
    </xf>
    <xf numFmtId="0" fontId="0" fillId="9" borderId="25" xfId="0" applyFill="1" applyBorder="1" applyAlignment="1" applyProtection="1">
      <alignment horizontal="left" vertical="center" wrapText="1"/>
      <protection locked="0"/>
    </xf>
    <xf numFmtId="0" fontId="0" fillId="9" borderId="0" xfId="0" applyFill="1" applyAlignment="1" applyProtection="1">
      <alignment horizontal="center" vertical="center" wrapText="1"/>
      <protection locked="0"/>
    </xf>
    <xf numFmtId="0" fontId="0" fillId="9" borderId="26" xfId="0" applyFill="1" applyBorder="1" applyAlignment="1" applyProtection="1">
      <alignment horizontal="center" vertical="center" wrapText="1"/>
      <protection locked="0"/>
    </xf>
    <xf numFmtId="0" fontId="30" fillId="8" borderId="27" xfId="0" applyFont="1" applyFill="1" applyBorder="1" applyAlignment="1" applyProtection="1">
      <alignment horizontal="center" vertical="center" wrapText="1"/>
      <protection locked="0"/>
    </xf>
    <xf numFmtId="0" fontId="30" fillId="8" borderId="28" xfId="0" applyFont="1" applyFill="1" applyBorder="1" applyAlignment="1" applyProtection="1">
      <alignment horizontal="center" vertical="center" wrapText="1"/>
      <protection locked="0"/>
    </xf>
    <xf numFmtId="0" fontId="0" fillId="9" borderId="29" xfId="0" applyFill="1" applyBorder="1" applyAlignment="1" applyProtection="1">
      <alignment horizontal="left" vertical="center" wrapText="1"/>
      <protection locked="0"/>
    </xf>
    <xf numFmtId="0" fontId="0" fillId="9" borderId="30" xfId="0" applyFill="1" applyBorder="1" applyAlignment="1" applyProtection="1">
      <alignment horizontal="center" vertical="center" wrapText="1"/>
      <protection locked="0"/>
    </xf>
    <xf numFmtId="0" fontId="0" fillId="9" borderId="31" xfId="0" applyFill="1" applyBorder="1" applyAlignment="1" applyProtection="1">
      <alignment horizontal="center" vertical="center" wrapText="1"/>
      <protection locked="0"/>
    </xf>
    <xf numFmtId="0" fontId="28" fillId="0" borderId="32" xfId="0" applyFont="1" applyBorder="1" applyProtection="1">
      <alignment vertical="center"/>
      <protection locked="0"/>
    </xf>
    <xf numFmtId="0" fontId="28" fillId="0" borderId="33" xfId="0" applyFont="1" applyBorder="1" applyProtection="1">
      <alignment vertical="center"/>
      <protection locked="0"/>
    </xf>
    <xf numFmtId="0" fontId="28" fillId="0" borderId="33" xfId="0" applyFont="1" applyBorder="1" applyAlignment="1" applyProtection="1">
      <alignment horizontal="center" vertical="center"/>
      <protection locked="0"/>
    </xf>
    <xf numFmtId="0" fontId="28" fillId="0" borderId="33" xfId="0" applyFont="1" applyBorder="1" applyAlignment="1" applyProtection="1">
      <alignment horizontal="left" vertical="center" wrapText="1"/>
      <protection locked="0"/>
    </xf>
    <xf numFmtId="0" fontId="28" fillId="0" borderId="34" xfId="0" applyFont="1" applyBorder="1" applyAlignment="1" applyProtection="1">
      <alignment horizontal="center" vertical="top"/>
      <protection locked="0"/>
    </xf>
    <xf numFmtId="0" fontId="28" fillId="0" borderId="21" xfId="0" applyFont="1" applyBorder="1" applyProtection="1">
      <alignment vertical="center"/>
      <protection locked="0"/>
    </xf>
    <xf numFmtId="0" fontId="28" fillId="0" borderId="35" xfId="0" applyFont="1" applyBorder="1" applyAlignment="1" applyProtection="1">
      <alignment horizontal="center" vertical="top"/>
      <protection locked="0"/>
    </xf>
    <xf numFmtId="0" fontId="31" fillId="10" borderId="36" xfId="0" applyFont="1" applyFill="1" applyBorder="1" applyAlignment="1" applyProtection="1">
      <alignment horizontal="center" vertical="center" wrapText="1"/>
      <protection locked="0"/>
    </xf>
    <xf numFmtId="0" fontId="31" fillId="10" borderId="37" xfId="0" applyFont="1" applyFill="1" applyBorder="1" applyAlignment="1" applyProtection="1">
      <alignment horizontal="center" vertical="center" wrapText="1"/>
      <protection locked="0"/>
    </xf>
    <xf numFmtId="0" fontId="31" fillId="10" borderId="38" xfId="0" applyFont="1" applyFill="1" applyBorder="1" applyAlignment="1" applyProtection="1">
      <alignment horizontal="center" vertical="center" wrapText="1"/>
      <protection locked="0"/>
    </xf>
    <xf numFmtId="0" fontId="0" fillId="0" borderId="39" xfId="0" applyBorder="1" applyAlignment="1" applyProtection="1">
      <protection locked="0"/>
    </xf>
    <xf numFmtId="0" fontId="0" fillId="0" borderId="40" xfId="0" applyBorder="1" applyAlignment="1" applyProtection="1">
      <protection locked="0"/>
    </xf>
    <xf numFmtId="0" fontId="31" fillId="10" borderId="41" xfId="0" applyFont="1" applyFill="1" applyBorder="1" applyAlignment="1" applyProtection="1">
      <alignment horizontal="center" vertical="center" wrapText="1"/>
      <protection locked="0"/>
    </xf>
    <xf numFmtId="0" fontId="31" fillId="10" borderId="40" xfId="0" applyFont="1" applyFill="1" applyBorder="1" applyAlignment="1" applyProtection="1">
      <alignment horizontal="center" vertical="center" wrapText="1"/>
      <protection locked="0"/>
    </xf>
    <xf numFmtId="0" fontId="0" fillId="0" borderId="42" xfId="0" applyBorder="1" applyAlignment="1" applyProtection="1">
      <protection locked="0"/>
    </xf>
    <xf numFmtId="0" fontId="0" fillId="0" borderId="43" xfId="0" applyBorder="1" applyAlignment="1" applyProtection="1">
      <protection locked="0"/>
    </xf>
    <xf numFmtId="0" fontId="31" fillId="10" borderId="39" xfId="0" applyFont="1" applyFill="1" applyBorder="1" applyAlignment="1" applyProtection="1">
      <alignment horizontal="center" vertical="center" wrapText="1"/>
      <protection locked="0"/>
    </xf>
    <xf numFmtId="0" fontId="31" fillId="10" borderId="44" xfId="0" applyFont="1" applyFill="1" applyBorder="1" applyAlignment="1" applyProtection="1">
      <alignment horizontal="left" vertical="center" wrapText="1"/>
      <protection locked="0"/>
    </xf>
    <xf numFmtId="0" fontId="31" fillId="10" borderId="45" xfId="0" applyFont="1" applyFill="1" applyBorder="1" applyAlignment="1" applyProtection="1">
      <alignment horizontal="center" vertical="center" wrapText="1"/>
      <protection locked="0"/>
    </xf>
    <xf numFmtId="0" fontId="0" fillId="0" borderId="46" xfId="0" applyBorder="1" applyAlignment="1" applyProtection="1">
      <protection locked="0"/>
    </xf>
    <xf numFmtId="0" fontId="0" fillId="0" borderId="44" xfId="0" applyBorder="1" applyAlignment="1" applyProtection="1">
      <protection locked="0"/>
    </xf>
    <xf numFmtId="0" fontId="0" fillId="0" borderId="47" xfId="0" applyBorder="1" applyAlignment="1" applyProtection="1">
      <protection locked="0"/>
    </xf>
    <xf numFmtId="0" fontId="0" fillId="0" borderId="48" xfId="0" applyBorder="1" applyAlignment="1" applyProtection="1">
      <protection locked="0"/>
    </xf>
    <xf numFmtId="0" fontId="0" fillId="0" borderId="49" xfId="0" applyBorder="1" applyAlignment="1" applyProtection="1">
      <protection locked="0"/>
    </xf>
    <xf numFmtId="0" fontId="0" fillId="0" borderId="50" xfId="0" applyBorder="1" applyAlignment="1" applyProtection="1">
      <protection locked="0"/>
    </xf>
    <xf numFmtId="0" fontId="31" fillId="10" borderId="51" xfId="0" applyFont="1" applyFill="1" applyBorder="1" applyAlignment="1" applyProtection="1">
      <alignment horizontal="center" vertical="center" wrapText="1"/>
      <protection locked="0"/>
    </xf>
    <xf numFmtId="0" fontId="31" fillId="10" borderId="52" xfId="0" applyFont="1" applyFill="1" applyBorder="1" applyAlignment="1" applyProtection="1">
      <alignment horizontal="center" vertical="center" wrapText="1"/>
      <protection locked="0"/>
    </xf>
    <xf numFmtId="0" fontId="0" fillId="0" borderId="53" xfId="0" applyBorder="1" applyAlignment="1" applyProtection="1">
      <protection locked="0"/>
    </xf>
    <xf numFmtId="0" fontId="0" fillId="0" borderId="51" xfId="0" applyBorder="1" applyAlignment="1" applyProtection="1">
      <protection locked="0"/>
    </xf>
    <xf numFmtId="178" fontId="31" fillId="10" borderId="38" xfId="0" applyNumberFormat="1" applyFont="1" applyFill="1" applyBorder="1" applyAlignment="1" applyProtection="1">
      <alignment horizontal="center" vertical="center" wrapText="1"/>
      <protection locked="0"/>
    </xf>
    <xf numFmtId="0" fontId="0" fillId="0" borderId="48" xfId="0" applyBorder="1" applyAlignment="1" applyProtection="1">
      <alignment horizontal="center" wrapText="1"/>
      <protection locked="0"/>
    </xf>
    <xf numFmtId="0" fontId="0" fillId="0" borderId="54" xfId="0" applyBorder="1" applyAlignment="1" applyProtection="1">
      <protection locked="0"/>
    </xf>
    <xf numFmtId="0" fontId="28" fillId="0" borderId="3" xfId="0" applyFont="1" applyBorder="1" applyAlignment="1" applyProtection="1">
      <alignment horizontal="center" vertical="center"/>
      <protection locked="0"/>
    </xf>
    <xf numFmtId="0" fontId="28" fillId="0" borderId="3" xfId="0" applyFont="1" applyBorder="1" applyAlignment="1" applyProtection="1">
      <alignment horizontal="left" vertical="center"/>
      <protection locked="0"/>
    </xf>
    <xf numFmtId="0" fontId="28" fillId="0" borderId="3" xfId="0" applyFont="1" applyBorder="1" applyProtection="1">
      <alignment vertical="center"/>
      <protection locked="0"/>
    </xf>
    <xf numFmtId="0" fontId="28" fillId="0" borderId="3" xfId="0" applyFont="1" applyBorder="1" applyAlignment="1" applyProtection="1">
      <alignment vertical="center" wrapText="1"/>
      <protection locked="0"/>
    </xf>
    <xf numFmtId="178" fontId="28" fillId="0" borderId="3" xfId="0" applyNumberFormat="1" applyFont="1" applyBorder="1" applyAlignment="1" applyProtection="1">
      <alignment horizontal="center" vertical="center"/>
      <protection locked="0"/>
    </xf>
    <xf numFmtId="0" fontId="28" fillId="0" borderId="3" xfId="0" applyFont="1" applyBorder="1" applyAlignment="1" applyProtection="1">
      <alignment horizontal="center" vertical="center" wrapText="1"/>
      <protection locked="0"/>
    </xf>
    <xf numFmtId="0" fontId="28" fillId="0" borderId="3" xfId="0" applyFont="1" applyBorder="1" applyAlignment="1" applyProtection="1">
      <alignment horizontal="left" vertical="center" wrapText="1"/>
      <protection locked="0"/>
    </xf>
    <xf numFmtId="0" fontId="0" fillId="0" borderId="3" xfId="0" applyBorder="1" applyAlignment="1" applyProtection="1">
      <alignment vertical="center" wrapText="1"/>
      <protection locked="0"/>
    </xf>
    <xf numFmtId="0" fontId="0" fillId="0" borderId="55" xfId="0" applyBorder="1" applyAlignment="1" applyProtection="1">
      <protection locked="0"/>
    </xf>
    <xf numFmtId="0" fontId="28" fillId="0" borderId="3" xfId="0" applyFont="1" applyBorder="1" applyAlignment="1" applyProtection="1">
      <alignment horizontal="center" vertical="top"/>
      <protection locked="0"/>
    </xf>
    <xf numFmtId="0" fontId="0" fillId="0" borderId="13" xfId="0" applyBorder="1" applyAlignment="1" applyProtection="1">
      <protection locked="0"/>
    </xf>
    <xf numFmtId="0" fontId="29" fillId="0" borderId="3" xfId="0" applyFont="1" applyBorder="1" applyAlignment="1" applyProtection="1">
      <alignment horizontal="center" vertical="center"/>
      <protection locked="0"/>
    </xf>
    <xf numFmtId="0" fontId="15" fillId="0" borderId="55" xfId="0" applyFont="1" applyBorder="1" applyAlignment="1" applyProtection="1">
      <protection locked="0"/>
    </xf>
    <xf numFmtId="0" fontId="29" fillId="0" borderId="3" xfId="0" applyFont="1" applyBorder="1" applyProtection="1">
      <alignment vertical="center"/>
      <protection locked="0"/>
    </xf>
    <xf numFmtId="0" fontId="29" fillId="0" borderId="3" xfId="0" applyFont="1" applyBorder="1" applyAlignment="1" applyProtection="1">
      <alignment vertical="center" wrapText="1"/>
      <protection locked="0"/>
    </xf>
    <xf numFmtId="178" fontId="29" fillId="0" borderId="3" xfId="0" applyNumberFormat="1" applyFont="1" applyBorder="1" applyAlignment="1" applyProtection="1">
      <alignment horizontal="center" vertical="center"/>
      <protection locked="0"/>
    </xf>
    <xf numFmtId="0" fontId="29" fillId="0" borderId="3" xfId="0" applyFont="1" applyBorder="1" applyAlignment="1" applyProtection="1">
      <alignment horizontal="center" vertical="center" wrapText="1"/>
      <protection locked="0"/>
    </xf>
    <xf numFmtId="0" fontId="29" fillId="0" borderId="3" xfId="0" applyFont="1" applyBorder="1" applyAlignment="1" applyProtection="1">
      <alignment horizontal="left" vertical="center" wrapText="1"/>
      <protection locked="0"/>
    </xf>
    <xf numFmtId="0" fontId="29" fillId="0" borderId="3" xfId="0" applyFont="1" applyBorder="1" applyAlignment="1" applyProtection="1">
      <alignment horizontal="center" vertical="top"/>
      <protection locked="0"/>
    </xf>
    <xf numFmtId="0" fontId="15" fillId="0" borderId="3" xfId="0" applyFont="1" applyBorder="1" applyAlignment="1" applyProtection="1">
      <alignment vertical="center" wrapText="1"/>
      <protection locked="0"/>
    </xf>
    <xf numFmtId="178" fontId="28" fillId="0" borderId="3" xfId="0" applyNumberFormat="1" applyFont="1" applyBorder="1" applyAlignment="1" applyProtection="1">
      <alignment horizontal="left" vertical="center"/>
      <protection locked="0"/>
    </xf>
    <xf numFmtId="178" fontId="28" fillId="0" borderId="3" xfId="0" applyNumberFormat="1" applyFont="1" applyBorder="1" applyAlignment="1" applyProtection="1">
      <alignment vertical="center" wrapText="1"/>
      <protection locked="0"/>
    </xf>
    <xf numFmtId="0" fontId="28" fillId="0" borderId="10" xfId="0" applyFont="1" applyBorder="1" applyAlignment="1" applyProtection="1">
      <alignment horizontal="left" vertical="center"/>
      <protection locked="0"/>
    </xf>
    <xf numFmtId="0" fontId="28" fillId="0" borderId="10" xfId="0" applyFont="1" applyBorder="1" applyAlignment="1" applyProtection="1">
      <alignment horizontal="center" vertical="center"/>
      <protection locked="0"/>
    </xf>
    <xf numFmtId="0" fontId="32" fillId="0" borderId="1" xfId="0" applyFont="1" applyBorder="1" applyAlignment="1" applyProtection="1">
      <alignment horizontal="center" vertical="center" wrapText="1"/>
      <protection locked="0"/>
    </xf>
    <xf numFmtId="0" fontId="28" fillId="0" borderId="55" xfId="0" applyFont="1" applyBorder="1" applyAlignment="1" applyProtection="1">
      <alignment horizontal="left" vertical="center"/>
      <protection locked="0"/>
    </xf>
    <xf numFmtId="0" fontId="28" fillId="0" borderId="55" xfId="0" applyFont="1" applyBorder="1" applyAlignment="1" applyProtection="1">
      <alignment horizontal="center" vertical="center"/>
      <protection locked="0"/>
    </xf>
    <xf numFmtId="0" fontId="28" fillId="0" borderId="13" xfId="0" applyFont="1" applyBorder="1" applyAlignment="1" applyProtection="1">
      <alignment horizontal="left" vertical="center"/>
      <protection locked="0"/>
    </xf>
    <xf numFmtId="0" fontId="28" fillId="0" borderId="13" xfId="0" applyFont="1" applyBorder="1" applyAlignment="1" applyProtection="1">
      <alignment horizontal="center" vertical="center"/>
      <protection locked="0"/>
    </xf>
    <xf numFmtId="0" fontId="0" fillId="0" borderId="3" xfId="0" applyBorder="1" applyAlignment="1">
      <alignment vertical="center" wrapText="1"/>
    </xf>
    <xf numFmtId="0" fontId="29" fillId="0" borderId="3" xfId="0" applyFont="1" applyBorder="1" applyAlignment="1" applyProtection="1">
      <alignment horizontal="left" vertical="center"/>
      <protection locked="0"/>
    </xf>
    <xf numFmtId="178" fontId="29" fillId="0" borderId="3" xfId="0" applyNumberFormat="1" applyFont="1" applyBorder="1" applyAlignment="1" applyProtection="1">
      <alignment horizontal="center" vertical="center" wrapText="1"/>
      <protection locked="0"/>
    </xf>
    <xf numFmtId="0" fontId="29" fillId="0" borderId="3" xfId="0" applyFont="1" applyBorder="1" applyAlignment="1" applyProtection="1">
      <alignment horizontal="center" vertical="top" wrapText="1"/>
      <protection locked="0"/>
    </xf>
    <xf numFmtId="0" fontId="15" fillId="0" borderId="13" xfId="0" applyFont="1" applyBorder="1" applyAlignment="1" applyProtection="1">
      <protection locked="0"/>
    </xf>
    <xf numFmtId="0" fontId="6" fillId="11" borderId="0" xfId="50" applyFont="1" applyFill="1" applyAlignment="1">
      <alignment horizontal="left" vertical="center" wrapText="1"/>
    </xf>
    <xf numFmtId="0" fontId="6" fillId="11" borderId="0" xfId="50" applyFont="1" applyFill="1" applyAlignment="1">
      <alignment horizontal="center" vertical="center" wrapText="1"/>
    </xf>
    <xf numFmtId="0" fontId="33" fillId="0" borderId="0" xfId="51" applyFont="1" applyAlignment="1">
      <alignment horizontal="center" vertical="center"/>
    </xf>
    <xf numFmtId="179" fontId="33" fillId="0" borderId="0" xfId="51" applyNumberFormat="1" applyFont="1" applyAlignment="1">
      <alignment horizontal="center" vertical="center"/>
    </xf>
    <xf numFmtId="0" fontId="33" fillId="0" borderId="0" xfId="51" applyFont="1" applyAlignment="1">
      <alignment vertical="center"/>
    </xf>
    <xf numFmtId="0" fontId="34" fillId="12" borderId="0" xfId="50" applyFont="1" applyFill="1" applyAlignment="1">
      <alignment horizontal="center" vertical="center" wrapText="1"/>
    </xf>
    <xf numFmtId="0" fontId="6" fillId="13" borderId="0" xfId="50" applyFont="1" applyFill="1" applyAlignment="1">
      <alignment horizontal="center" vertical="center" wrapText="1"/>
    </xf>
    <xf numFmtId="0" fontId="35" fillId="12" borderId="0" xfId="50" applyFont="1" applyFill="1" applyAlignment="1">
      <alignment horizontal="center" vertical="center" wrapText="1"/>
    </xf>
    <xf numFmtId="0" fontId="22" fillId="11" borderId="0" xfId="50" applyFont="1" applyFill="1" applyAlignment="1">
      <alignment horizontal="center" vertical="center" wrapText="1"/>
    </xf>
    <xf numFmtId="0" fontId="22" fillId="11" borderId="0" xfId="50" applyFont="1" applyFill="1" applyAlignment="1">
      <alignment horizontal="left" vertical="center" wrapText="1"/>
    </xf>
    <xf numFmtId="0" fontId="36" fillId="11" borderId="56" xfId="50" applyFont="1" applyFill="1" applyBorder="1" applyAlignment="1">
      <alignment horizontal="center" vertical="center" wrapText="1"/>
    </xf>
    <xf numFmtId="0" fontId="0" fillId="0" borderId="57" xfId="0" applyBorder="1" applyAlignment="1"/>
    <xf numFmtId="0" fontId="37" fillId="14" borderId="37" xfId="49" applyFont="1" applyFill="1" applyBorder="1" applyAlignment="1">
      <alignment horizontal="center" vertical="center" wrapText="1"/>
    </xf>
    <xf numFmtId="0" fontId="0" fillId="0" borderId="58" xfId="0" applyBorder="1" applyAlignment="1"/>
    <xf numFmtId="0" fontId="38" fillId="15" borderId="37" xfId="49" applyFont="1" applyFill="1" applyBorder="1" applyAlignment="1">
      <alignment vertical="center" wrapText="1"/>
    </xf>
    <xf numFmtId="0" fontId="39" fillId="15" borderId="37" xfId="49" applyFont="1" applyFill="1" applyBorder="1" applyAlignment="1">
      <alignment vertical="center" wrapText="1"/>
    </xf>
    <xf numFmtId="0" fontId="39" fillId="15" borderId="41" xfId="49" applyFont="1" applyFill="1" applyBorder="1" applyAlignment="1">
      <alignment horizontal="center" vertical="center" wrapText="1"/>
    </xf>
    <xf numFmtId="0" fontId="39" fillId="15" borderId="39" xfId="49" applyFont="1" applyFill="1" applyBorder="1" applyAlignment="1">
      <alignment horizontal="center" vertical="center" wrapText="1"/>
    </xf>
    <xf numFmtId="0" fontId="39" fillId="15" borderId="40" xfId="49" applyFont="1" applyFill="1" applyBorder="1" applyAlignment="1">
      <alignment horizontal="center" vertical="center" wrapText="1"/>
    </xf>
    <xf numFmtId="0" fontId="38" fillId="15" borderId="37" xfId="49" applyFont="1" applyFill="1" applyBorder="1" applyAlignment="1">
      <alignment horizontal="center" vertical="center" wrapText="1"/>
    </xf>
    <xf numFmtId="0" fontId="39" fillId="15" borderId="37" xfId="49" applyFont="1" applyFill="1" applyBorder="1" applyAlignment="1">
      <alignment horizontal="center" vertical="center" wrapText="1"/>
    </xf>
    <xf numFmtId="0" fontId="39" fillId="15" borderId="41" xfId="49" applyFont="1" applyFill="1" applyBorder="1" applyAlignment="1">
      <alignment horizontal="left" vertical="top" wrapText="1"/>
    </xf>
    <xf numFmtId="0" fontId="39" fillId="15" borderId="39" xfId="49" applyFont="1" applyFill="1" applyBorder="1" applyAlignment="1">
      <alignment horizontal="left" vertical="top" wrapText="1"/>
    </xf>
    <xf numFmtId="0" fontId="39" fillId="15" borderId="40" xfId="49" applyFont="1" applyFill="1" applyBorder="1" applyAlignment="1">
      <alignment horizontal="left" vertical="top" wrapText="1"/>
    </xf>
    <xf numFmtId="0" fontId="40" fillId="13" borderId="56" xfId="50" applyFont="1" applyFill="1" applyBorder="1" applyAlignment="1">
      <alignment vertical="center" wrapText="1"/>
    </xf>
    <xf numFmtId="0" fontId="36" fillId="13" borderId="56" xfId="50" applyFont="1" applyFill="1" applyBorder="1" applyAlignment="1">
      <alignment horizontal="center" vertical="center" wrapText="1"/>
    </xf>
    <xf numFmtId="0" fontId="36" fillId="13" borderId="56" xfId="50" applyFont="1" applyFill="1" applyBorder="1" applyAlignment="1">
      <alignmen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 name="常规 3 2"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eetMetadata" Target="metadata.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
  <sheetViews>
    <sheetView zoomScale="85" zoomScaleNormal="85" topLeftCell="A15" workbookViewId="0">
      <selection activeCell="M15" sqref="M15"/>
    </sheetView>
  </sheetViews>
  <sheetFormatPr defaultColWidth="8.16666666666667" defaultRowHeight="15.2"/>
  <cols>
    <col min="1" max="1" width="8.83333333333333" style="207" customWidth="1"/>
    <col min="2" max="2" width="19" style="207" customWidth="1"/>
    <col min="3" max="3" width="14.1666666666667" style="207" customWidth="1"/>
    <col min="4" max="4" width="19" style="208" customWidth="1"/>
    <col min="5" max="5" width="14.1666666666667" style="207" customWidth="1"/>
    <col min="6" max="6" width="11.8333333333333" style="208" customWidth="1"/>
    <col min="7" max="7" width="14.3333333333333" style="207" customWidth="1"/>
    <col min="8" max="8" width="38.8333333333333" style="209" customWidth="1"/>
    <col min="9" max="9" width="19.6666666666667" style="207" customWidth="1"/>
    <col min="10" max="10" width="11.8333333333333" style="209" customWidth="1"/>
    <col min="11" max="11" width="8.16666666666667" style="209" customWidth="1"/>
    <col min="12" max="16384" width="8.16666666666667" style="209"/>
  </cols>
  <sheetData>
    <row r="1" s="205" customFormat="1" ht="20" customHeight="1" spans="1:9">
      <c r="A1" s="210" t="s">
        <v>0</v>
      </c>
      <c r="I1" s="211" t="s">
        <v>1</v>
      </c>
    </row>
    <row r="2" s="205" customFormat="1" ht="20" customHeight="1"/>
    <row r="3" s="205" customFormat="1" ht="45" customHeight="1"/>
    <row r="4" s="205" customFormat="1" ht="20" customHeight="1"/>
    <row r="5" s="205" customFormat="1" ht="43" customHeight="1" spans="1:9">
      <c r="A5" s="212" t="s">
        <v>2</v>
      </c>
    </row>
    <row r="6" s="205" customFormat="1" ht="20" customHeight="1" spans="1:9">
      <c r="B6" s="213"/>
      <c r="C6" s="213"/>
      <c r="D6" s="213"/>
      <c r="E6" s="213"/>
      <c r="F6" s="214"/>
      <c r="G6" s="214"/>
    </row>
    <row r="7" s="205" customFormat="1" ht="46" customHeight="1" spans="1:9">
      <c r="A7" s="215" t="s">
        <v>3</v>
      </c>
      <c r="B7" s="216"/>
      <c r="C7" s="217" t="s">
        <v>4</v>
      </c>
      <c r="D7" s="217"/>
      <c r="E7" s="217"/>
      <c r="F7" s="217"/>
      <c r="G7" s="217"/>
      <c r="H7" s="217"/>
      <c r="I7" s="217"/>
    </row>
    <row r="8" s="205" customFormat="1" ht="154.75" customHeight="1" spans="1:9">
      <c r="A8" s="215" t="s">
        <v>2</v>
      </c>
      <c r="B8" s="216"/>
      <c r="C8" s="217" t="s">
        <v>5</v>
      </c>
      <c r="D8" s="217"/>
      <c r="E8" s="217"/>
      <c r="F8" s="217"/>
      <c r="G8" s="217"/>
      <c r="H8" s="217"/>
      <c r="I8" s="217"/>
    </row>
    <row r="9" s="205" customFormat="1" ht="20" customHeight="1" spans="1:9">
      <c r="B9" s="214"/>
      <c r="C9" s="214"/>
      <c r="D9" s="214"/>
      <c r="E9" s="214"/>
      <c r="F9" s="214"/>
      <c r="G9" s="214"/>
    </row>
    <row r="11" s="205" customFormat="1" ht="45" customHeight="1" spans="1:9">
      <c r="A11" s="212" t="s">
        <v>6</v>
      </c>
    </row>
    <row r="12" s="205" customFormat="1" ht="20" customHeight="1"/>
    <row r="13" s="206" customFormat="1" ht="56" customHeight="1" spans="1:9">
      <c r="A13" s="215" t="s">
        <v>7</v>
      </c>
      <c r="B13" s="215" t="s">
        <v>8</v>
      </c>
      <c r="C13" s="215" t="s">
        <v>9</v>
      </c>
      <c r="D13" s="215" t="s">
        <v>10</v>
      </c>
      <c r="E13" s="215" t="s">
        <v>9</v>
      </c>
      <c r="F13" s="215" t="s">
        <v>11</v>
      </c>
      <c r="G13" s="218"/>
      <c r="H13" s="218"/>
      <c r="I13" s="216"/>
    </row>
    <row r="14" s="205" customFormat="1" ht="36" customHeight="1" spans="1:9">
      <c r="A14" s="219" t="s">
        <v>12</v>
      </c>
      <c r="B14" s="219"/>
      <c r="C14" s="220"/>
      <c r="D14" s="220"/>
      <c r="E14" s="220"/>
      <c r="F14" s="221"/>
      <c r="G14" s="222"/>
      <c r="H14" s="222"/>
      <c r="I14" s="223"/>
    </row>
    <row r="15" s="205" customFormat="1" ht="205" customHeight="1" spans="1:9">
      <c r="A15" s="219" t="s">
        <v>13</v>
      </c>
      <c r="B15" s="224" t="s">
        <v>14</v>
      </c>
      <c r="C15" s="225" t="s">
        <v>15</v>
      </c>
      <c r="D15" s="225" t="s">
        <v>16</v>
      </c>
      <c r="E15" s="225" t="s">
        <v>17</v>
      </c>
      <c r="F15" s="226" t="s">
        <v>18</v>
      </c>
      <c r="G15" s="227"/>
      <c r="H15" s="227"/>
      <c r="I15" s="228"/>
    </row>
    <row r="16" s="205" customFormat="1" ht="20" customHeight="1" spans="1:9">
      <c r="A16" s="229"/>
      <c r="B16" s="229"/>
      <c r="C16" s="230"/>
      <c r="D16" s="231"/>
      <c r="E16" s="230"/>
      <c r="F16" s="230"/>
      <c r="G16" s="218"/>
      <c r="H16" s="218"/>
      <c r="I16" s="216"/>
    </row>
    <row r="17" s="205" customFormat="1" ht="20" customHeight="1" spans="1:9">
      <c r="A17" s="229"/>
      <c r="B17" s="229"/>
      <c r="C17" s="230"/>
      <c r="D17" s="231"/>
      <c r="E17" s="230"/>
      <c r="F17" s="230"/>
      <c r="G17" s="218"/>
      <c r="H17" s="218"/>
      <c r="I17" s="216"/>
    </row>
    <row r="18" ht="20" customHeight="1"/>
    <row r="19" ht="20" customHeight="1"/>
  </sheetData>
  <mergeCells count="13">
    <mergeCell ref="A5:I5"/>
    <mergeCell ref="A7:B7"/>
    <mergeCell ref="C7:I7"/>
    <mergeCell ref="A8:B8"/>
    <mergeCell ref="C8:I8"/>
    <mergeCell ref="A11:I11"/>
    <mergeCell ref="F13:I13"/>
    <mergeCell ref="F14:I14"/>
    <mergeCell ref="F15:I15"/>
    <mergeCell ref="F16:I16"/>
    <mergeCell ref="F17:I17"/>
    <mergeCell ref="I1:I3"/>
    <mergeCell ref="A1:H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812"/>
  <sheetViews>
    <sheetView zoomScale="96" zoomScaleNormal="96" topLeftCell="AH499" workbookViewId="0">
      <selection activeCell="AL508" sqref="AL508"/>
    </sheetView>
  </sheetViews>
  <sheetFormatPr defaultColWidth="10.8333333333333" defaultRowHeight="16.8"/>
  <cols>
    <col min="1" max="1" width="11" style="116" customWidth="1"/>
    <col min="2" max="2" width="17.8333333333333" style="118" customWidth="1"/>
    <col min="3" max="3" width="14.1666666666667" style="119" customWidth="1"/>
    <col min="4" max="4" width="63.8333333333333" style="116" customWidth="1"/>
    <col min="5" max="5" width="17.6666666666667" style="119" customWidth="1"/>
    <col min="6" max="10" width="16.3333333333333" style="119" customWidth="1"/>
    <col min="11" max="11" width="20.8333333333333" style="116" customWidth="1"/>
    <col min="12" max="12" width="62.1666666666667" style="116" customWidth="1"/>
    <col min="13" max="13" width="55.6666666666667" style="116" customWidth="1"/>
    <col min="14" max="14" width="37.6666666666667" style="120" customWidth="1"/>
    <col min="15" max="15" width="34.1666666666667" style="120" customWidth="1"/>
    <col min="16" max="16" width="33" style="120" customWidth="1"/>
    <col min="17" max="17" width="34" style="120" customWidth="1"/>
    <col min="18" max="18" width="22.8333333333333" style="121" customWidth="1"/>
    <col min="19" max="19" width="20.8333333333333" style="122" customWidth="1"/>
    <col min="20" max="20" width="12.6666666666667" style="122" customWidth="1"/>
    <col min="21" max="21" width="35" style="122" customWidth="1"/>
    <col min="22" max="22" width="32" style="119" customWidth="1"/>
    <col min="23" max="23" width="14.6666666666667" style="119" customWidth="1"/>
    <col min="24" max="24" width="6.33333333333333" style="119" customWidth="1"/>
    <col min="25" max="25" width="12.8333333333333" style="119" customWidth="1"/>
    <col min="26" max="26" width="6.33333333333333" style="119" customWidth="1"/>
    <col min="27" max="27" width="28.3333333333333" style="119" customWidth="1"/>
    <col min="28" max="28" width="6.33333333333333" style="119" customWidth="1"/>
    <col min="29" max="29" width="16.6666666666667" style="119" customWidth="1"/>
    <col min="30" max="30" width="6.33333333333333" style="119" customWidth="1"/>
    <col min="31" max="31" width="18.3333333333333" style="119" customWidth="1"/>
    <col min="32" max="32" width="6.33333333333333" style="119" customWidth="1"/>
    <col min="33" max="33" width="10.8333333333333" style="119" customWidth="1"/>
    <col min="34" max="34" width="13.3333333333333" style="119" customWidth="1"/>
    <col min="35" max="35" width="9.66666666666667" style="122" customWidth="1"/>
    <col min="36" max="36" width="25.5" style="119" customWidth="1"/>
    <col min="37" max="37" width="13.3333333333333" style="119" customWidth="1"/>
    <col min="38" max="38" width="112.333333333333" style="123" customWidth="1"/>
    <col min="39" max="39" width="16.5" style="124" customWidth="1"/>
    <col min="40" max="40" width="20.6666666666667" style="116" customWidth="1"/>
    <col min="41" max="41" width="26.6666666666667" style="116" customWidth="1"/>
    <col min="42" max="16383" width="10.8333333333333" style="116"/>
    <col min="16384" max="16384" width="10.8333333333333" style="125"/>
  </cols>
  <sheetData>
    <row r="1" s="115" customFormat="1" ht="20" customHeight="1" spans="1:41">
      <c r="A1" s="126" t="s">
        <v>19</v>
      </c>
      <c r="B1" s="127"/>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c r="AH1" s="127"/>
      <c r="AI1" s="127"/>
      <c r="AJ1" s="127"/>
      <c r="AK1" s="127"/>
      <c r="AL1" s="128" t="s">
        <v>20</v>
      </c>
      <c r="AM1" s="129"/>
      <c r="AN1" s="129"/>
      <c r="AO1" s="130"/>
    </row>
    <row r="2" s="115" customFormat="1" ht="20" customHeight="1" spans="1:41">
      <c r="A2" s="126"/>
      <c r="B2" s="127"/>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31"/>
      <c r="AM2" s="132"/>
      <c r="AN2" s="132"/>
      <c r="AO2" s="133"/>
    </row>
    <row r="3" s="115" customFormat="1" ht="58" customHeight="1" spans="1:41">
      <c r="A3" s="134"/>
      <c r="B3" s="135"/>
      <c r="C3" s="135"/>
      <c r="D3" s="135"/>
      <c r="E3" s="135"/>
      <c r="F3" s="135"/>
      <c r="G3" s="135"/>
      <c r="H3" s="135"/>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6"/>
      <c r="AM3" s="137"/>
      <c r="AN3" s="137"/>
      <c r="AO3" s="138"/>
    </row>
    <row r="4" s="116" customFormat="1" spans="1:41">
      <c r="A4" s="139"/>
      <c r="B4" s="140"/>
      <c r="C4" s="140"/>
      <c r="D4" s="140"/>
      <c r="E4" s="140"/>
      <c r="F4" s="140"/>
      <c r="G4" s="140"/>
      <c r="H4" s="140"/>
      <c r="I4" s="140"/>
      <c r="J4" s="140"/>
      <c r="K4" s="140"/>
      <c r="L4" s="140"/>
      <c r="M4" s="140"/>
      <c r="N4" s="140"/>
      <c r="O4" s="140"/>
      <c r="P4" s="140"/>
      <c r="Q4" s="140"/>
      <c r="R4" s="141"/>
      <c r="S4" s="141"/>
      <c r="T4" s="141"/>
      <c r="U4" s="141"/>
      <c r="V4" s="140"/>
      <c r="W4" s="141"/>
      <c r="X4" s="141"/>
      <c r="Y4" s="141"/>
      <c r="Z4" s="141"/>
      <c r="AA4" s="141"/>
      <c r="AB4" s="141"/>
      <c r="AC4" s="141"/>
      <c r="AD4" s="141"/>
      <c r="AE4" s="141"/>
      <c r="AF4" s="141"/>
      <c r="AG4" s="141"/>
      <c r="AH4" s="141"/>
      <c r="AI4" s="141"/>
      <c r="AJ4" s="141"/>
      <c r="AK4" s="141"/>
      <c r="AL4" s="142"/>
      <c r="AM4" s="143"/>
    </row>
    <row r="5" s="116" customFormat="1" ht="15.25" customHeight="1" spans="1:41">
      <c r="A5" s="144"/>
      <c r="R5" s="119"/>
      <c r="S5" s="119"/>
      <c r="T5" s="119"/>
      <c r="U5" s="119"/>
      <c r="W5" s="119"/>
      <c r="X5" s="119"/>
      <c r="Y5" s="119"/>
      <c r="Z5" s="119"/>
      <c r="AA5" s="119"/>
      <c r="AB5" s="119"/>
      <c r="AC5" s="119"/>
      <c r="AD5" s="119"/>
      <c r="AE5" s="119"/>
      <c r="AF5" s="119"/>
      <c r="AG5" s="119"/>
      <c r="AH5" s="119"/>
      <c r="AI5" s="119"/>
      <c r="AJ5" s="119"/>
      <c r="AK5" s="119"/>
      <c r="AL5" s="123"/>
      <c r="AM5" s="145"/>
    </row>
    <row r="6" s="116" customFormat="1" ht="69" customHeight="1" spans="1:41">
      <c r="A6" s="146" t="s">
        <v>21</v>
      </c>
      <c r="B6" s="147" t="s">
        <v>22</v>
      </c>
      <c r="C6" s="148" t="s">
        <v>23</v>
      </c>
      <c r="D6" s="147" t="s">
        <v>24</v>
      </c>
      <c r="E6" s="147" t="s">
        <v>25</v>
      </c>
      <c r="F6" s="149"/>
      <c r="G6" s="149"/>
      <c r="H6" s="149"/>
      <c r="I6" s="149"/>
      <c r="J6" s="150"/>
      <c r="K6" s="151" t="s">
        <v>26</v>
      </c>
      <c r="L6" s="149"/>
      <c r="M6" s="149"/>
      <c r="N6" s="152" t="s">
        <v>27</v>
      </c>
      <c r="O6" s="153"/>
      <c r="P6" s="153"/>
      <c r="Q6" s="153"/>
      <c r="R6" s="153"/>
      <c r="S6" s="154"/>
      <c r="T6" s="147" t="s">
        <v>28</v>
      </c>
      <c r="U6" s="153"/>
      <c r="V6" s="147" t="s">
        <v>29</v>
      </c>
      <c r="W6" s="147" t="s">
        <v>30</v>
      </c>
      <c r="X6" s="149"/>
      <c r="Y6" s="149"/>
      <c r="Z6" s="149"/>
      <c r="AA6" s="149"/>
      <c r="AB6" s="149"/>
      <c r="AC6" s="149"/>
      <c r="AD6" s="149"/>
      <c r="AE6" s="149"/>
      <c r="AF6" s="149"/>
      <c r="AG6" s="149"/>
      <c r="AH6" s="150"/>
      <c r="AI6" s="148" t="s">
        <v>31</v>
      </c>
      <c r="AJ6" s="151" t="s">
        <v>32</v>
      </c>
      <c r="AK6" s="155"/>
      <c r="AL6" s="156"/>
      <c r="AM6" s="157" t="s">
        <v>33</v>
      </c>
      <c r="AN6" s="158"/>
      <c r="AO6" s="159"/>
    </row>
    <row r="7" s="116" customFormat="1" ht="147" customHeight="1" spans="1:41">
      <c r="A7" s="160"/>
      <c r="B7" s="161"/>
      <c r="C7" s="161"/>
      <c r="D7" s="161"/>
      <c r="E7" s="147" t="s">
        <v>34</v>
      </c>
      <c r="F7" s="147" t="s">
        <v>35</v>
      </c>
      <c r="G7" s="147" t="s">
        <v>36</v>
      </c>
      <c r="H7" s="147" t="s">
        <v>37</v>
      </c>
      <c r="I7" s="147" t="s">
        <v>38</v>
      </c>
      <c r="J7" s="147" t="s">
        <v>39</v>
      </c>
      <c r="K7" s="148" t="s">
        <v>40</v>
      </c>
      <c r="L7" s="148" t="s">
        <v>41</v>
      </c>
      <c r="M7" s="148" t="s">
        <v>42</v>
      </c>
      <c r="N7" s="158"/>
      <c r="O7" s="158"/>
      <c r="P7" s="158"/>
      <c r="Q7" s="158"/>
      <c r="R7" s="158"/>
      <c r="S7" s="162"/>
      <c r="T7" s="163"/>
      <c r="U7" s="158"/>
      <c r="V7" s="161"/>
      <c r="W7" s="147" t="s">
        <v>43</v>
      </c>
      <c r="X7" s="148" t="s">
        <v>44</v>
      </c>
      <c r="Y7" s="147" t="s">
        <v>45</v>
      </c>
      <c r="Z7" s="148" t="s">
        <v>44</v>
      </c>
      <c r="AA7" s="147" t="s">
        <v>46</v>
      </c>
      <c r="AB7" s="148" t="s">
        <v>44</v>
      </c>
      <c r="AC7" s="147" t="s">
        <v>47</v>
      </c>
      <c r="AD7" s="148" t="s">
        <v>44</v>
      </c>
      <c r="AE7" s="147" t="s">
        <v>48</v>
      </c>
      <c r="AF7" s="148" t="s">
        <v>44</v>
      </c>
      <c r="AG7" s="148" t="s">
        <v>49</v>
      </c>
      <c r="AH7" s="147" t="s">
        <v>50</v>
      </c>
      <c r="AI7" s="164"/>
      <c r="AJ7" s="148" t="s">
        <v>51</v>
      </c>
      <c r="AK7" s="148" t="s">
        <v>52</v>
      </c>
      <c r="AL7" s="148" t="s">
        <v>53</v>
      </c>
      <c r="AM7" s="165" t="s">
        <v>54</v>
      </c>
      <c r="AN7" s="148" t="s">
        <v>55</v>
      </c>
      <c r="AO7" s="148" t="s">
        <v>56</v>
      </c>
    </row>
    <row r="8" s="116" customFormat="1" ht="102" customHeight="1" spans="1:41">
      <c r="A8" s="166"/>
      <c r="B8" s="167"/>
      <c r="C8" s="161"/>
      <c r="D8" s="167"/>
      <c r="E8" s="148" t="s">
        <v>57</v>
      </c>
      <c r="F8" s="148" t="s">
        <v>58</v>
      </c>
      <c r="G8" s="148" t="s">
        <v>59</v>
      </c>
      <c r="H8" s="148" t="s">
        <v>59</v>
      </c>
      <c r="I8" s="148" t="s">
        <v>59</v>
      </c>
      <c r="J8" s="148" t="s">
        <v>60</v>
      </c>
      <c r="K8" s="161"/>
      <c r="L8" s="161"/>
      <c r="M8" s="161"/>
      <c r="N8" s="148" t="s">
        <v>61</v>
      </c>
      <c r="O8" s="148" t="s">
        <v>62</v>
      </c>
      <c r="P8" s="148" t="s">
        <v>63</v>
      </c>
      <c r="Q8" s="148" t="s">
        <v>64</v>
      </c>
      <c r="R8" s="168" t="s">
        <v>65</v>
      </c>
      <c r="S8" s="168" t="s">
        <v>66</v>
      </c>
      <c r="T8" s="168" t="s">
        <v>67</v>
      </c>
      <c r="U8" s="148" t="s">
        <v>68</v>
      </c>
      <c r="V8" s="167"/>
      <c r="W8" s="167"/>
      <c r="X8" s="161"/>
      <c r="Y8" s="167"/>
      <c r="Z8" s="161"/>
      <c r="AA8" s="167"/>
      <c r="AB8" s="161"/>
      <c r="AC8" s="167"/>
      <c r="AD8" s="161"/>
      <c r="AE8" s="167"/>
      <c r="AF8" s="161"/>
      <c r="AG8" s="161"/>
      <c r="AH8" s="167"/>
      <c r="AI8" s="148" t="s">
        <v>69</v>
      </c>
      <c r="AJ8" s="161"/>
      <c r="AK8" s="161"/>
      <c r="AL8" s="169"/>
      <c r="AM8" s="170"/>
      <c r="AN8" s="161"/>
      <c r="AO8" s="161"/>
    </row>
    <row r="9" s="116" customFormat="1" ht="20" customHeight="1" spans="1:41">
      <c r="A9" s="171">
        <v>1</v>
      </c>
      <c r="B9" s="172" t="s">
        <v>70</v>
      </c>
      <c r="C9" s="171" t="s">
        <v>71</v>
      </c>
      <c r="D9" s="173" t="s">
        <v>72</v>
      </c>
      <c r="E9" s="171" t="s">
        <v>73</v>
      </c>
      <c r="F9" s="171"/>
      <c r="G9" s="171"/>
      <c r="H9" s="171"/>
      <c r="I9" s="171"/>
      <c r="J9" s="171"/>
      <c r="K9" s="173" t="s">
        <v>74</v>
      </c>
      <c r="L9" s="173" t="s">
        <v>75</v>
      </c>
      <c r="M9" s="173" t="s">
        <v>76</v>
      </c>
      <c r="N9" s="174" t="s">
        <v>77</v>
      </c>
      <c r="O9" s="174" t="s">
        <v>77</v>
      </c>
      <c r="P9" s="174" t="s">
        <v>77</v>
      </c>
      <c r="Q9" s="174" t="s">
        <v>78</v>
      </c>
      <c r="R9" s="174" t="str">
        <f t="shared" ref="R9:R18" si="0">IF(OR(N9="严重Severe",O9="严重Severe",P9="严重Severe",Q9="严重Severe"),"严重Severe",IF(OR(N9="主要Major",O9="主要Major",P9="主要Major",Q9="主要Major"),"主要Major",IF(OR(N9="中等Medium",O9="中等Medium",P9="中等Medium",Q9="中等Medium"),"中等Medium",IF(OR(N9="可忽略不计Negligible",O9="可忽略不计Negligible",P9="可忽略不计Negligible",Q9="可忽略不计Negligible"),"可忽略不计Negligible","/"))))</f>
        <v>主要Major</v>
      </c>
      <c r="S9" s="175" t="s">
        <v>78</v>
      </c>
      <c r="T9" s="175" t="s">
        <v>79</v>
      </c>
      <c r="U9" s="175" t="s">
        <v>80</v>
      </c>
      <c r="V9" s="172" t="s">
        <v>81</v>
      </c>
      <c r="W9" s="171" t="s">
        <v>82</v>
      </c>
      <c r="X9" s="176">
        <f t="shared" ref="X9:X18" si="1">IF(OR(W9="/",W9=""),"/",IF(ISNUMBER(SEARCH("1天",W9)),0,IF(ISNUMBER(SEARCH("一周",W9)),1,IF(ISNUMBER(SEARCH("1个月",W9)),4,IF(ISNUMBER(SEARCH("超过",W9)),19,IF(ISNUMBER(SEARCH("6个月",W9)),17,""))))))</f>
        <v>0</v>
      </c>
      <c r="Y9" s="171" t="s">
        <v>83</v>
      </c>
      <c r="Z9" s="176">
        <f t="shared" ref="Z9:Z18" si="2">IF(OR(Y9="/",Y9=""),"/",IF(ISNUMBER(SEARCH("新手",Y9)),0,IF(ISNUMBER(SEARCH("熟练",Y9)),3,IF(ISNUMBER(SEARCH("多位",Y9)),17,IF(ISNUMBER(SEARCH("专家",Y9)),6,"")))))</f>
        <v>6</v>
      </c>
      <c r="AA9" s="171" t="s">
        <v>84</v>
      </c>
      <c r="AB9" s="176">
        <f t="shared" ref="AB9:AB18" si="3">IF(OR(AA9="/",AA9=""),"/",IF(ISNUMBER(SEARCH("公开",AA9)),0,IF(ISNUMBER(SEARCH("限制性信息",AA9)),3,IF(ISNUMBER(SEARCH("机密信息",AA9)),7,IF(ISNUMBER(SEARCH("严格保密",AA9)),11,"")))))</f>
        <v>3</v>
      </c>
      <c r="AC9" s="171" t="s">
        <v>85</v>
      </c>
      <c r="AD9" s="176">
        <f t="shared" ref="AD9:AD18" si="4">IF(OR(AC9="/",AC9=""),"/",IF(ISNUMBER(SEARCH("无限制",AC9)),0,IF(ISNUMBER(SEARCH("容易",AC9)),1,IF(ISNUMBER(SEARCH("一般",AC9)),4,IF(ISNUMBER(SEARCH("困难",AC9)),10,"")))))</f>
        <v>4</v>
      </c>
      <c r="AE9" s="171" t="s">
        <v>86</v>
      </c>
      <c r="AF9" s="176" cm="1">
        <f t="array" ref="AF9">IF(OR(AE9="/",AE9=""),"/",IF(ISNUMBER(SEARCH("普通",AE9)),0,IF(ISNUMBER(SEARCH("专用",AE9)),4,IF(ISNUMBER(SEARCH("定制",AE9)),7,IF(ISNUMBER(SEARCH("多个定制",AE9)),9,””)))))</f>
        <v>4</v>
      </c>
      <c r="AG9" s="176">
        <f t="shared" ref="AG9:AG18" si="5">IF(OR(X9="/",Z9="/",AB9="/",AD9="/",AF9="/"),"/",X9+Z9+AB9+AD9+AF9)</f>
        <v>17</v>
      </c>
      <c r="AH9" s="176" t="str">
        <f t="shared" ref="AH9:AH18" si="6">IF(AND(AG9&gt;=0,AG9&lt;14),"高High",IF(AND(AG9&gt;=14,AG9&lt;20),"中Medium",IF(AND(AG9&gt;=20,AG9&lt;25),"低Low",IF(AND(AG9&gt;=25,AG9&lt;57),"非常低Very low",""))))</f>
        <v>中Medium</v>
      </c>
      <c r="AI9" s="176" t="s">
        <v>87</v>
      </c>
      <c r="AJ9" s="176" t="str">
        <f t="shared" ref="AJ9:AJ72" si="7">IF(AI9="/","/",IF(AI9="CAL3","降低"&amp;CHAR(10)&amp;"Reucing",IF(AI9="CAL4","消除"&amp;CHAR(10)&amp;"Avoiding",IF(AI9="CAL2","保留"&amp;CHAR(10)&amp;"Retaining",IF(AI9="CAL1","保留"&amp;CHAR(10)&amp;"Retaining","")))))</f>
        <v>降低
Reucing</v>
      </c>
      <c r="AK9" s="171" t="s">
        <v>88</v>
      </c>
      <c r="AL9" s="177" t="s">
        <v>89</v>
      </c>
      <c r="AM9" s="171" t="s">
        <v>90</v>
      </c>
      <c r="AN9" s="178" t="s">
        <v>91</v>
      </c>
      <c r="AO9" s="178" t="s">
        <v>92</v>
      </c>
    </row>
    <row r="10" s="116" customFormat="1" ht="20" customHeight="1" spans="1:41">
      <c r="A10" s="171">
        <v>2</v>
      </c>
      <c r="B10" s="179"/>
      <c r="C10" s="179"/>
      <c r="D10" s="179"/>
      <c r="E10" s="171" t="s">
        <v>73</v>
      </c>
      <c r="F10" s="171"/>
      <c r="G10" s="171"/>
      <c r="H10" s="171"/>
      <c r="I10" s="171"/>
      <c r="J10" s="171"/>
      <c r="K10" s="173" t="s">
        <v>93</v>
      </c>
      <c r="L10" s="173" t="s">
        <v>94</v>
      </c>
      <c r="M10" s="173" t="s">
        <v>95</v>
      </c>
      <c r="N10" s="174" t="s">
        <v>77</v>
      </c>
      <c r="O10" s="174" t="s">
        <v>96</v>
      </c>
      <c r="P10" s="174" t="s">
        <v>77</v>
      </c>
      <c r="Q10" s="174" t="s">
        <v>78</v>
      </c>
      <c r="R10" s="174" t="str">
        <f t="shared" si="0"/>
        <v>主要Major</v>
      </c>
      <c r="S10" s="175" t="s">
        <v>78</v>
      </c>
      <c r="T10" s="175" t="s">
        <v>97</v>
      </c>
      <c r="U10" s="175" t="s">
        <v>98</v>
      </c>
      <c r="V10" s="172" t="s">
        <v>81</v>
      </c>
      <c r="W10" s="171" t="s">
        <v>82</v>
      </c>
      <c r="X10" s="176">
        <f t="shared" si="1"/>
        <v>0</v>
      </c>
      <c r="Y10" s="171" t="s">
        <v>83</v>
      </c>
      <c r="Z10" s="176">
        <f t="shared" si="2"/>
        <v>6</v>
      </c>
      <c r="AA10" s="171" t="s">
        <v>84</v>
      </c>
      <c r="AB10" s="176">
        <f t="shared" si="3"/>
        <v>3</v>
      </c>
      <c r="AC10" s="171" t="s">
        <v>85</v>
      </c>
      <c r="AD10" s="176">
        <f t="shared" si="4"/>
        <v>4</v>
      </c>
      <c r="AE10" s="171" t="s">
        <v>86</v>
      </c>
      <c r="AF10" s="176" cm="1">
        <f t="array" ref="AF10">IF(OR(AE10="/",AE10=""),"/",IF(ISNUMBER(SEARCH("普通",AE10)),0,IF(ISNUMBER(SEARCH("专用",AE10)),4,IF(ISNUMBER(SEARCH("定制",AE10)),7,IF(ISNUMBER(SEARCH("多个定制",AE10)),9,””)))))</f>
        <v>4</v>
      </c>
      <c r="AG10" s="176">
        <f t="shared" si="5"/>
        <v>17</v>
      </c>
      <c r="AH10" s="176" t="str">
        <f t="shared" si="6"/>
        <v>中Medium</v>
      </c>
      <c r="AI10" s="176" t="s">
        <v>87</v>
      </c>
      <c r="AJ10" s="176" t="str">
        <f t="shared" si="7"/>
        <v>降低
Reucing</v>
      </c>
      <c r="AK10" s="171" t="s">
        <v>99</v>
      </c>
      <c r="AL10" s="177" t="s">
        <v>100</v>
      </c>
      <c r="AM10" s="180" t="s">
        <v>101</v>
      </c>
      <c r="AN10" s="178" t="s">
        <v>102</v>
      </c>
      <c r="AO10" s="178" t="s">
        <v>103</v>
      </c>
    </row>
    <row r="11" s="116" customFormat="1" ht="40" customHeight="1" spans="1:41">
      <c r="A11" s="171">
        <v>3</v>
      </c>
      <c r="B11" s="179"/>
      <c r="C11" s="179"/>
      <c r="D11" s="179"/>
      <c r="E11" s="171" t="s">
        <v>73</v>
      </c>
      <c r="F11" s="171"/>
      <c r="G11" s="171"/>
      <c r="H11" s="171"/>
      <c r="I11" s="171"/>
      <c r="J11" s="171"/>
      <c r="K11" s="173" t="s">
        <v>104</v>
      </c>
      <c r="L11" s="173" t="s">
        <v>105</v>
      </c>
      <c r="M11" s="173" t="s">
        <v>106</v>
      </c>
      <c r="N11" s="174" t="s">
        <v>77</v>
      </c>
      <c r="O11" s="174" t="s">
        <v>77</v>
      </c>
      <c r="P11" s="174" t="s">
        <v>78</v>
      </c>
      <c r="Q11" s="174" t="s">
        <v>77</v>
      </c>
      <c r="R11" s="174" t="str">
        <f t="shared" si="0"/>
        <v>主要Major</v>
      </c>
      <c r="S11" s="175" t="s">
        <v>107</v>
      </c>
      <c r="T11" s="175" t="s">
        <v>108</v>
      </c>
      <c r="U11" s="175" t="s">
        <v>109</v>
      </c>
      <c r="V11" s="172" t="s">
        <v>110</v>
      </c>
      <c r="W11" s="171" t="s">
        <v>111</v>
      </c>
      <c r="X11" s="176">
        <f t="shared" si="1"/>
        <v>1</v>
      </c>
      <c r="Y11" s="171" t="s">
        <v>83</v>
      </c>
      <c r="Z11" s="176">
        <f t="shared" si="2"/>
        <v>6</v>
      </c>
      <c r="AA11" s="171" t="s">
        <v>84</v>
      </c>
      <c r="AB11" s="176">
        <f t="shared" si="3"/>
        <v>3</v>
      </c>
      <c r="AC11" s="171" t="s">
        <v>85</v>
      </c>
      <c r="AD11" s="176">
        <f t="shared" si="4"/>
        <v>4</v>
      </c>
      <c r="AE11" s="171" t="s">
        <v>86</v>
      </c>
      <c r="AF11" s="176" cm="1">
        <f t="array" ref="AF11">IF(OR(AE11="/",AE11=""),"/",IF(ISNUMBER(SEARCH("普通",AE11)),0,IF(ISNUMBER(SEARCH("专用",AE11)),4,IF(ISNUMBER(SEARCH("定制",AE11)),7,IF(ISNUMBER(SEARCH("多个定制",AE11)),9,””)))))</f>
        <v>4</v>
      </c>
      <c r="AG11" s="176">
        <f t="shared" si="5"/>
        <v>18</v>
      </c>
      <c r="AH11" s="176" t="str">
        <f t="shared" si="6"/>
        <v>中Medium</v>
      </c>
      <c r="AI11" s="176" t="s">
        <v>112</v>
      </c>
      <c r="AJ11" s="176" t="str">
        <f t="shared" si="7"/>
        <v>消除
Avoiding</v>
      </c>
      <c r="AK11" s="171" t="s">
        <v>113</v>
      </c>
      <c r="AL11" s="177" t="s">
        <v>114</v>
      </c>
      <c r="AM11" s="180" t="s">
        <v>115</v>
      </c>
      <c r="AN11" s="178" t="s">
        <v>116</v>
      </c>
      <c r="AO11" s="178" t="s">
        <v>117</v>
      </c>
    </row>
    <row r="12" s="116" customFormat="1" ht="20" customHeight="1" spans="1:41">
      <c r="A12" s="171">
        <v>4</v>
      </c>
      <c r="B12" s="179"/>
      <c r="C12" s="179"/>
      <c r="D12" s="179"/>
      <c r="E12" s="171"/>
      <c r="F12" s="171" t="s">
        <v>73</v>
      </c>
      <c r="G12" s="171"/>
      <c r="H12" s="171"/>
      <c r="I12" s="171"/>
      <c r="J12" s="171"/>
      <c r="K12" s="173" t="s">
        <v>118</v>
      </c>
      <c r="L12" s="173" t="s">
        <v>119</v>
      </c>
      <c r="M12" s="173" t="s">
        <v>120</v>
      </c>
      <c r="N12" s="174" t="s">
        <v>96</v>
      </c>
      <c r="O12" s="174" t="s">
        <v>77</v>
      </c>
      <c r="P12" s="174" t="s">
        <v>78</v>
      </c>
      <c r="Q12" s="174" t="s">
        <v>77</v>
      </c>
      <c r="R12" s="174" t="str">
        <f t="shared" si="0"/>
        <v>主要Major</v>
      </c>
      <c r="S12" s="175" t="s">
        <v>78</v>
      </c>
      <c r="T12" s="175" t="s">
        <v>121</v>
      </c>
      <c r="U12" s="175" t="s">
        <v>122</v>
      </c>
      <c r="V12" s="172" t="s">
        <v>81</v>
      </c>
      <c r="W12" s="171" t="s">
        <v>82</v>
      </c>
      <c r="X12" s="176">
        <f t="shared" si="1"/>
        <v>0</v>
      </c>
      <c r="Y12" s="171" t="s">
        <v>83</v>
      </c>
      <c r="Z12" s="176">
        <f t="shared" si="2"/>
        <v>6</v>
      </c>
      <c r="AA12" s="171" t="s">
        <v>84</v>
      </c>
      <c r="AB12" s="176">
        <f t="shared" si="3"/>
        <v>3</v>
      </c>
      <c r="AC12" s="171" t="s">
        <v>85</v>
      </c>
      <c r="AD12" s="176">
        <f t="shared" si="4"/>
        <v>4</v>
      </c>
      <c r="AE12" s="171" t="s">
        <v>86</v>
      </c>
      <c r="AF12" s="176" cm="1">
        <f t="array" ref="AF12">IF(OR(AE12="/",AE12=""),"/",IF(ISNUMBER(SEARCH("普通",AE12)),0,IF(ISNUMBER(SEARCH("专用",AE12)),4,IF(ISNUMBER(SEARCH("定制",AE12)),7,IF(ISNUMBER(SEARCH("多个定制",AE12)),9,””)))))</f>
        <v>4</v>
      </c>
      <c r="AG12" s="176">
        <f t="shared" si="5"/>
        <v>17</v>
      </c>
      <c r="AH12" s="176" t="str">
        <f t="shared" si="6"/>
        <v>中Medium</v>
      </c>
      <c r="AI12" s="176" t="s">
        <v>87</v>
      </c>
      <c r="AJ12" s="176" t="str">
        <f t="shared" si="7"/>
        <v>降低
Reucing</v>
      </c>
      <c r="AK12" s="171" t="s">
        <v>123</v>
      </c>
      <c r="AL12" s="177" t="s">
        <v>124</v>
      </c>
      <c r="AM12" s="180" t="s">
        <v>125</v>
      </c>
      <c r="AN12" s="178" t="s">
        <v>126</v>
      </c>
      <c r="AO12" s="178" t="s">
        <v>127</v>
      </c>
    </row>
    <row r="13" s="116" customFormat="1" ht="20" customHeight="1" spans="1:41">
      <c r="A13" s="171">
        <v>5</v>
      </c>
      <c r="B13" s="179"/>
      <c r="C13" s="179"/>
      <c r="D13" s="179"/>
      <c r="E13" s="171"/>
      <c r="F13" s="171" t="s">
        <v>73</v>
      </c>
      <c r="G13" s="171"/>
      <c r="H13" s="171"/>
      <c r="I13" s="171"/>
      <c r="J13" s="171"/>
      <c r="K13" s="173" t="s">
        <v>128</v>
      </c>
      <c r="L13" s="173" t="s">
        <v>129</v>
      </c>
      <c r="M13" s="173" t="s">
        <v>120</v>
      </c>
      <c r="N13" s="174" t="s">
        <v>96</v>
      </c>
      <c r="O13" s="174" t="s">
        <v>96</v>
      </c>
      <c r="P13" s="174" t="s">
        <v>78</v>
      </c>
      <c r="Q13" s="174" t="s">
        <v>77</v>
      </c>
      <c r="R13" s="174" t="str">
        <f t="shared" si="0"/>
        <v>主要Major</v>
      </c>
      <c r="S13" s="175" t="s">
        <v>78</v>
      </c>
      <c r="T13" s="175" t="s">
        <v>130</v>
      </c>
      <c r="U13" s="175" t="s">
        <v>131</v>
      </c>
      <c r="V13" s="172" t="s">
        <v>81</v>
      </c>
      <c r="W13" s="171" t="s">
        <v>111</v>
      </c>
      <c r="X13" s="176">
        <f t="shared" si="1"/>
        <v>1</v>
      </c>
      <c r="Y13" s="171" t="s">
        <v>83</v>
      </c>
      <c r="Z13" s="176">
        <f t="shared" si="2"/>
        <v>6</v>
      </c>
      <c r="AA13" s="171" t="s">
        <v>84</v>
      </c>
      <c r="AB13" s="176">
        <f t="shared" si="3"/>
        <v>3</v>
      </c>
      <c r="AC13" s="171" t="s">
        <v>85</v>
      </c>
      <c r="AD13" s="176">
        <f t="shared" si="4"/>
        <v>4</v>
      </c>
      <c r="AE13" s="171" t="s">
        <v>86</v>
      </c>
      <c r="AF13" s="176" cm="1">
        <f t="array" ref="AF13">IF(OR(AE13="/",AE13=""),"/",IF(ISNUMBER(SEARCH("普通",AE13)),0,IF(ISNUMBER(SEARCH("专用",AE13)),4,IF(ISNUMBER(SEARCH("定制",AE13)),7,IF(ISNUMBER(SEARCH("多个定制",AE13)),9,””)))))</f>
        <v>4</v>
      </c>
      <c r="AG13" s="176">
        <f t="shared" si="5"/>
        <v>18</v>
      </c>
      <c r="AH13" s="176" t="str">
        <f t="shared" si="6"/>
        <v>中Medium</v>
      </c>
      <c r="AI13" s="176" t="s">
        <v>87</v>
      </c>
      <c r="AJ13" s="176" t="str">
        <f t="shared" si="7"/>
        <v>降低
Reucing</v>
      </c>
      <c r="AK13" s="171" t="s">
        <v>132</v>
      </c>
      <c r="AL13" s="177" t="s">
        <v>133</v>
      </c>
      <c r="AM13" s="180" t="s">
        <v>134</v>
      </c>
      <c r="AN13" s="178" t="s">
        <v>135</v>
      </c>
      <c r="AO13" s="178" t="s">
        <v>136</v>
      </c>
    </row>
    <row r="14" s="116" customFormat="1" ht="42" customHeight="1" spans="1:41">
      <c r="A14" s="171">
        <v>6</v>
      </c>
      <c r="B14" s="179"/>
      <c r="C14" s="179"/>
      <c r="D14" s="179"/>
      <c r="E14" s="171"/>
      <c r="F14" s="171"/>
      <c r="G14" s="171" t="s">
        <v>73</v>
      </c>
      <c r="H14" s="171"/>
      <c r="I14" s="171"/>
      <c r="J14" s="171"/>
      <c r="K14" s="173" t="s">
        <v>137</v>
      </c>
      <c r="L14" s="173" t="s">
        <v>138</v>
      </c>
      <c r="M14" s="173" t="s">
        <v>139</v>
      </c>
      <c r="N14" s="174" t="s">
        <v>78</v>
      </c>
      <c r="O14" s="174" t="s">
        <v>96</v>
      </c>
      <c r="P14" s="174" t="s">
        <v>78</v>
      </c>
      <c r="Q14" s="174" t="s">
        <v>77</v>
      </c>
      <c r="R14" s="174" t="str">
        <f t="shared" si="0"/>
        <v>主要Major</v>
      </c>
      <c r="S14" s="175" t="s">
        <v>78</v>
      </c>
      <c r="T14" s="175" t="s">
        <v>140</v>
      </c>
      <c r="U14" s="175" t="s">
        <v>141</v>
      </c>
      <c r="V14" s="172" t="s">
        <v>81</v>
      </c>
      <c r="W14" s="171" t="s">
        <v>142</v>
      </c>
      <c r="X14" s="176">
        <f t="shared" si="1"/>
        <v>4</v>
      </c>
      <c r="Y14" s="171" t="s">
        <v>83</v>
      </c>
      <c r="Z14" s="176">
        <f t="shared" si="2"/>
        <v>6</v>
      </c>
      <c r="AA14" s="171" t="s">
        <v>84</v>
      </c>
      <c r="AB14" s="176">
        <f t="shared" si="3"/>
        <v>3</v>
      </c>
      <c r="AC14" s="171" t="s">
        <v>85</v>
      </c>
      <c r="AD14" s="176">
        <f t="shared" si="4"/>
        <v>4</v>
      </c>
      <c r="AE14" s="171" t="s">
        <v>143</v>
      </c>
      <c r="AF14" s="176" cm="1">
        <f t="array" ref="AF14">IF(OR(AE14="/",AE14=""),"/",IF(ISNUMBER(SEARCH("普通",AE14)),0,IF(ISNUMBER(SEARCH("专用",AE14)),4,IF(ISNUMBER(SEARCH("定制",AE14)),7,IF(ISNUMBER(SEARCH("多个定制",AE14)),9,””)))))</f>
        <v>7</v>
      </c>
      <c r="AG14" s="176">
        <f t="shared" si="5"/>
        <v>24</v>
      </c>
      <c r="AH14" s="176" t="str">
        <f t="shared" si="6"/>
        <v>低Low</v>
      </c>
      <c r="AI14" s="176" t="s">
        <v>144</v>
      </c>
      <c r="AJ14" s="176" t="str">
        <f t="shared" si="7"/>
        <v>保留
Retaining</v>
      </c>
      <c r="AK14" s="171" t="s">
        <v>145</v>
      </c>
      <c r="AL14" s="177" t="s">
        <v>145</v>
      </c>
      <c r="AM14" s="171" t="s">
        <v>145</v>
      </c>
      <c r="AN14" s="178" t="s">
        <v>146</v>
      </c>
      <c r="AO14" s="178" t="s">
        <v>147</v>
      </c>
    </row>
    <row r="15" s="116" customFormat="1" ht="20" customHeight="1" spans="1:41">
      <c r="A15" s="171">
        <v>7</v>
      </c>
      <c r="B15" s="179"/>
      <c r="C15" s="179"/>
      <c r="D15" s="179"/>
      <c r="E15" s="171"/>
      <c r="F15" s="171"/>
      <c r="G15" s="171" t="s">
        <v>73</v>
      </c>
      <c r="H15" s="171"/>
      <c r="I15" s="171"/>
      <c r="J15" s="171"/>
      <c r="K15" s="173" t="s">
        <v>148</v>
      </c>
      <c r="L15" s="173" t="s">
        <v>149</v>
      </c>
      <c r="M15" s="173" t="s">
        <v>150</v>
      </c>
      <c r="N15" s="174" t="s">
        <v>96</v>
      </c>
      <c r="O15" s="174" t="s">
        <v>77</v>
      </c>
      <c r="P15" s="174" t="s">
        <v>77</v>
      </c>
      <c r="Q15" s="174" t="s">
        <v>77</v>
      </c>
      <c r="R15" s="174" t="str">
        <f t="shared" si="0"/>
        <v>中等Medium</v>
      </c>
      <c r="S15" s="175" t="s">
        <v>96</v>
      </c>
      <c r="T15" s="175" t="s">
        <v>151</v>
      </c>
      <c r="U15" s="175" t="s">
        <v>152</v>
      </c>
      <c r="V15" s="172" t="s">
        <v>81</v>
      </c>
      <c r="W15" s="171" t="s">
        <v>111</v>
      </c>
      <c r="X15" s="176">
        <f t="shared" si="1"/>
        <v>1</v>
      </c>
      <c r="Y15" s="171" t="s">
        <v>83</v>
      </c>
      <c r="Z15" s="176">
        <f t="shared" si="2"/>
        <v>6</v>
      </c>
      <c r="AA15" s="171" t="s">
        <v>153</v>
      </c>
      <c r="AB15" s="176">
        <f t="shared" si="3"/>
        <v>0</v>
      </c>
      <c r="AC15" s="171" t="s">
        <v>85</v>
      </c>
      <c r="AD15" s="176">
        <f t="shared" si="4"/>
        <v>4</v>
      </c>
      <c r="AE15" s="171" t="s">
        <v>143</v>
      </c>
      <c r="AF15" s="176" cm="1">
        <f t="array" ref="AF15">IF(OR(AE15="/",AE15=""),"/",IF(ISNUMBER(SEARCH("普通",AE15)),0,IF(ISNUMBER(SEARCH("专用",AE15)),4,IF(ISNUMBER(SEARCH("定制",AE15)),7,IF(ISNUMBER(SEARCH("多个定制",AE15)),9,””)))))</f>
        <v>7</v>
      </c>
      <c r="AG15" s="176">
        <f t="shared" si="5"/>
        <v>18</v>
      </c>
      <c r="AH15" s="176" t="str">
        <f t="shared" si="6"/>
        <v>中Medium</v>
      </c>
      <c r="AI15" s="176" t="s">
        <v>144</v>
      </c>
      <c r="AJ15" s="176" t="str">
        <f t="shared" si="7"/>
        <v>保留
Retaining</v>
      </c>
      <c r="AK15" s="171" t="s">
        <v>145</v>
      </c>
      <c r="AL15" s="177" t="s">
        <v>145</v>
      </c>
      <c r="AM15" s="171" t="s">
        <v>145</v>
      </c>
      <c r="AN15" s="178" t="s">
        <v>154</v>
      </c>
      <c r="AO15" s="178" t="s">
        <v>155</v>
      </c>
    </row>
    <row r="16" s="116" customFormat="1" ht="20" customHeight="1" spans="1:41">
      <c r="A16" s="171">
        <v>8</v>
      </c>
      <c r="B16" s="179"/>
      <c r="C16" s="179"/>
      <c r="D16" s="179"/>
      <c r="E16" s="171"/>
      <c r="F16" s="171"/>
      <c r="G16" s="171" t="s">
        <v>73</v>
      </c>
      <c r="H16" s="171"/>
      <c r="I16" s="171"/>
      <c r="J16" s="171"/>
      <c r="K16" s="173" t="s">
        <v>156</v>
      </c>
      <c r="L16" s="173" t="s">
        <v>157</v>
      </c>
      <c r="M16" s="173" t="s">
        <v>139</v>
      </c>
      <c r="N16" s="174" t="s">
        <v>78</v>
      </c>
      <c r="O16" s="174" t="s">
        <v>96</v>
      </c>
      <c r="P16" s="174" t="s">
        <v>78</v>
      </c>
      <c r="Q16" s="174" t="s">
        <v>77</v>
      </c>
      <c r="R16" s="174" t="str">
        <f t="shared" si="0"/>
        <v>主要Major</v>
      </c>
      <c r="S16" s="175" t="s">
        <v>78</v>
      </c>
      <c r="T16" s="175" t="s">
        <v>158</v>
      </c>
      <c r="U16" s="175" t="s">
        <v>159</v>
      </c>
      <c r="V16" s="172" t="s">
        <v>160</v>
      </c>
      <c r="W16" s="171" t="s">
        <v>82</v>
      </c>
      <c r="X16" s="176">
        <f t="shared" si="1"/>
        <v>0</v>
      </c>
      <c r="Y16" s="171" t="s">
        <v>83</v>
      </c>
      <c r="Z16" s="176">
        <f t="shared" si="2"/>
        <v>6</v>
      </c>
      <c r="AA16" s="171" t="s">
        <v>84</v>
      </c>
      <c r="AB16" s="176">
        <f t="shared" si="3"/>
        <v>3</v>
      </c>
      <c r="AC16" s="171" t="s">
        <v>85</v>
      </c>
      <c r="AD16" s="176">
        <f t="shared" si="4"/>
        <v>4</v>
      </c>
      <c r="AE16" s="171" t="s">
        <v>86</v>
      </c>
      <c r="AF16" s="176" cm="1">
        <f t="array" ref="AF16">IF(OR(AE16="/",AE16=""),"/",IF(ISNUMBER(SEARCH("普通",AE16)),0,IF(ISNUMBER(SEARCH("专用",AE16)),4,IF(ISNUMBER(SEARCH("定制",AE16)),7,IF(ISNUMBER(SEARCH("多个定制",AE16)),9,””)))))</f>
        <v>4</v>
      </c>
      <c r="AG16" s="176">
        <f t="shared" si="5"/>
        <v>17</v>
      </c>
      <c r="AH16" s="176" t="str">
        <f t="shared" si="6"/>
        <v>中Medium</v>
      </c>
      <c r="AI16" s="176" t="s">
        <v>144</v>
      </c>
      <c r="AJ16" s="176" t="str">
        <f t="shared" si="7"/>
        <v>保留
Retaining</v>
      </c>
      <c r="AK16" s="171" t="s">
        <v>145</v>
      </c>
      <c r="AL16" s="177" t="s">
        <v>145</v>
      </c>
      <c r="AM16" s="180" t="s">
        <v>161</v>
      </c>
      <c r="AN16" s="178" t="s">
        <v>162</v>
      </c>
      <c r="AO16" s="178" t="s">
        <v>163</v>
      </c>
    </row>
    <row r="17" s="116" customFormat="1" ht="20" customHeight="1" spans="1:41">
      <c r="A17" s="171">
        <v>9</v>
      </c>
      <c r="B17" s="179"/>
      <c r="C17" s="179"/>
      <c r="D17" s="179"/>
      <c r="E17" s="171"/>
      <c r="F17" s="171"/>
      <c r="G17" s="171"/>
      <c r="H17" s="171" t="s">
        <v>73</v>
      </c>
      <c r="I17" s="171"/>
      <c r="J17" s="171"/>
      <c r="K17" s="173" t="s">
        <v>164</v>
      </c>
      <c r="L17" s="173" t="s">
        <v>165</v>
      </c>
      <c r="M17" s="173" t="s">
        <v>166</v>
      </c>
      <c r="N17" s="174" t="s">
        <v>78</v>
      </c>
      <c r="O17" s="174" t="s">
        <v>96</v>
      </c>
      <c r="P17" s="174" t="s">
        <v>78</v>
      </c>
      <c r="Q17" s="174" t="s">
        <v>96</v>
      </c>
      <c r="R17" s="174" t="str">
        <f t="shared" si="0"/>
        <v>主要Major</v>
      </c>
      <c r="S17" s="175" t="s">
        <v>78</v>
      </c>
      <c r="T17" s="175" t="s">
        <v>167</v>
      </c>
      <c r="U17" s="175" t="s">
        <v>168</v>
      </c>
      <c r="V17" s="172" t="s">
        <v>81</v>
      </c>
      <c r="W17" s="171" t="s">
        <v>82</v>
      </c>
      <c r="X17" s="176">
        <f t="shared" si="1"/>
        <v>0</v>
      </c>
      <c r="Y17" s="171" t="s">
        <v>83</v>
      </c>
      <c r="Z17" s="176">
        <f t="shared" si="2"/>
        <v>6</v>
      </c>
      <c r="AA17" s="171" t="s">
        <v>84</v>
      </c>
      <c r="AB17" s="176">
        <f t="shared" si="3"/>
        <v>3</v>
      </c>
      <c r="AC17" s="171" t="s">
        <v>85</v>
      </c>
      <c r="AD17" s="176">
        <f t="shared" si="4"/>
        <v>4</v>
      </c>
      <c r="AE17" s="171" t="s">
        <v>86</v>
      </c>
      <c r="AF17" s="176" cm="1">
        <f t="array" ref="AF17">IF(OR(AE17="/",AE17=""),"/",IF(ISNUMBER(SEARCH("普通",AE17)),0,IF(ISNUMBER(SEARCH("专用",AE17)),4,IF(ISNUMBER(SEARCH("定制",AE17)),7,IF(ISNUMBER(SEARCH("多个定制",AE17)),9,””)))))</f>
        <v>4</v>
      </c>
      <c r="AG17" s="176">
        <f t="shared" si="5"/>
        <v>17</v>
      </c>
      <c r="AH17" s="176" t="str">
        <f t="shared" si="6"/>
        <v>中Medium</v>
      </c>
      <c r="AI17" s="176" t="s">
        <v>144</v>
      </c>
      <c r="AJ17" s="176" t="str">
        <f t="shared" si="7"/>
        <v>保留
Retaining</v>
      </c>
      <c r="AK17" s="171" t="s">
        <v>145</v>
      </c>
      <c r="AL17" s="177" t="s">
        <v>145</v>
      </c>
      <c r="AM17" s="180" t="s">
        <v>169</v>
      </c>
      <c r="AN17" s="178" t="s">
        <v>170</v>
      </c>
      <c r="AO17" s="178" t="s">
        <v>171</v>
      </c>
    </row>
    <row r="18" s="116" customFormat="1" ht="20" customHeight="1" spans="1:41">
      <c r="A18" s="171">
        <v>10</v>
      </c>
      <c r="B18" s="179"/>
      <c r="C18" s="179"/>
      <c r="D18" s="179"/>
      <c r="E18" s="171"/>
      <c r="F18" s="171"/>
      <c r="G18" s="171"/>
      <c r="H18" s="171"/>
      <c r="I18" s="171" t="s">
        <v>73</v>
      </c>
      <c r="J18" s="171"/>
      <c r="K18" s="173" t="s">
        <v>172</v>
      </c>
      <c r="L18" s="173" t="s">
        <v>173</v>
      </c>
      <c r="M18" s="173" t="s">
        <v>174</v>
      </c>
      <c r="N18" s="174" t="s">
        <v>96</v>
      </c>
      <c r="O18" s="174" t="s">
        <v>96</v>
      </c>
      <c r="P18" s="174" t="s">
        <v>96</v>
      </c>
      <c r="Q18" s="174" t="s">
        <v>77</v>
      </c>
      <c r="R18" s="174" t="str">
        <f t="shared" si="0"/>
        <v>中等Medium</v>
      </c>
      <c r="S18" s="175" t="s">
        <v>96</v>
      </c>
      <c r="T18" s="175" t="s">
        <v>175</v>
      </c>
      <c r="U18" s="175" t="s">
        <v>176</v>
      </c>
      <c r="V18" s="172" t="s">
        <v>81</v>
      </c>
      <c r="W18" s="171" t="s">
        <v>82</v>
      </c>
      <c r="X18" s="176">
        <f t="shared" si="1"/>
        <v>0</v>
      </c>
      <c r="Y18" s="171" t="s">
        <v>177</v>
      </c>
      <c r="Z18" s="176">
        <f t="shared" si="2"/>
        <v>3</v>
      </c>
      <c r="AA18" s="171" t="s">
        <v>153</v>
      </c>
      <c r="AB18" s="176">
        <f t="shared" si="3"/>
        <v>0</v>
      </c>
      <c r="AC18" s="171" t="s">
        <v>85</v>
      </c>
      <c r="AD18" s="176">
        <f t="shared" si="4"/>
        <v>4</v>
      </c>
      <c r="AE18" s="171" t="s">
        <v>86</v>
      </c>
      <c r="AF18" s="176" cm="1">
        <f t="array" ref="AF18">IF(OR(AE18="/",AE18=""),"/",IF(ISNUMBER(SEARCH("普通",AE18)),0,IF(ISNUMBER(SEARCH("专用",AE18)),4,IF(ISNUMBER(SEARCH("定制",AE18)),7,IF(ISNUMBER(SEARCH("多个定制",AE18)),9,””)))))</f>
        <v>4</v>
      </c>
      <c r="AG18" s="176">
        <f t="shared" si="5"/>
        <v>11</v>
      </c>
      <c r="AH18" s="176" t="str">
        <f t="shared" si="6"/>
        <v>高High</v>
      </c>
      <c r="AI18" s="176" t="s">
        <v>87</v>
      </c>
      <c r="AJ18" s="176" t="str">
        <f t="shared" si="7"/>
        <v>降低
Reucing</v>
      </c>
      <c r="AK18" s="171" t="s">
        <v>178</v>
      </c>
      <c r="AL18" s="177" t="s">
        <v>179</v>
      </c>
      <c r="AM18" s="180" t="s">
        <v>180</v>
      </c>
      <c r="AN18" s="178" t="s">
        <v>181</v>
      </c>
      <c r="AO18" s="178" t="s">
        <v>182</v>
      </c>
    </row>
    <row r="19" s="116" customFormat="1" ht="20" customHeight="1" spans="1:41">
      <c r="A19" s="171">
        <v>11</v>
      </c>
      <c r="B19" s="181"/>
      <c r="C19" s="181"/>
      <c r="D19" s="181"/>
      <c r="E19" s="171"/>
      <c r="F19" s="171"/>
      <c r="G19" s="171"/>
      <c r="H19" s="171"/>
      <c r="I19" s="171"/>
      <c r="J19" s="171" t="s">
        <v>183</v>
      </c>
      <c r="K19" s="173" t="s">
        <v>145</v>
      </c>
      <c r="L19" s="173" t="s">
        <v>145</v>
      </c>
      <c r="M19" s="173" t="s">
        <v>145</v>
      </c>
      <c r="N19" s="174" t="s">
        <v>145</v>
      </c>
      <c r="O19" s="174" t="s">
        <v>145</v>
      </c>
      <c r="P19" s="174" t="s">
        <v>145</v>
      </c>
      <c r="Q19" s="174" t="s">
        <v>145</v>
      </c>
      <c r="R19" s="174" t="s">
        <v>145</v>
      </c>
      <c r="S19" s="175" t="s">
        <v>145</v>
      </c>
      <c r="T19" s="175" t="s">
        <v>145</v>
      </c>
      <c r="U19" s="175" t="s">
        <v>145</v>
      </c>
      <c r="V19" s="172" t="s">
        <v>145</v>
      </c>
      <c r="W19" s="171" t="s">
        <v>145</v>
      </c>
      <c r="X19" s="176" t="s">
        <v>145</v>
      </c>
      <c r="Y19" s="171" t="s">
        <v>145</v>
      </c>
      <c r="Z19" s="176" t="s">
        <v>145</v>
      </c>
      <c r="AA19" s="171" t="s">
        <v>145</v>
      </c>
      <c r="AB19" s="176" t="s">
        <v>145</v>
      </c>
      <c r="AC19" s="171" t="s">
        <v>145</v>
      </c>
      <c r="AD19" s="176" t="s">
        <v>145</v>
      </c>
      <c r="AE19" s="171" t="s">
        <v>145</v>
      </c>
      <c r="AF19" s="176" t="str" cm="1">
        <f t="array" ref="AF19">IF(OR(AE19="/",AE19=""),"/",IF(ISNUMBER(SEARCH("普通",AE19)),0,IF(ISNUMBER(SEARCH("专用",AE19)),4,IF(ISNUMBER(SEARCH("定制",AE19)),7,IF(ISNUMBER(SEARCH("多个定制",AE19)),9,””)))))</f>
        <v>/</v>
      </c>
      <c r="AG19" s="176" t="s">
        <v>145</v>
      </c>
      <c r="AH19" s="176" t="s">
        <v>145</v>
      </c>
      <c r="AI19" s="176" t="s">
        <v>145</v>
      </c>
      <c r="AJ19" s="176" t="str">
        <f t="shared" si="7"/>
        <v>/</v>
      </c>
      <c r="AK19" s="171" t="s">
        <v>145</v>
      </c>
      <c r="AL19" s="177" t="s">
        <v>145</v>
      </c>
      <c r="AM19" s="177" t="s">
        <v>145</v>
      </c>
      <c r="AN19" s="177" t="s">
        <v>145</v>
      </c>
      <c r="AO19" s="177" t="s">
        <v>145</v>
      </c>
    </row>
    <row r="20" s="116" customFormat="1" ht="20" customHeight="1" spans="1:41">
      <c r="A20" s="171">
        <v>12</v>
      </c>
      <c r="B20" s="172" t="s">
        <v>184</v>
      </c>
      <c r="C20" s="171" t="s">
        <v>71</v>
      </c>
      <c r="D20" s="173" t="s">
        <v>185</v>
      </c>
      <c r="E20" s="171" t="s">
        <v>73</v>
      </c>
      <c r="F20" s="171"/>
      <c r="G20" s="171"/>
      <c r="H20" s="171"/>
      <c r="I20" s="171"/>
      <c r="J20" s="171"/>
      <c r="K20" s="173" t="s">
        <v>186</v>
      </c>
      <c r="L20" s="173" t="s">
        <v>187</v>
      </c>
      <c r="M20" s="173" t="s">
        <v>76</v>
      </c>
      <c r="N20" s="174" t="s">
        <v>77</v>
      </c>
      <c r="O20" s="174" t="s">
        <v>96</v>
      </c>
      <c r="P20" s="174" t="s">
        <v>77</v>
      </c>
      <c r="Q20" s="174" t="s">
        <v>78</v>
      </c>
      <c r="R20" s="174" t="str">
        <f t="shared" ref="R20:R51" si="8">IF(OR(N20="严重Severe",O20="严重Severe",P20="严重Severe",Q20="严重Severe"),"严重Severe",IF(OR(N20="主要Major",O20="主要Major",P20="主要Major",Q20="主要Major"),"主要Major",IF(OR(N20="中等Medium",O20="中等Medium",P20="中等Medium",Q20="中等Medium"),"中等Medium",IF(OR(N20="可忽略不计Negligible",O20="可忽略不计Negligible",P20="可忽略不计Negligible",Q20="可忽略不计Negligible"),"可忽略不计Negligible","/"))))</f>
        <v>主要Major</v>
      </c>
      <c r="S20" s="175" t="s">
        <v>78</v>
      </c>
      <c r="T20" s="175" t="s">
        <v>188</v>
      </c>
      <c r="U20" s="175" t="s">
        <v>80</v>
      </c>
      <c r="V20" s="172" t="s">
        <v>189</v>
      </c>
      <c r="W20" s="171" t="s">
        <v>142</v>
      </c>
      <c r="X20" s="176">
        <f t="shared" ref="X20:X70" si="9">IF(OR(W20="/",W20=""),"/",IF(ISNUMBER(SEARCH("1天",W20)),0,IF(ISNUMBER(SEARCH("一周",W20)),1,IF(ISNUMBER(SEARCH("1个月",W20)),4,IF(ISNUMBER(SEARCH("超过",W20)),19,IF(ISNUMBER(SEARCH("6个月",W20)),17,""))))))</f>
        <v>4</v>
      </c>
      <c r="Y20" s="171" t="s">
        <v>83</v>
      </c>
      <c r="Z20" s="176">
        <f t="shared" ref="Z20:Z70" si="10">IF(OR(Y20="/",Y20=""),"/",IF(ISNUMBER(SEARCH("新手",Y20)),0,IF(ISNUMBER(SEARCH("熟练",Y20)),3,IF(ISNUMBER(SEARCH("多位",Y20)),17,IF(ISNUMBER(SEARCH("专家",Y20)),6,"")))))</f>
        <v>6</v>
      </c>
      <c r="AA20" s="171" t="s">
        <v>190</v>
      </c>
      <c r="AB20" s="176">
        <f t="shared" ref="AB20:AB70" si="11">IF(OR(AA20="/",AA20=""),"/",IF(ISNUMBER(SEARCH("公开",AA20)),0,IF(ISNUMBER(SEARCH("限制性信息",AA20)),3,IF(ISNUMBER(SEARCH("机密信息",AA20)),7,IF(ISNUMBER(SEARCH("严格保密",AA20)),11,"")))))</f>
        <v>7</v>
      </c>
      <c r="AC20" s="171" t="s">
        <v>191</v>
      </c>
      <c r="AD20" s="176">
        <f t="shared" ref="AD20:AD70" si="12">IF(OR(AC20="/",AC20=""),"/",IF(ISNUMBER(SEARCH("无限制",AC20)),0,IF(ISNUMBER(SEARCH("容易",AC20)),1,IF(ISNUMBER(SEARCH("一般",AC20)),4,IF(ISNUMBER(SEARCH("困难",AC20)),10,"")))))</f>
        <v>1</v>
      </c>
      <c r="AE20" s="171" t="s">
        <v>86</v>
      </c>
      <c r="AF20" s="176" cm="1">
        <f t="array" ref="AF20">IF(OR(AE20="/",AE20=""),"/",IF(ISNUMBER(SEARCH("普通",AE20)),0,IF(ISNUMBER(SEARCH("专用",AE20)),4,IF(ISNUMBER(SEARCH("定制",AE20)),7,IF(ISNUMBER(SEARCH("多个定制",AE20)),9,””)))))</f>
        <v>4</v>
      </c>
      <c r="AG20" s="176">
        <f t="shared" ref="AG20:AG70" si="13">IF(OR(X20="/",Z20="/",AB20="/",AD20="/",AF20="/"),"/",X20+Z20+AB20+AD20+AF20)</f>
        <v>22</v>
      </c>
      <c r="AH20" s="176" t="str">
        <f t="shared" ref="AH20:AH70" si="14">IF(AND(AG20&gt;=0,AG20&lt;14),"高High",IF(AND(AG20&gt;=14,AG20&lt;20),"中Medium",IF(AND(AG20&gt;=20,AG20&lt;25),"低Low",IF(AND(AG20&gt;=25,AG20&lt;57),"非常低Very low",""))))</f>
        <v>低Low</v>
      </c>
      <c r="AI20" s="176" t="s">
        <v>87</v>
      </c>
      <c r="AJ20" s="176" t="str">
        <f t="shared" si="7"/>
        <v>降低
Reucing</v>
      </c>
      <c r="AK20" s="171" t="s">
        <v>192</v>
      </c>
      <c r="AL20" s="177" t="s">
        <v>89</v>
      </c>
      <c r="AM20" s="180" t="s">
        <v>90</v>
      </c>
      <c r="AN20" s="178" t="s">
        <v>91</v>
      </c>
      <c r="AO20" s="178" t="s">
        <v>92</v>
      </c>
    </row>
    <row r="21" s="116" customFormat="1" ht="20" customHeight="1" spans="1:41">
      <c r="A21" s="171">
        <v>13</v>
      </c>
      <c r="B21" s="179"/>
      <c r="C21" s="179"/>
      <c r="D21" s="179"/>
      <c r="E21" s="171" t="s">
        <v>73</v>
      </c>
      <c r="F21" s="171"/>
      <c r="G21" s="171"/>
      <c r="H21" s="171"/>
      <c r="I21" s="171"/>
      <c r="J21" s="171"/>
      <c r="K21" s="173" t="s">
        <v>193</v>
      </c>
      <c r="L21" s="173" t="s">
        <v>194</v>
      </c>
      <c r="M21" s="173" t="s">
        <v>195</v>
      </c>
      <c r="N21" s="174" t="s">
        <v>77</v>
      </c>
      <c r="O21" s="174" t="s">
        <v>96</v>
      </c>
      <c r="P21" s="174" t="s">
        <v>96</v>
      </c>
      <c r="Q21" s="174" t="s">
        <v>78</v>
      </c>
      <c r="R21" s="174" t="str">
        <f t="shared" si="8"/>
        <v>主要Major</v>
      </c>
      <c r="S21" s="175" t="s">
        <v>78</v>
      </c>
      <c r="T21" s="175" t="s">
        <v>196</v>
      </c>
      <c r="U21" s="175" t="s">
        <v>197</v>
      </c>
      <c r="V21" s="172" t="s">
        <v>198</v>
      </c>
      <c r="W21" s="171" t="s">
        <v>111</v>
      </c>
      <c r="X21" s="176">
        <f t="shared" si="9"/>
        <v>1</v>
      </c>
      <c r="Y21" s="171" t="s">
        <v>83</v>
      </c>
      <c r="Z21" s="176">
        <f t="shared" si="10"/>
        <v>6</v>
      </c>
      <c r="AA21" s="171" t="s">
        <v>84</v>
      </c>
      <c r="AB21" s="176">
        <f t="shared" si="11"/>
        <v>3</v>
      </c>
      <c r="AC21" s="171" t="s">
        <v>85</v>
      </c>
      <c r="AD21" s="176">
        <f t="shared" si="12"/>
        <v>4</v>
      </c>
      <c r="AE21" s="171" t="s">
        <v>86</v>
      </c>
      <c r="AF21" s="176" cm="1">
        <f t="array" ref="AF21">IF(OR(AE21="/",AE21=""),"/",IF(ISNUMBER(SEARCH("普通",AE21)),0,IF(ISNUMBER(SEARCH("专用",AE21)),4,IF(ISNUMBER(SEARCH("定制",AE21)),7,IF(ISNUMBER(SEARCH("多个定制",AE21)),9,””)))))</f>
        <v>4</v>
      </c>
      <c r="AG21" s="176">
        <f t="shared" si="13"/>
        <v>18</v>
      </c>
      <c r="AH21" s="176" t="str">
        <f t="shared" si="14"/>
        <v>中Medium</v>
      </c>
      <c r="AI21" s="176" t="s">
        <v>87</v>
      </c>
      <c r="AJ21" s="176" t="str">
        <f t="shared" si="7"/>
        <v>降低
Reucing</v>
      </c>
      <c r="AK21" s="171" t="s">
        <v>199</v>
      </c>
      <c r="AL21" s="177" t="s">
        <v>200</v>
      </c>
      <c r="AM21" s="180" t="s">
        <v>201</v>
      </c>
      <c r="AN21" s="178" t="s">
        <v>202</v>
      </c>
      <c r="AO21" s="178" t="s">
        <v>203</v>
      </c>
    </row>
    <row r="22" s="116" customFormat="1" ht="20" customHeight="1" spans="1:41">
      <c r="A22" s="171">
        <v>14</v>
      </c>
      <c r="B22" s="179"/>
      <c r="C22" s="179"/>
      <c r="D22" s="179"/>
      <c r="E22" s="171" t="s">
        <v>73</v>
      </c>
      <c r="F22" s="171"/>
      <c r="G22" s="171"/>
      <c r="H22" s="171"/>
      <c r="I22" s="171"/>
      <c r="J22" s="171"/>
      <c r="K22" s="173" t="s">
        <v>204</v>
      </c>
      <c r="L22" s="173" t="s">
        <v>205</v>
      </c>
      <c r="M22" s="173" t="s">
        <v>206</v>
      </c>
      <c r="N22" s="174" t="s">
        <v>77</v>
      </c>
      <c r="O22" s="174" t="s">
        <v>96</v>
      </c>
      <c r="P22" s="174" t="s">
        <v>77</v>
      </c>
      <c r="Q22" s="174" t="s">
        <v>78</v>
      </c>
      <c r="R22" s="174" t="str">
        <f t="shared" si="8"/>
        <v>主要Major</v>
      </c>
      <c r="S22" s="175" t="s">
        <v>78</v>
      </c>
      <c r="T22" s="175" t="s">
        <v>207</v>
      </c>
      <c r="U22" s="175" t="s">
        <v>208</v>
      </c>
      <c r="V22" s="172" t="s">
        <v>209</v>
      </c>
      <c r="W22" s="171" t="s">
        <v>111</v>
      </c>
      <c r="X22" s="176">
        <f t="shared" si="9"/>
        <v>1</v>
      </c>
      <c r="Y22" s="171" t="s">
        <v>83</v>
      </c>
      <c r="Z22" s="176">
        <f t="shared" si="10"/>
        <v>6</v>
      </c>
      <c r="AA22" s="171" t="s">
        <v>84</v>
      </c>
      <c r="AB22" s="176">
        <f t="shared" si="11"/>
        <v>3</v>
      </c>
      <c r="AC22" s="171" t="s">
        <v>85</v>
      </c>
      <c r="AD22" s="176">
        <f t="shared" si="12"/>
        <v>4</v>
      </c>
      <c r="AE22" s="171" t="s">
        <v>210</v>
      </c>
      <c r="AF22" s="176" cm="1">
        <f t="array" ref="AF22">IF(OR(AE22="/",AE22=""),"/",IF(ISNUMBER(SEARCH("普通",AE22)),0,IF(ISNUMBER(SEARCH("专用",AE22)),4,IF(ISNUMBER(SEARCH("定制",AE22)),7,IF(ISNUMBER(SEARCH("多个定制",AE22)),9,””)))))</f>
        <v>0</v>
      </c>
      <c r="AG22" s="176">
        <f t="shared" si="13"/>
        <v>14</v>
      </c>
      <c r="AH22" s="176" t="str">
        <f t="shared" si="14"/>
        <v>中Medium</v>
      </c>
      <c r="AI22" s="176" t="s">
        <v>87</v>
      </c>
      <c r="AJ22" s="176" t="str">
        <f t="shared" si="7"/>
        <v>降低
Reucing</v>
      </c>
      <c r="AK22" s="171" t="s">
        <v>211</v>
      </c>
      <c r="AL22" s="177" t="s">
        <v>212</v>
      </c>
      <c r="AM22" s="180" t="s">
        <v>213</v>
      </c>
      <c r="AN22" s="178" t="s">
        <v>214</v>
      </c>
      <c r="AO22" s="178" t="s">
        <v>215</v>
      </c>
    </row>
    <row r="23" s="116" customFormat="1" ht="20" customHeight="1" spans="1:41">
      <c r="A23" s="171">
        <v>15</v>
      </c>
      <c r="B23" s="179"/>
      <c r="C23" s="179"/>
      <c r="D23" s="179"/>
      <c r="E23" s="171" t="s">
        <v>73</v>
      </c>
      <c r="F23" s="171"/>
      <c r="G23" s="171"/>
      <c r="H23" s="171"/>
      <c r="I23" s="171"/>
      <c r="J23" s="171"/>
      <c r="K23" s="173" t="s">
        <v>216</v>
      </c>
      <c r="L23" s="173" t="s">
        <v>217</v>
      </c>
      <c r="M23" s="173" t="s">
        <v>218</v>
      </c>
      <c r="N23" s="174" t="s">
        <v>77</v>
      </c>
      <c r="O23" s="174" t="s">
        <v>96</v>
      </c>
      <c r="P23" s="174" t="s">
        <v>78</v>
      </c>
      <c r="Q23" s="174" t="s">
        <v>78</v>
      </c>
      <c r="R23" s="174" t="str">
        <f t="shared" si="8"/>
        <v>主要Major</v>
      </c>
      <c r="S23" s="175" t="s">
        <v>78</v>
      </c>
      <c r="T23" s="175" t="s">
        <v>219</v>
      </c>
      <c r="U23" s="175" t="s">
        <v>220</v>
      </c>
      <c r="V23" s="172" t="s">
        <v>221</v>
      </c>
      <c r="W23" s="171" t="s">
        <v>82</v>
      </c>
      <c r="X23" s="176">
        <f t="shared" si="9"/>
        <v>0</v>
      </c>
      <c r="Y23" s="171" t="s">
        <v>177</v>
      </c>
      <c r="Z23" s="176">
        <f t="shared" si="10"/>
        <v>3</v>
      </c>
      <c r="AA23" s="171" t="s">
        <v>153</v>
      </c>
      <c r="AB23" s="176">
        <f t="shared" si="11"/>
        <v>0</v>
      </c>
      <c r="AC23" s="171" t="s">
        <v>191</v>
      </c>
      <c r="AD23" s="176">
        <f t="shared" si="12"/>
        <v>1</v>
      </c>
      <c r="AE23" s="171" t="s">
        <v>210</v>
      </c>
      <c r="AF23" s="176" cm="1">
        <f t="array" ref="AF23">IF(OR(AE23="/",AE23=""),"/",IF(ISNUMBER(SEARCH("普通",AE23)),0,IF(ISNUMBER(SEARCH("专用",AE23)),4,IF(ISNUMBER(SEARCH("定制",AE23)),7,IF(ISNUMBER(SEARCH("多个定制",AE23)),9,””)))))</f>
        <v>0</v>
      </c>
      <c r="AG23" s="176">
        <f t="shared" si="13"/>
        <v>4</v>
      </c>
      <c r="AH23" s="176" t="str">
        <f t="shared" si="14"/>
        <v>高High</v>
      </c>
      <c r="AI23" s="176" t="s">
        <v>112</v>
      </c>
      <c r="AJ23" s="176" t="str">
        <f t="shared" si="7"/>
        <v>消除
Avoiding</v>
      </c>
      <c r="AK23" s="171" t="s">
        <v>222</v>
      </c>
      <c r="AL23" s="177" t="s">
        <v>223</v>
      </c>
      <c r="AM23" s="180" t="s">
        <v>224</v>
      </c>
      <c r="AN23" s="178" t="s">
        <v>225</v>
      </c>
      <c r="AO23" s="178" t="s">
        <v>226</v>
      </c>
    </row>
    <row r="24" s="116" customFormat="1" ht="20" customHeight="1" spans="1:41">
      <c r="A24" s="171">
        <v>16</v>
      </c>
      <c r="B24" s="179"/>
      <c r="C24" s="179"/>
      <c r="D24" s="179"/>
      <c r="E24" s="171" t="s">
        <v>73</v>
      </c>
      <c r="F24" s="171"/>
      <c r="G24" s="171"/>
      <c r="H24" s="171"/>
      <c r="I24" s="171"/>
      <c r="J24" s="171"/>
      <c r="K24" s="173" t="s">
        <v>227</v>
      </c>
      <c r="L24" s="173" t="s">
        <v>228</v>
      </c>
      <c r="M24" s="173" t="s">
        <v>106</v>
      </c>
      <c r="N24" s="174" t="s">
        <v>77</v>
      </c>
      <c r="O24" s="174" t="s">
        <v>77</v>
      </c>
      <c r="P24" s="174" t="s">
        <v>96</v>
      </c>
      <c r="Q24" s="174" t="s">
        <v>78</v>
      </c>
      <c r="R24" s="174" t="str">
        <f t="shared" si="8"/>
        <v>主要Major</v>
      </c>
      <c r="S24" s="175" t="s">
        <v>78</v>
      </c>
      <c r="T24" s="175" t="s">
        <v>229</v>
      </c>
      <c r="U24" s="175" t="s">
        <v>109</v>
      </c>
      <c r="V24" s="172" t="s">
        <v>230</v>
      </c>
      <c r="W24" s="171" t="s">
        <v>82</v>
      </c>
      <c r="X24" s="176">
        <f t="shared" si="9"/>
        <v>0</v>
      </c>
      <c r="Y24" s="171" t="s">
        <v>83</v>
      </c>
      <c r="Z24" s="176">
        <f t="shared" si="10"/>
        <v>6</v>
      </c>
      <c r="AA24" s="171" t="s">
        <v>84</v>
      </c>
      <c r="AB24" s="176">
        <f t="shared" si="11"/>
        <v>3</v>
      </c>
      <c r="AC24" s="171" t="s">
        <v>85</v>
      </c>
      <c r="AD24" s="176">
        <f t="shared" si="12"/>
        <v>4</v>
      </c>
      <c r="AE24" s="171" t="s">
        <v>86</v>
      </c>
      <c r="AF24" s="176" cm="1">
        <f t="array" ref="AF24">IF(OR(AE24="/",AE24=""),"/",IF(ISNUMBER(SEARCH("普通",AE24)),0,IF(ISNUMBER(SEARCH("专用",AE24)),4,IF(ISNUMBER(SEARCH("定制",AE24)),7,IF(ISNUMBER(SEARCH("多个定制",AE24)),9,””)))))</f>
        <v>4</v>
      </c>
      <c r="AG24" s="176">
        <f t="shared" si="13"/>
        <v>17</v>
      </c>
      <c r="AH24" s="176" t="str">
        <f t="shared" si="14"/>
        <v>中Medium</v>
      </c>
      <c r="AI24" s="176" t="s">
        <v>87</v>
      </c>
      <c r="AJ24" s="176" t="str">
        <f t="shared" si="7"/>
        <v>降低
Reucing</v>
      </c>
      <c r="AK24" s="171" t="s">
        <v>231</v>
      </c>
      <c r="AL24" s="177" t="s">
        <v>114</v>
      </c>
      <c r="AM24" s="180" t="s">
        <v>115</v>
      </c>
      <c r="AN24" s="178" t="s">
        <v>116</v>
      </c>
      <c r="AO24" s="178" t="s">
        <v>117</v>
      </c>
    </row>
    <row r="25" s="116" customFormat="1" ht="20" customHeight="1" spans="1:41">
      <c r="A25" s="171">
        <v>17</v>
      </c>
      <c r="B25" s="179"/>
      <c r="C25" s="179"/>
      <c r="D25" s="179"/>
      <c r="E25" s="171" t="s">
        <v>73</v>
      </c>
      <c r="F25" s="171"/>
      <c r="G25" s="171"/>
      <c r="H25" s="171"/>
      <c r="I25" s="171"/>
      <c r="J25" s="171"/>
      <c r="K25" s="173" t="s">
        <v>232</v>
      </c>
      <c r="L25" s="173" t="s">
        <v>233</v>
      </c>
      <c r="M25" s="173" t="s">
        <v>234</v>
      </c>
      <c r="N25" s="174" t="s">
        <v>77</v>
      </c>
      <c r="O25" s="174" t="s">
        <v>77</v>
      </c>
      <c r="P25" s="174" t="s">
        <v>96</v>
      </c>
      <c r="Q25" s="174" t="s">
        <v>96</v>
      </c>
      <c r="R25" s="174" t="str">
        <f t="shared" si="8"/>
        <v>中等Medium</v>
      </c>
      <c r="S25" s="175" t="s">
        <v>96</v>
      </c>
      <c r="T25" s="175" t="s">
        <v>235</v>
      </c>
      <c r="U25" s="175" t="s">
        <v>236</v>
      </c>
      <c r="V25" s="172" t="s">
        <v>237</v>
      </c>
      <c r="W25" s="171" t="s">
        <v>111</v>
      </c>
      <c r="X25" s="176">
        <f t="shared" si="9"/>
        <v>1</v>
      </c>
      <c r="Y25" s="171" t="s">
        <v>83</v>
      </c>
      <c r="Z25" s="176">
        <f t="shared" si="10"/>
        <v>6</v>
      </c>
      <c r="AA25" s="171" t="s">
        <v>153</v>
      </c>
      <c r="AB25" s="176">
        <f t="shared" si="11"/>
        <v>0</v>
      </c>
      <c r="AC25" s="171" t="s">
        <v>85</v>
      </c>
      <c r="AD25" s="176">
        <f t="shared" si="12"/>
        <v>4</v>
      </c>
      <c r="AE25" s="171" t="s">
        <v>143</v>
      </c>
      <c r="AF25" s="176" cm="1">
        <f t="array" ref="AF25">IF(OR(AE25="/",AE25=""),"/",IF(ISNUMBER(SEARCH("普通",AE25)),0,IF(ISNUMBER(SEARCH("专用",AE25)),4,IF(ISNUMBER(SEARCH("定制",AE25)),7,IF(ISNUMBER(SEARCH("多个定制",AE25)),9,””)))))</f>
        <v>7</v>
      </c>
      <c r="AG25" s="176">
        <f t="shared" si="13"/>
        <v>18</v>
      </c>
      <c r="AH25" s="176" t="str">
        <f t="shared" si="14"/>
        <v>中Medium</v>
      </c>
      <c r="AI25" s="176" t="s">
        <v>144</v>
      </c>
      <c r="AJ25" s="176" t="str">
        <f t="shared" si="7"/>
        <v>保留
Retaining</v>
      </c>
      <c r="AK25" s="171" t="s">
        <v>145</v>
      </c>
      <c r="AL25" s="177" t="s">
        <v>145</v>
      </c>
      <c r="AM25" s="171" t="s">
        <v>145</v>
      </c>
      <c r="AN25" s="178" t="s">
        <v>238</v>
      </c>
      <c r="AO25" s="178" t="s">
        <v>239</v>
      </c>
    </row>
    <row r="26" s="116" customFormat="1" ht="20" customHeight="1" spans="1:41">
      <c r="A26" s="171">
        <v>18</v>
      </c>
      <c r="B26" s="179"/>
      <c r="C26" s="179"/>
      <c r="D26" s="179"/>
      <c r="E26" s="171"/>
      <c r="F26" s="171" t="s">
        <v>73</v>
      </c>
      <c r="G26" s="171"/>
      <c r="H26" s="171"/>
      <c r="I26" s="171"/>
      <c r="J26" s="171"/>
      <c r="K26" s="173" t="s">
        <v>240</v>
      </c>
      <c r="L26" s="173" t="s">
        <v>241</v>
      </c>
      <c r="M26" s="173" t="s">
        <v>120</v>
      </c>
      <c r="N26" s="174" t="s">
        <v>77</v>
      </c>
      <c r="O26" s="174" t="s">
        <v>77</v>
      </c>
      <c r="P26" s="174" t="s">
        <v>78</v>
      </c>
      <c r="Q26" s="174" t="s">
        <v>77</v>
      </c>
      <c r="R26" s="174" t="str">
        <f t="shared" si="8"/>
        <v>主要Major</v>
      </c>
      <c r="S26" s="175" t="s">
        <v>78</v>
      </c>
      <c r="T26" s="175" t="s">
        <v>242</v>
      </c>
      <c r="U26" s="175" t="s">
        <v>243</v>
      </c>
      <c r="V26" s="172" t="s">
        <v>189</v>
      </c>
      <c r="W26" s="171" t="s">
        <v>82</v>
      </c>
      <c r="X26" s="176">
        <f t="shared" si="9"/>
        <v>0</v>
      </c>
      <c r="Y26" s="171" t="s">
        <v>83</v>
      </c>
      <c r="Z26" s="176">
        <f t="shared" si="10"/>
        <v>6</v>
      </c>
      <c r="AA26" s="171" t="s">
        <v>84</v>
      </c>
      <c r="AB26" s="176">
        <f t="shared" si="11"/>
        <v>3</v>
      </c>
      <c r="AC26" s="171" t="s">
        <v>85</v>
      </c>
      <c r="AD26" s="176">
        <f t="shared" si="12"/>
        <v>4</v>
      </c>
      <c r="AE26" s="171" t="s">
        <v>86</v>
      </c>
      <c r="AF26" s="176" cm="1">
        <f t="array" ref="AF26">IF(OR(AE26="/",AE26=""),"/",IF(ISNUMBER(SEARCH("普通",AE26)),0,IF(ISNUMBER(SEARCH("专用",AE26)),4,IF(ISNUMBER(SEARCH("定制",AE26)),7,IF(ISNUMBER(SEARCH("多个定制",AE26)),9,””)))))</f>
        <v>4</v>
      </c>
      <c r="AG26" s="176">
        <f t="shared" si="13"/>
        <v>17</v>
      </c>
      <c r="AH26" s="176" t="str">
        <f t="shared" si="14"/>
        <v>中Medium</v>
      </c>
      <c r="AI26" s="176" t="s">
        <v>87</v>
      </c>
      <c r="AJ26" s="176" t="str">
        <f t="shared" si="7"/>
        <v>降低
Reucing</v>
      </c>
      <c r="AK26" s="171" t="s">
        <v>244</v>
      </c>
      <c r="AL26" s="177" t="s">
        <v>245</v>
      </c>
      <c r="AM26" s="180" t="s">
        <v>125</v>
      </c>
      <c r="AN26" s="178" t="s">
        <v>126</v>
      </c>
      <c r="AO26" s="178" t="s">
        <v>127</v>
      </c>
    </row>
    <row r="27" s="116" customFormat="1" ht="20" customHeight="1" spans="1:41">
      <c r="A27" s="171">
        <v>19</v>
      </c>
      <c r="B27" s="179"/>
      <c r="C27" s="179"/>
      <c r="D27" s="179"/>
      <c r="E27" s="171"/>
      <c r="F27" s="171" t="s">
        <v>73</v>
      </c>
      <c r="G27" s="171"/>
      <c r="H27" s="171"/>
      <c r="I27" s="171"/>
      <c r="J27" s="171"/>
      <c r="K27" s="173" t="s">
        <v>246</v>
      </c>
      <c r="L27" s="173" t="s">
        <v>247</v>
      </c>
      <c r="M27" s="173" t="s">
        <v>120</v>
      </c>
      <c r="N27" s="174" t="s">
        <v>77</v>
      </c>
      <c r="O27" s="174" t="s">
        <v>77</v>
      </c>
      <c r="P27" s="174" t="s">
        <v>78</v>
      </c>
      <c r="Q27" s="174" t="s">
        <v>77</v>
      </c>
      <c r="R27" s="174" t="str">
        <f t="shared" si="8"/>
        <v>主要Major</v>
      </c>
      <c r="S27" s="175" t="s">
        <v>78</v>
      </c>
      <c r="T27" s="175" t="s">
        <v>248</v>
      </c>
      <c r="U27" s="175" t="s">
        <v>249</v>
      </c>
      <c r="V27" s="172" t="s">
        <v>189</v>
      </c>
      <c r="W27" s="171" t="s">
        <v>111</v>
      </c>
      <c r="X27" s="176">
        <f t="shared" si="9"/>
        <v>1</v>
      </c>
      <c r="Y27" s="171" t="s">
        <v>83</v>
      </c>
      <c r="Z27" s="176">
        <f t="shared" si="10"/>
        <v>6</v>
      </c>
      <c r="AA27" s="171" t="s">
        <v>84</v>
      </c>
      <c r="AB27" s="176">
        <f t="shared" si="11"/>
        <v>3</v>
      </c>
      <c r="AC27" s="171" t="s">
        <v>85</v>
      </c>
      <c r="AD27" s="176">
        <f t="shared" si="12"/>
        <v>4</v>
      </c>
      <c r="AE27" s="171" t="s">
        <v>86</v>
      </c>
      <c r="AF27" s="176" cm="1">
        <f t="array" ref="AF27">IF(OR(AE27="/",AE27=""),"/",IF(ISNUMBER(SEARCH("普通",AE27)),0,IF(ISNUMBER(SEARCH("专用",AE27)),4,IF(ISNUMBER(SEARCH("定制",AE27)),7,IF(ISNUMBER(SEARCH("多个定制",AE27)),9,””)))))</f>
        <v>4</v>
      </c>
      <c r="AG27" s="176">
        <f t="shared" si="13"/>
        <v>18</v>
      </c>
      <c r="AH27" s="176" t="str">
        <f t="shared" si="14"/>
        <v>中Medium</v>
      </c>
      <c r="AI27" s="176" t="s">
        <v>87</v>
      </c>
      <c r="AJ27" s="176" t="str">
        <f t="shared" si="7"/>
        <v>降低
Reucing</v>
      </c>
      <c r="AK27" s="171" t="s">
        <v>250</v>
      </c>
      <c r="AL27" s="177" t="s">
        <v>133</v>
      </c>
      <c r="AM27" s="180" t="s">
        <v>134</v>
      </c>
      <c r="AN27" s="178" t="s">
        <v>135</v>
      </c>
      <c r="AO27" s="178" t="s">
        <v>136</v>
      </c>
    </row>
    <row r="28" s="116" customFormat="1" ht="20" customHeight="1" spans="1:41">
      <c r="A28" s="171">
        <v>20</v>
      </c>
      <c r="B28" s="179"/>
      <c r="C28" s="179"/>
      <c r="D28" s="179"/>
      <c r="E28" s="171"/>
      <c r="F28" s="171" t="s">
        <v>73</v>
      </c>
      <c r="G28" s="171"/>
      <c r="H28" s="171"/>
      <c r="I28" s="171"/>
      <c r="J28" s="171"/>
      <c r="K28" s="173" t="s">
        <v>251</v>
      </c>
      <c r="L28" s="173" t="s">
        <v>252</v>
      </c>
      <c r="M28" s="173" t="s">
        <v>253</v>
      </c>
      <c r="N28" s="174" t="s">
        <v>77</v>
      </c>
      <c r="O28" s="174" t="s">
        <v>77</v>
      </c>
      <c r="P28" s="174" t="s">
        <v>78</v>
      </c>
      <c r="Q28" s="174" t="s">
        <v>96</v>
      </c>
      <c r="R28" s="174" t="str">
        <f t="shared" si="8"/>
        <v>主要Major</v>
      </c>
      <c r="S28" s="175" t="s">
        <v>78</v>
      </c>
      <c r="T28" s="175" t="s">
        <v>254</v>
      </c>
      <c r="U28" s="175" t="s">
        <v>255</v>
      </c>
      <c r="V28" s="172" t="s">
        <v>256</v>
      </c>
      <c r="W28" s="171" t="s">
        <v>111</v>
      </c>
      <c r="X28" s="176">
        <f t="shared" si="9"/>
        <v>1</v>
      </c>
      <c r="Y28" s="171" t="s">
        <v>177</v>
      </c>
      <c r="Z28" s="176">
        <f t="shared" si="10"/>
        <v>3</v>
      </c>
      <c r="AA28" s="171" t="s">
        <v>190</v>
      </c>
      <c r="AB28" s="176">
        <f t="shared" si="11"/>
        <v>7</v>
      </c>
      <c r="AC28" s="171" t="s">
        <v>85</v>
      </c>
      <c r="AD28" s="176">
        <f t="shared" si="12"/>
        <v>4</v>
      </c>
      <c r="AE28" s="171" t="s">
        <v>143</v>
      </c>
      <c r="AF28" s="176" cm="1">
        <f t="array" ref="AF28">IF(OR(AE28="/",AE28=""),"/",IF(ISNUMBER(SEARCH("普通",AE28)),0,IF(ISNUMBER(SEARCH("专用",AE28)),4,IF(ISNUMBER(SEARCH("定制",AE28)),7,IF(ISNUMBER(SEARCH("多个定制",AE28)),9,””)))))</f>
        <v>7</v>
      </c>
      <c r="AG28" s="176">
        <f t="shared" si="13"/>
        <v>22</v>
      </c>
      <c r="AH28" s="176" t="str">
        <f t="shared" si="14"/>
        <v>低Low</v>
      </c>
      <c r="AI28" s="176" t="s">
        <v>87</v>
      </c>
      <c r="AJ28" s="176" t="str">
        <f t="shared" si="7"/>
        <v>降低
Reucing</v>
      </c>
      <c r="AK28" s="171" t="s">
        <v>257</v>
      </c>
      <c r="AL28" s="177" t="s">
        <v>258</v>
      </c>
      <c r="AM28" s="180" t="s">
        <v>259</v>
      </c>
      <c r="AN28" s="178" t="s">
        <v>260</v>
      </c>
      <c r="AO28" s="178" t="s">
        <v>261</v>
      </c>
    </row>
    <row r="29" s="116" customFormat="1" ht="20" customHeight="1" spans="1:41">
      <c r="A29" s="171">
        <v>21</v>
      </c>
      <c r="B29" s="179"/>
      <c r="C29" s="179"/>
      <c r="D29" s="179"/>
      <c r="E29" s="171"/>
      <c r="F29" s="171" t="s">
        <v>73</v>
      </c>
      <c r="G29" s="171"/>
      <c r="H29" s="171"/>
      <c r="I29" s="171"/>
      <c r="J29" s="171"/>
      <c r="K29" s="173" t="s">
        <v>262</v>
      </c>
      <c r="L29" s="173" t="s">
        <v>263</v>
      </c>
      <c r="M29" s="173" t="s">
        <v>264</v>
      </c>
      <c r="N29" s="174" t="s">
        <v>77</v>
      </c>
      <c r="O29" s="174" t="s">
        <v>77</v>
      </c>
      <c r="P29" s="174" t="s">
        <v>78</v>
      </c>
      <c r="Q29" s="174" t="s">
        <v>96</v>
      </c>
      <c r="R29" s="174" t="str">
        <f t="shared" si="8"/>
        <v>主要Major</v>
      </c>
      <c r="S29" s="175" t="s">
        <v>78</v>
      </c>
      <c r="T29" s="175" t="s">
        <v>265</v>
      </c>
      <c r="U29" s="175" t="s">
        <v>266</v>
      </c>
      <c r="V29" s="172" t="s">
        <v>267</v>
      </c>
      <c r="W29" s="171" t="s">
        <v>111</v>
      </c>
      <c r="X29" s="176">
        <f t="shared" si="9"/>
        <v>1</v>
      </c>
      <c r="Y29" s="171" t="s">
        <v>83</v>
      </c>
      <c r="Z29" s="176">
        <f t="shared" si="10"/>
        <v>6</v>
      </c>
      <c r="AA29" s="171" t="s">
        <v>190</v>
      </c>
      <c r="AB29" s="176">
        <f t="shared" si="11"/>
        <v>7</v>
      </c>
      <c r="AC29" s="171" t="s">
        <v>85</v>
      </c>
      <c r="AD29" s="176">
        <f t="shared" si="12"/>
        <v>4</v>
      </c>
      <c r="AE29" s="171" t="s">
        <v>86</v>
      </c>
      <c r="AF29" s="176" cm="1">
        <f t="array" ref="AF29">IF(OR(AE29="/",AE29=""),"/",IF(ISNUMBER(SEARCH("普通",AE29)),0,IF(ISNUMBER(SEARCH("专用",AE29)),4,IF(ISNUMBER(SEARCH("定制",AE29)),7,IF(ISNUMBER(SEARCH("多个定制",AE29)),9,””)))))</f>
        <v>4</v>
      </c>
      <c r="AG29" s="176">
        <f t="shared" si="13"/>
        <v>22</v>
      </c>
      <c r="AH29" s="176" t="str">
        <f t="shared" si="14"/>
        <v>低Low</v>
      </c>
      <c r="AI29" s="176" t="s">
        <v>87</v>
      </c>
      <c r="AJ29" s="176" t="str">
        <f t="shared" si="7"/>
        <v>降低
Reucing</v>
      </c>
      <c r="AK29" s="171" t="s">
        <v>268</v>
      </c>
      <c r="AL29" s="177" t="s">
        <v>269</v>
      </c>
      <c r="AM29" s="180" t="s">
        <v>213</v>
      </c>
      <c r="AN29" s="178" t="s">
        <v>270</v>
      </c>
      <c r="AO29" s="178" t="s">
        <v>271</v>
      </c>
    </row>
    <row r="30" s="116" customFormat="1" ht="20" customHeight="1" spans="1:41">
      <c r="A30" s="171">
        <v>22</v>
      </c>
      <c r="B30" s="179"/>
      <c r="C30" s="179"/>
      <c r="D30" s="179"/>
      <c r="E30" s="171"/>
      <c r="F30" s="171"/>
      <c r="G30" s="171" t="s">
        <v>73</v>
      </c>
      <c r="H30" s="171"/>
      <c r="I30" s="171"/>
      <c r="J30" s="171"/>
      <c r="K30" s="173" t="s">
        <v>272</v>
      </c>
      <c r="L30" s="173" t="s">
        <v>273</v>
      </c>
      <c r="M30" s="173" t="s">
        <v>139</v>
      </c>
      <c r="N30" s="174" t="s">
        <v>77</v>
      </c>
      <c r="O30" s="174" t="s">
        <v>77</v>
      </c>
      <c r="P30" s="174" t="s">
        <v>78</v>
      </c>
      <c r="Q30" s="174" t="s">
        <v>77</v>
      </c>
      <c r="R30" s="174" t="str">
        <f t="shared" si="8"/>
        <v>主要Major</v>
      </c>
      <c r="S30" s="175" t="s">
        <v>78</v>
      </c>
      <c r="T30" s="175" t="s">
        <v>274</v>
      </c>
      <c r="U30" s="175" t="s">
        <v>141</v>
      </c>
      <c r="V30" s="172" t="s">
        <v>189</v>
      </c>
      <c r="W30" s="171" t="s">
        <v>142</v>
      </c>
      <c r="X30" s="176">
        <f t="shared" si="9"/>
        <v>4</v>
      </c>
      <c r="Y30" s="171" t="s">
        <v>83</v>
      </c>
      <c r="Z30" s="176">
        <f t="shared" si="10"/>
        <v>6</v>
      </c>
      <c r="AA30" s="171" t="s">
        <v>84</v>
      </c>
      <c r="AB30" s="176">
        <f t="shared" si="11"/>
        <v>3</v>
      </c>
      <c r="AC30" s="171" t="s">
        <v>85</v>
      </c>
      <c r="AD30" s="176">
        <f t="shared" si="12"/>
        <v>4</v>
      </c>
      <c r="AE30" s="171" t="s">
        <v>143</v>
      </c>
      <c r="AF30" s="176" cm="1">
        <f t="array" ref="AF30">IF(OR(AE30="/",AE30=""),"/",IF(ISNUMBER(SEARCH("普通",AE30)),0,IF(ISNUMBER(SEARCH("专用",AE30)),4,IF(ISNUMBER(SEARCH("定制",AE30)),7,IF(ISNUMBER(SEARCH("多个定制",AE30)),9,””)))))</f>
        <v>7</v>
      </c>
      <c r="AG30" s="176">
        <f t="shared" si="13"/>
        <v>24</v>
      </c>
      <c r="AH30" s="176" t="str">
        <f t="shared" si="14"/>
        <v>低Low</v>
      </c>
      <c r="AI30" s="176" t="s">
        <v>144</v>
      </c>
      <c r="AJ30" s="176" t="str">
        <f t="shared" si="7"/>
        <v>保留
Retaining</v>
      </c>
      <c r="AK30" s="171" t="s">
        <v>145</v>
      </c>
      <c r="AL30" s="177" t="s">
        <v>145</v>
      </c>
      <c r="AM30" s="171" t="s">
        <v>145</v>
      </c>
      <c r="AN30" s="178" t="s">
        <v>275</v>
      </c>
      <c r="AO30" s="178" t="s">
        <v>276</v>
      </c>
    </row>
    <row r="31" s="116" customFormat="1" ht="20" customHeight="1" spans="1:41">
      <c r="A31" s="171">
        <v>23</v>
      </c>
      <c r="B31" s="179"/>
      <c r="C31" s="179"/>
      <c r="D31" s="179"/>
      <c r="E31" s="171"/>
      <c r="F31" s="171"/>
      <c r="G31" s="171" t="s">
        <v>73</v>
      </c>
      <c r="H31" s="171"/>
      <c r="I31" s="171"/>
      <c r="J31" s="171"/>
      <c r="K31" s="173" t="s">
        <v>277</v>
      </c>
      <c r="L31" s="173" t="s">
        <v>278</v>
      </c>
      <c r="M31" s="173" t="s">
        <v>150</v>
      </c>
      <c r="N31" s="174" t="s">
        <v>77</v>
      </c>
      <c r="O31" s="174" t="s">
        <v>77</v>
      </c>
      <c r="P31" s="174" t="s">
        <v>96</v>
      </c>
      <c r="Q31" s="174" t="s">
        <v>77</v>
      </c>
      <c r="R31" s="174" t="str">
        <f t="shared" si="8"/>
        <v>中等Medium</v>
      </c>
      <c r="S31" s="175" t="s">
        <v>96</v>
      </c>
      <c r="T31" s="175" t="s">
        <v>279</v>
      </c>
      <c r="U31" s="175" t="s">
        <v>152</v>
      </c>
      <c r="V31" s="172" t="s">
        <v>189</v>
      </c>
      <c r="W31" s="171" t="s">
        <v>82</v>
      </c>
      <c r="X31" s="176">
        <f t="shared" si="9"/>
        <v>0</v>
      </c>
      <c r="Y31" s="171" t="s">
        <v>83</v>
      </c>
      <c r="Z31" s="176">
        <f t="shared" si="10"/>
        <v>6</v>
      </c>
      <c r="AA31" s="171" t="s">
        <v>153</v>
      </c>
      <c r="AB31" s="176">
        <f t="shared" si="11"/>
        <v>0</v>
      </c>
      <c r="AC31" s="171" t="s">
        <v>85</v>
      </c>
      <c r="AD31" s="176">
        <f t="shared" si="12"/>
        <v>4</v>
      </c>
      <c r="AE31" s="171" t="s">
        <v>143</v>
      </c>
      <c r="AF31" s="176" cm="1">
        <f t="array" ref="AF31">IF(OR(AE31="/",AE31=""),"/",IF(ISNUMBER(SEARCH("普通",AE31)),0,IF(ISNUMBER(SEARCH("专用",AE31)),4,IF(ISNUMBER(SEARCH("定制",AE31)),7,IF(ISNUMBER(SEARCH("多个定制",AE31)),9,””)))))</f>
        <v>7</v>
      </c>
      <c r="AG31" s="176">
        <f t="shared" si="13"/>
        <v>17</v>
      </c>
      <c r="AH31" s="176" t="str">
        <f t="shared" si="14"/>
        <v>中Medium</v>
      </c>
      <c r="AI31" s="176" t="s">
        <v>144</v>
      </c>
      <c r="AJ31" s="176" t="str">
        <f t="shared" si="7"/>
        <v>保留
Retaining</v>
      </c>
      <c r="AK31" s="171" t="s">
        <v>145</v>
      </c>
      <c r="AL31" s="177" t="s">
        <v>145</v>
      </c>
      <c r="AM31" s="171" t="s">
        <v>145</v>
      </c>
      <c r="AN31" s="178" t="s">
        <v>280</v>
      </c>
      <c r="AO31" s="178" t="s">
        <v>281</v>
      </c>
    </row>
    <row r="32" s="116" customFormat="1" ht="20" customHeight="1" spans="1:41">
      <c r="A32" s="171">
        <v>24</v>
      </c>
      <c r="B32" s="179"/>
      <c r="C32" s="179"/>
      <c r="D32" s="179"/>
      <c r="E32" s="171"/>
      <c r="F32" s="171"/>
      <c r="G32" s="171" t="s">
        <v>73</v>
      </c>
      <c r="H32" s="171"/>
      <c r="I32" s="171"/>
      <c r="J32" s="171"/>
      <c r="K32" s="173" t="s">
        <v>282</v>
      </c>
      <c r="L32" s="173" t="s">
        <v>283</v>
      </c>
      <c r="M32" s="173" t="s">
        <v>284</v>
      </c>
      <c r="N32" s="174" t="s">
        <v>77</v>
      </c>
      <c r="O32" s="174" t="s">
        <v>96</v>
      </c>
      <c r="P32" s="174" t="s">
        <v>78</v>
      </c>
      <c r="Q32" s="174" t="s">
        <v>78</v>
      </c>
      <c r="R32" s="174" t="str">
        <f t="shared" si="8"/>
        <v>主要Major</v>
      </c>
      <c r="S32" s="175" t="s">
        <v>78</v>
      </c>
      <c r="T32" s="175" t="s">
        <v>285</v>
      </c>
      <c r="U32" s="175" t="s">
        <v>286</v>
      </c>
      <c r="V32" s="172" t="s">
        <v>287</v>
      </c>
      <c r="W32" s="171" t="s">
        <v>82</v>
      </c>
      <c r="X32" s="176">
        <f t="shared" si="9"/>
        <v>0</v>
      </c>
      <c r="Y32" s="171" t="s">
        <v>177</v>
      </c>
      <c r="Z32" s="176">
        <f t="shared" si="10"/>
        <v>3</v>
      </c>
      <c r="AA32" s="171" t="s">
        <v>153</v>
      </c>
      <c r="AB32" s="176">
        <f t="shared" si="11"/>
        <v>0</v>
      </c>
      <c r="AC32" s="171" t="s">
        <v>85</v>
      </c>
      <c r="AD32" s="176">
        <f t="shared" si="12"/>
        <v>4</v>
      </c>
      <c r="AE32" s="171" t="s">
        <v>210</v>
      </c>
      <c r="AF32" s="176" cm="1">
        <f t="array" ref="AF32">IF(OR(AE32="/",AE32=""),"/",IF(ISNUMBER(SEARCH("普通",AE32)),0,IF(ISNUMBER(SEARCH("专用",AE32)),4,IF(ISNUMBER(SEARCH("定制",AE32)),7,IF(ISNUMBER(SEARCH("多个定制",AE32)),9,””)))))</f>
        <v>0</v>
      </c>
      <c r="AG32" s="176">
        <f t="shared" si="13"/>
        <v>7</v>
      </c>
      <c r="AH32" s="176" t="str">
        <f t="shared" si="14"/>
        <v>高High</v>
      </c>
      <c r="AI32" s="176" t="s">
        <v>112</v>
      </c>
      <c r="AJ32" s="176" t="str">
        <f t="shared" si="7"/>
        <v>消除
Avoiding</v>
      </c>
      <c r="AK32" s="171" t="s">
        <v>288</v>
      </c>
      <c r="AL32" s="177" t="s">
        <v>289</v>
      </c>
      <c r="AM32" s="180" t="s">
        <v>290</v>
      </c>
      <c r="AN32" s="178" t="s">
        <v>291</v>
      </c>
      <c r="AO32" s="178" t="s">
        <v>292</v>
      </c>
    </row>
    <row r="33" s="116" customFormat="1" ht="20" customHeight="1" spans="1:41">
      <c r="A33" s="171">
        <v>25</v>
      </c>
      <c r="B33" s="179"/>
      <c r="C33" s="179"/>
      <c r="D33" s="179"/>
      <c r="E33" s="171"/>
      <c r="F33" s="171"/>
      <c r="G33" s="171" t="s">
        <v>73</v>
      </c>
      <c r="H33" s="171"/>
      <c r="I33" s="171"/>
      <c r="J33" s="171"/>
      <c r="K33" s="173" t="s">
        <v>293</v>
      </c>
      <c r="L33" s="173" t="s">
        <v>294</v>
      </c>
      <c r="M33" s="173" t="s">
        <v>295</v>
      </c>
      <c r="N33" s="174" t="s">
        <v>77</v>
      </c>
      <c r="O33" s="174" t="s">
        <v>77</v>
      </c>
      <c r="P33" s="174" t="s">
        <v>96</v>
      </c>
      <c r="Q33" s="174" t="s">
        <v>96</v>
      </c>
      <c r="R33" s="174" t="str">
        <f t="shared" si="8"/>
        <v>中等Medium</v>
      </c>
      <c r="S33" s="175" t="s">
        <v>96</v>
      </c>
      <c r="T33" s="175" t="s">
        <v>296</v>
      </c>
      <c r="U33" s="175" t="s">
        <v>297</v>
      </c>
      <c r="V33" s="172" t="s">
        <v>298</v>
      </c>
      <c r="W33" s="171" t="s">
        <v>82</v>
      </c>
      <c r="X33" s="176">
        <f t="shared" si="9"/>
        <v>0</v>
      </c>
      <c r="Y33" s="171" t="s">
        <v>83</v>
      </c>
      <c r="Z33" s="176">
        <f t="shared" si="10"/>
        <v>6</v>
      </c>
      <c r="AA33" s="171" t="s">
        <v>153</v>
      </c>
      <c r="AB33" s="176">
        <f t="shared" si="11"/>
        <v>0</v>
      </c>
      <c r="AC33" s="171" t="s">
        <v>191</v>
      </c>
      <c r="AD33" s="176">
        <f t="shared" si="12"/>
        <v>1</v>
      </c>
      <c r="AE33" s="171" t="s">
        <v>86</v>
      </c>
      <c r="AF33" s="176" cm="1">
        <f t="array" ref="AF33">IF(OR(AE33="/",AE33=""),"/",IF(ISNUMBER(SEARCH("普通",AE33)),0,IF(ISNUMBER(SEARCH("专用",AE33)),4,IF(ISNUMBER(SEARCH("定制",AE33)),7,IF(ISNUMBER(SEARCH("多个定制",AE33)),9,””)))))</f>
        <v>4</v>
      </c>
      <c r="AG33" s="176">
        <f t="shared" si="13"/>
        <v>11</v>
      </c>
      <c r="AH33" s="176" t="str">
        <f t="shared" si="14"/>
        <v>高High</v>
      </c>
      <c r="AI33" s="176" t="s">
        <v>87</v>
      </c>
      <c r="AJ33" s="176" t="str">
        <f t="shared" si="7"/>
        <v>降低
Reucing</v>
      </c>
      <c r="AK33" s="171" t="s">
        <v>299</v>
      </c>
      <c r="AL33" s="177" t="s">
        <v>300</v>
      </c>
      <c r="AM33" s="180" t="s">
        <v>259</v>
      </c>
      <c r="AN33" s="178" t="s">
        <v>301</v>
      </c>
      <c r="AO33" s="178" t="s">
        <v>302</v>
      </c>
    </row>
    <row r="34" s="116" customFormat="1" ht="20" customHeight="1" spans="1:41">
      <c r="A34" s="171">
        <v>26</v>
      </c>
      <c r="B34" s="179"/>
      <c r="C34" s="179"/>
      <c r="D34" s="179"/>
      <c r="E34" s="171"/>
      <c r="F34" s="171"/>
      <c r="G34" s="171" t="s">
        <v>73</v>
      </c>
      <c r="H34" s="171"/>
      <c r="I34" s="171"/>
      <c r="J34" s="171"/>
      <c r="K34" s="173" t="s">
        <v>303</v>
      </c>
      <c r="L34" s="173" t="s">
        <v>304</v>
      </c>
      <c r="M34" s="173" t="s">
        <v>139</v>
      </c>
      <c r="N34" s="174" t="s">
        <v>77</v>
      </c>
      <c r="O34" s="174" t="s">
        <v>77</v>
      </c>
      <c r="P34" s="174" t="s">
        <v>78</v>
      </c>
      <c r="Q34" s="174" t="s">
        <v>77</v>
      </c>
      <c r="R34" s="174" t="str">
        <f t="shared" si="8"/>
        <v>主要Major</v>
      </c>
      <c r="S34" s="175" t="s">
        <v>78</v>
      </c>
      <c r="T34" s="175" t="s">
        <v>305</v>
      </c>
      <c r="U34" s="175" t="s">
        <v>306</v>
      </c>
      <c r="V34" s="172" t="s">
        <v>307</v>
      </c>
      <c r="W34" s="171" t="s">
        <v>82</v>
      </c>
      <c r="X34" s="176">
        <f t="shared" si="9"/>
        <v>0</v>
      </c>
      <c r="Y34" s="171" t="s">
        <v>83</v>
      </c>
      <c r="Z34" s="176">
        <f t="shared" si="10"/>
        <v>6</v>
      </c>
      <c r="AA34" s="171" t="s">
        <v>84</v>
      </c>
      <c r="AB34" s="176">
        <f t="shared" si="11"/>
        <v>3</v>
      </c>
      <c r="AC34" s="171" t="s">
        <v>85</v>
      </c>
      <c r="AD34" s="176">
        <f t="shared" si="12"/>
        <v>4</v>
      </c>
      <c r="AE34" s="171" t="s">
        <v>86</v>
      </c>
      <c r="AF34" s="176" cm="1">
        <f t="array" ref="AF34">IF(OR(AE34="/",AE34=""),"/",IF(ISNUMBER(SEARCH("普通",AE34)),0,IF(ISNUMBER(SEARCH("专用",AE34)),4,IF(ISNUMBER(SEARCH("定制",AE34)),7,IF(ISNUMBER(SEARCH("多个定制",AE34)),9,””)))))</f>
        <v>4</v>
      </c>
      <c r="AG34" s="176">
        <f t="shared" si="13"/>
        <v>17</v>
      </c>
      <c r="AH34" s="176" t="str">
        <f t="shared" si="14"/>
        <v>中Medium</v>
      </c>
      <c r="AI34" s="176" t="s">
        <v>87</v>
      </c>
      <c r="AJ34" s="176" t="str">
        <f t="shared" si="7"/>
        <v>降低
Reucing</v>
      </c>
      <c r="AK34" s="171" t="s">
        <v>308</v>
      </c>
      <c r="AL34" s="177" t="s">
        <v>309</v>
      </c>
      <c r="AM34" s="180" t="s">
        <v>161</v>
      </c>
      <c r="AN34" s="178" t="s">
        <v>162</v>
      </c>
      <c r="AO34" s="178" t="s">
        <v>163</v>
      </c>
    </row>
    <row r="35" s="116" customFormat="1" ht="20" customHeight="1" spans="1:41">
      <c r="A35" s="171">
        <v>27</v>
      </c>
      <c r="B35" s="179"/>
      <c r="C35" s="179"/>
      <c r="D35" s="179"/>
      <c r="E35" s="171"/>
      <c r="F35" s="171"/>
      <c r="G35" s="171"/>
      <c r="H35" s="171" t="s">
        <v>73</v>
      </c>
      <c r="I35" s="171"/>
      <c r="J35" s="171"/>
      <c r="K35" s="173" t="s">
        <v>310</v>
      </c>
      <c r="L35" s="173" t="s">
        <v>311</v>
      </c>
      <c r="M35" s="173" t="s">
        <v>166</v>
      </c>
      <c r="N35" s="174" t="s">
        <v>77</v>
      </c>
      <c r="O35" s="174" t="s">
        <v>96</v>
      </c>
      <c r="P35" s="174" t="s">
        <v>78</v>
      </c>
      <c r="Q35" s="174" t="s">
        <v>78</v>
      </c>
      <c r="R35" s="174" t="str">
        <f t="shared" si="8"/>
        <v>主要Major</v>
      </c>
      <c r="S35" s="175" t="s">
        <v>78</v>
      </c>
      <c r="T35" s="175" t="s">
        <v>312</v>
      </c>
      <c r="U35" s="175" t="s">
        <v>313</v>
      </c>
      <c r="V35" s="172" t="s">
        <v>189</v>
      </c>
      <c r="W35" s="171" t="s">
        <v>82</v>
      </c>
      <c r="X35" s="176">
        <f t="shared" si="9"/>
        <v>0</v>
      </c>
      <c r="Y35" s="171" t="s">
        <v>83</v>
      </c>
      <c r="Z35" s="176">
        <f t="shared" si="10"/>
        <v>6</v>
      </c>
      <c r="AA35" s="171" t="s">
        <v>84</v>
      </c>
      <c r="AB35" s="176">
        <f t="shared" si="11"/>
        <v>3</v>
      </c>
      <c r="AC35" s="171" t="s">
        <v>85</v>
      </c>
      <c r="AD35" s="176">
        <f t="shared" si="12"/>
        <v>4</v>
      </c>
      <c r="AE35" s="171" t="s">
        <v>86</v>
      </c>
      <c r="AF35" s="176" cm="1">
        <f t="array" ref="AF35">IF(OR(AE35="/",AE35=""),"/",IF(ISNUMBER(SEARCH("普通",AE35)),0,IF(ISNUMBER(SEARCH("专用",AE35)),4,IF(ISNUMBER(SEARCH("定制",AE35)),7,IF(ISNUMBER(SEARCH("多个定制",AE35)),9,””)))))</f>
        <v>4</v>
      </c>
      <c r="AG35" s="176">
        <f t="shared" si="13"/>
        <v>17</v>
      </c>
      <c r="AH35" s="176" t="str">
        <f t="shared" si="14"/>
        <v>中Medium</v>
      </c>
      <c r="AI35" s="176" t="s">
        <v>87</v>
      </c>
      <c r="AJ35" s="176" t="str">
        <f t="shared" si="7"/>
        <v>降低
Reucing</v>
      </c>
      <c r="AK35" s="171" t="s">
        <v>314</v>
      </c>
      <c r="AL35" s="177" t="s">
        <v>315</v>
      </c>
      <c r="AM35" s="180" t="s">
        <v>316</v>
      </c>
      <c r="AN35" s="178" t="s">
        <v>317</v>
      </c>
      <c r="AO35" s="178" t="s">
        <v>318</v>
      </c>
    </row>
    <row r="36" s="116" customFormat="1" ht="20" customHeight="1" spans="1:41">
      <c r="A36" s="171">
        <v>28</v>
      </c>
      <c r="B36" s="179"/>
      <c r="C36" s="179"/>
      <c r="D36" s="179"/>
      <c r="E36" s="171"/>
      <c r="F36" s="171"/>
      <c r="G36" s="171"/>
      <c r="H36" s="171" t="s">
        <v>73</v>
      </c>
      <c r="I36" s="171"/>
      <c r="J36" s="171"/>
      <c r="K36" s="173" t="s">
        <v>319</v>
      </c>
      <c r="L36" s="173" t="s">
        <v>320</v>
      </c>
      <c r="M36" s="173" t="s">
        <v>321</v>
      </c>
      <c r="N36" s="174" t="s">
        <v>77</v>
      </c>
      <c r="O36" s="174" t="s">
        <v>77</v>
      </c>
      <c r="P36" s="174" t="s">
        <v>96</v>
      </c>
      <c r="Q36" s="174" t="s">
        <v>77</v>
      </c>
      <c r="R36" s="174" t="str">
        <f t="shared" si="8"/>
        <v>中等Medium</v>
      </c>
      <c r="S36" s="175" t="s">
        <v>96</v>
      </c>
      <c r="T36" s="175" t="s">
        <v>322</v>
      </c>
      <c r="U36" s="175" t="s">
        <v>323</v>
      </c>
      <c r="V36" s="172" t="s">
        <v>221</v>
      </c>
      <c r="W36" s="171" t="s">
        <v>111</v>
      </c>
      <c r="X36" s="176">
        <f t="shared" si="9"/>
        <v>1</v>
      </c>
      <c r="Y36" s="171" t="s">
        <v>83</v>
      </c>
      <c r="Z36" s="176">
        <f t="shared" si="10"/>
        <v>6</v>
      </c>
      <c r="AA36" s="171" t="s">
        <v>84</v>
      </c>
      <c r="AB36" s="176">
        <f t="shared" si="11"/>
        <v>3</v>
      </c>
      <c r="AC36" s="171" t="s">
        <v>85</v>
      </c>
      <c r="AD36" s="176">
        <f t="shared" si="12"/>
        <v>4</v>
      </c>
      <c r="AE36" s="171" t="s">
        <v>143</v>
      </c>
      <c r="AF36" s="176" cm="1">
        <f t="array" ref="AF36">IF(OR(AE36="/",AE36=""),"/",IF(ISNUMBER(SEARCH("普通",AE36)),0,IF(ISNUMBER(SEARCH("专用",AE36)),4,IF(ISNUMBER(SEARCH("定制",AE36)),7,IF(ISNUMBER(SEARCH("多个定制",AE36)),9,””)))))</f>
        <v>7</v>
      </c>
      <c r="AG36" s="176">
        <f t="shared" si="13"/>
        <v>21</v>
      </c>
      <c r="AH36" s="176" t="str">
        <f t="shared" si="14"/>
        <v>低Low</v>
      </c>
      <c r="AI36" s="176" t="s">
        <v>144</v>
      </c>
      <c r="AJ36" s="176" t="str">
        <f t="shared" si="7"/>
        <v>保留
Retaining</v>
      </c>
      <c r="AK36" s="171" t="s">
        <v>145</v>
      </c>
      <c r="AL36" s="177" t="s">
        <v>145</v>
      </c>
      <c r="AM36" s="171" t="s">
        <v>145</v>
      </c>
      <c r="AN36" s="178" t="s">
        <v>225</v>
      </c>
      <c r="AO36" s="178" t="s">
        <v>226</v>
      </c>
    </row>
    <row r="37" s="116" customFormat="1" ht="20" customHeight="1" spans="1:41">
      <c r="A37" s="171">
        <v>29</v>
      </c>
      <c r="B37" s="179"/>
      <c r="C37" s="179"/>
      <c r="D37" s="179"/>
      <c r="E37" s="171"/>
      <c r="F37" s="171"/>
      <c r="G37" s="171"/>
      <c r="H37" s="171"/>
      <c r="I37" s="171" t="s">
        <v>73</v>
      </c>
      <c r="J37" s="171"/>
      <c r="K37" s="173" t="s">
        <v>324</v>
      </c>
      <c r="L37" s="173" t="s">
        <v>325</v>
      </c>
      <c r="M37" s="173" t="s">
        <v>174</v>
      </c>
      <c r="N37" s="174" t="s">
        <v>77</v>
      </c>
      <c r="O37" s="174" t="s">
        <v>77</v>
      </c>
      <c r="P37" s="174" t="s">
        <v>96</v>
      </c>
      <c r="Q37" s="174" t="s">
        <v>96</v>
      </c>
      <c r="R37" s="174" t="str">
        <f t="shared" si="8"/>
        <v>中等Medium</v>
      </c>
      <c r="S37" s="175" t="s">
        <v>96</v>
      </c>
      <c r="T37" s="175" t="s">
        <v>326</v>
      </c>
      <c r="U37" s="175" t="s">
        <v>176</v>
      </c>
      <c r="V37" s="172" t="s">
        <v>189</v>
      </c>
      <c r="W37" s="171" t="s">
        <v>82</v>
      </c>
      <c r="X37" s="176">
        <f t="shared" si="9"/>
        <v>0</v>
      </c>
      <c r="Y37" s="171" t="s">
        <v>177</v>
      </c>
      <c r="Z37" s="176">
        <f t="shared" si="10"/>
        <v>3</v>
      </c>
      <c r="AA37" s="171" t="s">
        <v>153</v>
      </c>
      <c r="AB37" s="176">
        <f t="shared" si="11"/>
        <v>0</v>
      </c>
      <c r="AC37" s="171" t="s">
        <v>85</v>
      </c>
      <c r="AD37" s="176">
        <f t="shared" si="12"/>
        <v>4</v>
      </c>
      <c r="AE37" s="171" t="s">
        <v>86</v>
      </c>
      <c r="AF37" s="176" cm="1">
        <f t="array" ref="AF37">IF(OR(AE37="/",AE37=""),"/",IF(ISNUMBER(SEARCH("普通",AE37)),0,IF(ISNUMBER(SEARCH("专用",AE37)),4,IF(ISNUMBER(SEARCH("定制",AE37)),7,IF(ISNUMBER(SEARCH("多个定制",AE37)),9,””)))))</f>
        <v>4</v>
      </c>
      <c r="AG37" s="176">
        <f t="shared" si="13"/>
        <v>11</v>
      </c>
      <c r="AH37" s="176" t="str">
        <f t="shared" si="14"/>
        <v>高High</v>
      </c>
      <c r="AI37" s="176" t="s">
        <v>87</v>
      </c>
      <c r="AJ37" s="176" t="str">
        <f t="shared" si="7"/>
        <v>降低
Reucing</v>
      </c>
      <c r="AK37" s="171" t="s">
        <v>327</v>
      </c>
      <c r="AL37" s="177" t="s">
        <v>328</v>
      </c>
      <c r="AM37" s="180" t="s">
        <v>329</v>
      </c>
      <c r="AN37" s="178" t="s">
        <v>181</v>
      </c>
      <c r="AO37" s="178" t="s">
        <v>182</v>
      </c>
    </row>
    <row r="38" s="116" customFormat="1" ht="20" customHeight="1" spans="1:41">
      <c r="A38" s="171">
        <v>30</v>
      </c>
      <c r="B38" s="179"/>
      <c r="C38" s="179"/>
      <c r="D38" s="179"/>
      <c r="E38" s="171"/>
      <c r="F38" s="171"/>
      <c r="G38" s="171"/>
      <c r="H38" s="171"/>
      <c r="I38" s="171" t="s">
        <v>73</v>
      </c>
      <c r="J38" s="171"/>
      <c r="K38" s="173" t="s">
        <v>330</v>
      </c>
      <c r="L38" s="173" t="s">
        <v>331</v>
      </c>
      <c r="M38" s="173" t="s">
        <v>332</v>
      </c>
      <c r="N38" s="174" t="s">
        <v>77</v>
      </c>
      <c r="O38" s="174" t="s">
        <v>77</v>
      </c>
      <c r="P38" s="174" t="s">
        <v>96</v>
      </c>
      <c r="Q38" s="174" t="s">
        <v>96</v>
      </c>
      <c r="R38" s="174" t="str">
        <f t="shared" si="8"/>
        <v>中等Medium</v>
      </c>
      <c r="S38" s="175" t="s">
        <v>96</v>
      </c>
      <c r="T38" s="175" t="s">
        <v>333</v>
      </c>
      <c r="U38" s="175" t="s">
        <v>334</v>
      </c>
      <c r="V38" s="172" t="s">
        <v>335</v>
      </c>
      <c r="W38" s="171" t="s">
        <v>111</v>
      </c>
      <c r="X38" s="176">
        <f t="shared" si="9"/>
        <v>1</v>
      </c>
      <c r="Y38" s="171" t="s">
        <v>83</v>
      </c>
      <c r="Z38" s="176">
        <f t="shared" si="10"/>
        <v>6</v>
      </c>
      <c r="AA38" s="171" t="s">
        <v>153</v>
      </c>
      <c r="AB38" s="176">
        <f t="shared" si="11"/>
        <v>0</v>
      </c>
      <c r="AC38" s="171" t="s">
        <v>85</v>
      </c>
      <c r="AD38" s="176">
        <f t="shared" si="12"/>
        <v>4</v>
      </c>
      <c r="AE38" s="171" t="s">
        <v>86</v>
      </c>
      <c r="AF38" s="176" cm="1">
        <f t="array" ref="AF38">IF(OR(AE38="/",AE38=""),"/",IF(ISNUMBER(SEARCH("普通",AE38)),0,IF(ISNUMBER(SEARCH("专用",AE38)),4,IF(ISNUMBER(SEARCH("定制",AE38)),7,IF(ISNUMBER(SEARCH("多个定制",AE38)),9,””)))))</f>
        <v>4</v>
      </c>
      <c r="AG38" s="176">
        <f t="shared" si="13"/>
        <v>15</v>
      </c>
      <c r="AH38" s="176" t="str">
        <f t="shared" si="14"/>
        <v>中Medium</v>
      </c>
      <c r="AI38" s="176" t="s">
        <v>87</v>
      </c>
      <c r="AJ38" s="176" t="str">
        <f t="shared" si="7"/>
        <v>降低
Reucing</v>
      </c>
      <c r="AK38" s="171" t="s">
        <v>336</v>
      </c>
      <c r="AL38" s="177" t="s">
        <v>337</v>
      </c>
      <c r="AM38" s="180" t="s">
        <v>338</v>
      </c>
      <c r="AN38" s="178" t="s">
        <v>339</v>
      </c>
      <c r="AO38" s="178" t="s">
        <v>340</v>
      </c>
    </row>
    <row r="39" s="116" customFormat="1" ht="20" customHeight="1" spans="1:41">
      <c r="A39" s="171">
        <v>31</v>
      </c>
      <c r="B39" s="181"/>
      <c r="C39" s="181"/>
      <c r="D39" s="181"/>
      <c r="E39" s="171"/>
      <c r="F39" s="171"/>
      <c r="G39" s="171"/>
      <c r="H39" s="171"/>
      <c r="I39" s="171"/>
      <c r="J39" s="171" t="s">
        <v>73</v>
      </c>
      <c r="K39" s="173" t="s">
        <v>341</v>
      </c>
      <c r="L39" s="173" t="s">
        <v>342</v>
      </c>
      <c r="M39" s="173" t="s">
        <v>343</v>
      </c>
      <c r="N39" s="174" t="s">
        <v>77</v>
      </c>
      <c r="O39" s="174" t="s">
        <v>77</v>
      </c>
      <c r="P39" s="174" t="s">
        <v>77</v>
      </c>
      <c r="Q39" s="174" t="s">
        <v>96</v>
      </c>
      <c r="R39" s="174" t="str">
        <f t="shared" si="8"/>
        <v>中等Medium</v>
      </c>
      <c r="S39" s="175" t="s">
        <v>96</v>
      </c>
      <c r="T39" s="175" t="s">
        <v>344</v>
      </c>
      <c r="U39" s="175" t="s">
        <v>345</v>
      </c>
      <c r="V39" s="172" t="s">
        <v>346</v>
      </c>
      <c r="W39" s="171" t="s">
        <v>82</v>
      </c>
      <c r="X39" s="176">
        <f t="shared" si="9"/>
        <v>0</v>
      </c>
      <c r="Y39" s="171" t="s">
        <v>83</v>
      </c>
      <c r="Z39" s="176">
        <f t="shared" si="10"/>
        <v>6</v>
      </c>
      <c r="AA39" s="171" t="s">
        <v>84</v>
      </c>
      <c r="AB39" s="176">
        <f t="shared" si="11"/>
        <v>3</v>
      </c>
      <c r="AC39" s="171" t="s">
        <v>85</v>
      </c>
      <c r="AD39" s="176">
        <f t="shared" si="12"/>
        <v>4</v>
      </c>
      <c r="AE39" s="171" t="s">
        <v>86</v>
      </c>
      <c r="AF39" s="176" cm="1">
        <f t="array" ref="AF39">IF(OR(AE39="/",AE39=""),"/",IF(ISNUMBER(SEARCH("普通",AE39)),0,IF(ISNUMBER(SEARCH("专用",AE39)),4,IF(ISNUMBER(SEARCH("定制",AE39)),7,IF(ISNUMBER(SEARCH("多个定制",AE39)),9,””)))))</f>
        <v>4</v>
      </c>
      <c r="AG39" s="176">
        <f t="shared" si="13"/>
        <v>17</v>
      </c>
      <c r="AH39" s="176" t="str">
        <f t="shared" si="14"/>
        <v>中Medium</v>
      </c>
      <c r="AI39" s="176" t="s">
        <v>144</v>
      </c>
      <c r="AJ39" s="176" t="str">
        <f t="shared" si="7"/>
        <v>保留
Retaining</v>
      </c>
      <c r="AK39" s="171" t="s">
        <v>145</v>
      </c>
      <c r="AL39" s="177" t="s">
        <v>145</v>
      </c>
      <c r="AM39" s="171" t="s">
        <v>145</v>
      </c>
      <c r="AN39" s="178" t="s">
        <v>347</v>
      </c>
      <c r="AO39" s="178" t="s">
        <v>348</v>
      </c>
    </row>
    <row r="40" s="116" customFormat="1" ht="20" customHeight="1" spans="1:41">
      <c r="A40" s="171">
        <v>32</v>
      </c>
      <c r="B40" s="172" t="s">
        <v>349</v>
      </c>
      <c r="C40" s="171" t="s">
        <v>71</v>
      </c>
      <c r="D40" s="173" t="s">
        <v>350</v>
      </c>
      <c r="E40" s="171" t="s">
        <v>73</v>
      </c>
      <c r="F40" s="171"/>
      <c r="G40" s="171"/>
      <c r="H40" s="171"/>
      <c r="I40" s="171"/>
      <c r="J40" s="171"/>
      <c r="K40" s="173" t="s">
        <v>351</v>
      </c>
      <c r="L40" s="173" t="s">
        <v>352</v>
      </c>
      <c r="M40" s="173" t="s">
        <v>76</v>
      </c>
      <c r="N40" s="174" t="s">
        <v>77</v>
      </c>
      <c r="O40" s="174" t="s">
        <v>96</v>
      </c>
      <c r="P40" s="174" t="s">
        <v>77</v>
      </c>
      <c r="Q40" s="174" t="s">
        <v>78</v>
      </c>
      <c r="R40" s="174" t="str">
        <f t="shared" si="8"/>
        <v>主要Major</v>
      </c>
      <c r="S40" s="175" t="s">
        <v>78</v>
      </c>
      <c r="T40" s="175" t="s">
        <v>353</v>
      </c>
      <c r="U40" s="175" t="s">
        <v>80</v>
      </c>
      <c r="V40" s="172" t="s">
        <v>354</v>
      </c>
      <c r="W40" s="171" t="s">
        <v>111</v>
      </c>
      <c r="X40" s="176">
        <f t="shared" si="9"/>
        <v>1</v>
      </c>
      <c r="Y40" s="171" t="s">
        <v>83</v>
      </c>
      <c r="Z40" s="176">
        <f t="shared" si="10"/>
        <v>6</v>
      </c>
      <c r="AA40" s="171" t="s">
        <v>153</v>
      </c>
      <c r="AB40" s="176">
        <f t="shared" si="11"/>
        <v>0</v>
      </c>
      <c r="AC40" s="171" t="s">
        <v>85</v>
      </c>
      <c r="AD40" s="176">
        <f t="shared" si="12"/>
        <v>4</v>
      </c>
      <c r="AE40" s="171" t="s">
        <v>143</v>
      </c>
      <c r="AF40" s="176" cm="1">
        <f t="array" ref="AF40">IF(OR(AE40="/",AE40=""),"/",IF(ISNUMBER(SEARCH("普通",AE40)),0,IF(ISNUMBER(SEARCH("专用",AE40)),4,IF(ISNUMBER(SEARCH("定制",AE40)),7,IF(ISNUMBER(SEARCH("多个定制",AE40)),9,””)))))</f>
        <v>7</v>
      </c>
      <c r="AG40" s="176">
        <f t="shared" si="13"/>
        <v>18</v>
      </c>
      <c r="AH40" s="176" t="str">
        <f t="shared" si="14"/>
        <v>中Medium</v>
      </c>
      <c r="AI40" s="176" t="s">
        <v>87</v>
      </c>
      <c r="AJ40" s="176" t="str">
        <f t="shared" si="7"/>
        <v>降低
Reucing</v>
      </c>
      <c r="AK40" s="171" t="s">
        <v>355</v>
      </c>
      <c r="AL40" s="177" t="s">
        <v>356</v>
      </c>
      <c r="AM40" s="180" t="s">
        <v>357</v>
      </c>
      <c r="AN40" s="178" t="s">
        <v>358</v>
      </c>
      <c r="AO40" s="178" t="s">
        <v>359</v>
      </c>
    </row>
    <row r="41" s="116" customFormat="1" ht="20" customHeight="1" spans="1:41">
      <c r="A41" s="171">
        <v>33</v>
      </c>
      <c r="B41" s="179"/>
      <c r="C41" s="179"/>
      <c r="D41" s="179"/>
      <c r="E41" s="171" t="s">
        <v>73</v>
      </c>
      <c r="F41" s="171"/>
      <c r="G41" s="171"/>
      <c r="H41" s="171"/>
      <c r="I41" s="171"/>
      <c r="J41" s="171"/>
      <c r="K41" s="173" t="s">
        <v>360</v>
      </c>
      <c r="L41" s="173" t="s">
        <v>361</v>
      </c>
      <c r="M41" s="173" t="s">
        <v>362</v>
      </c>
      <c r="N41" s="174" t="s">
        <v>77</v>
      </c>
      <c r="O41" s="174" t="s">
        <v>77</v>
      </c>
      <c r="P41" s="174" t="s">
        <v>96</v>
      </c>
      <c r="Q41" s="174" t="s">
        <v>96</v>
      </c>
      <c r="R41" s="174" t="str">
        <f t="shared" si="8"/>
        <v>中等Medium</v>
      </c>
      <c r="S41" s="175" t="s">
        <v>96</v>
      </c>
      <c r="T41" s="175" t="s">
        <v>363</v>
      </c>
      <c r="U41" s="175" t="s">
        <v>364</v>
      </c>
      <c r="V41" s="172" t="s">
        <v>365</v>
      </c>
      <c r="W41" s="171" t="s">
        <v>82</v>
      </c>
      <c r="X41" s="176">
        <f t="shared" si="9"/>
        <v>0</v>
      </c>
      <c r="Y41" s="171" t="s">
        <v>177</v>
      </c>
      <c r="Z41" s="176">
        <f t="shared" si="10"/>
        <v>3</v>
      </c>
      <c r="AA41" s="171" t="s">
        <v>153</v>
      </c>
      <c r="AB41" s="176">
        <f t="shared" si="11"/>
        <v>0</v>
      </c>
      <c r="AC41" s="171" t="s">
        <v>85</v>
      </c>
      <c r="AD41" s="176">
        <f t="shared" si="12"/>
        <v>4</v>
      </c>
      <c r="AE41" s="171" t="s">
        <v>86</v>
      </c>
      <c r="AF41" s="176" cm="1">
        <f t="array" ref="AF41">IF(OR(AE41="/",AE41=""),"/",IF(ISNUMBER(SEARCH("普通",AE41)),0,IF(ISNUMBER(SEARCH("专用",AE41)),4,IF(ISNUMBER(SEARCH("定制",AE41)),7,IF(ISNUMBER(SEARCH("多个定制",AE41)),9,””)))))</f>
        <v>4</v>
      </c>
      <c r="AG41" s="176">
        <f t="shared" si="13"/>
        <v>11</v>
      </c>
      <c r="AH41" s="176" t="str">
        <f t="shared" si="14"/>
        <v>高High</v>
      </c>
      <c r="AI41" s="176" t="s">
        <v>87</v>
      </c>
      <c r="AJ41" s="176" t="str">
        <f t="shared" si="7"/>
        <v>降低
Reucing</v>
      </c>
      <c r="AK41" s="171" t="s">
        <v>366</v>
      </c>
      <c r="AL41" s="177" t="s">
        <v>367</v>
      </c>
      <c r="AM41" s="180" t="s">
        <v>368</v>
      </c>
      <c r="AN41" s="178" t="s">
        <v>369</v>
      </c>
      <c r="AO41" s="178" t="s">
        <v>370</v>
      </c>
    </row>
    <row r="42" s="116" customFormat="1" ht="20" customHeight="1" spans="1:41">
      <c r="A42" s="171">
        <v>34</v>
      </c>
      <c r="B42" s="179"/>
      <c r="C42" s="179"/>
      <c r="D42" s="179"/>
      <c r="E42" s="171" t="s">
        <v>73</v>
      </c>
      <c r="F42" s="171"/>
      <c r="G42" s="171"/>
      <c r="H42" s="171"/>
      <c r="I42" s="171"/>
      <c r="J42" s="171"/>
      <c r="K42" s="173" t="s">
        <v>371</v>
      </c>
      <c r="L42" s="173" t="s">
        <v>372</v>
      </c>
      <c r="M42" s="173" t="s">
        <v>206</v>
      </c>
      <c r="N42" s="174" t="s">
        <v>77</v>
      </c>
      <c r="O42" s="174" t="s">
        <v>77</v>
      </c>
      <c r="P42" s="174" t="s">
        <v>96</v>
      </c>
      <c r="Q42" s="174" t="s">
        <v>96</v>
      </c>
      <c r="R42" s="174" t="str">
        <f t="shared" si="8"/>
        <v>中等Medium</v>
      </c>
      <c r="S42" s="175" t="s">
        <v>96</v>
      </c>
      <c r="T42" s="175" t="s">
        <v>373</v>
      </c>
      <c r="U42" s="175" t="s">
        <v>374</v>
      </c>
      <c r="V42" s="172" t="s">
        <v>375</v>
      </c>
      <c r="W42" s="171" t="s">
        <v>111</v>
      </c>
      <c r="X42" s="176">
        <f t="shared" si="9"/>
        <v>1</v>
      </c>
      <c r="Y42" s="171" t="s">
        <v>177</v>
      </c>
      <c r="Z42" s="176">
        <f t="shared" si="10"/>
        <v>3</v>
      </c>
      <c r="AA42" s="171" t="s">
        <v>153</v>
      </c>
      <c r="AB42" s="176">
        <f t="shared" si="11"/>
        <v>0</v>
      </c>
      <c r="AC42" s="171" t="s">
        <v>85</v>
      </c>
      <c r="AD42" s="176">
        <f t="shared" si="12"/>
        <v>4</v>
      </c>
      <c r="AE42" s="171" t="s">
        <v>86</v>
      </c>
      <c r="AF42" s="176" cm="1">
        <f t="array" ref="AF42">IF(OR(AE42="/",AE42=""),"/",IF(ISNUMBER(SEARCH("普通",AE42)),0,IF(ISNUMBER(SEARCH("专用",AE42)),4,IF(ISNUMBER(SEARCH("定制",AE42)),7,IF(ISNUMBER(SEARCH("多个定制",AE42)),9,””)))))</f>
        <v>4</v>
      </c>
      <c r="AG42" s="176">
        <f t="shared" si="13"/>
        <v>12</v>
      </c>
      <c r="AH42" s="176" t="str">
        <f t="shared" si="14"/>
        <v>高High</v>
      </c>
      <c r="AI42" s="176" t="s">
        <v>87</v>
      </c>
      <c r="AJ42" s="176" t="str">
        <f t="shared" si="7"/>
        <v>降低
Reucing</v>
      </c>
      <c r="AK42" s="171" t="s">
        <v>376</v>
      </c>
      <c r="AL42" s="177" t="s">
        <v>377</v>
      </c>
      <c r="AM42" s="180" t="s">
        <v>213</v>
      </c>
      <c r="AN42" s="178" t="s">
        <v>347</v>
      </c>
      <c r="AO42" s="178" t="s">
        <v>348</v>
      </c>
    </row>
    <row r="43" s="116" customFormat="1" ht="20" customHeight="1" spans="1:41">
      <c r="A43" s="171">
        <v>35</v>
      </c>
      <c r="B43" s="179"/>
      <c r="C43" s="179"/>
      <c r="D43" s="179"/>
      <c r="E43" s="171" t="s">
        <v>73</v>
      </c>
      <c r="F43" s="171"/>
      <c r="G43" s="171"/>
      <c r="H43" s="171"/>
      <c r="I43" s="171"/>
      <c r="J43" s="171"/>
      <c r="K43" s="173" t="s">
        <v>378</v>
      </c>
      <c r="L43" s="173" t="s">
        <v>379</v>
      </c>
      <c r="M43" s="173" t="s">
        <v>106</v>
      </c>
      <c r="N43" s="174" t="s">
        <v>77</v>
      </c>
      <c r="O43" s="174" t="s">
        <v>77</v>
      </c>
      <c r="P43" s="174" t="s">
        <v>96</v>
      </c>
      <c r="Q43" s="174" t="s">
        <v>78</v>
      </c>
      <c r="R43" s="174" t="str">
        <f t="shared" si="8"/>
        <v>主要Major</v>
      </c>
      <c r="S43" s="175" t="s">
        <v>78</v>
      </c>
      <c r="T43" s="175" t="s">
        <v>380</v>
      </c>
      <c r="U43" s="175" t="s">
        <v>109</v>
      </c>
      <c r="V43" s="172" t="s">
        <v>381</v>
      </c>
      <c r="W43" s="171" t="s">
        <v>111</v>
      </c>
      <c r="X43" s="176">
        <f t="shared" si="9"/>
        <v>1</v>
      </c>
      <c r="Y43" s="171" t="s">
        <v>83</v>
      </c>
      <c r="Z43" s="176">
        <f t="shared" si="10"/>
        <v>6</v>
      </c>
      <c r="AA43" s="171" t="s">
        <v>84</v>
      </c>
      <c r="AB43" s="176">
        <f t="shared" si="11"/>
        <v>3</v>
      </c>
      <c r="AC43" s="171" t="s">
        <v>85</v>
      </c>
      <c r="AD43" s="176">
        <f t="shared" si="12"/>
        <v>4</v>
      </c>
      <c r="AE43" s="171" t="s">
        <v>86</v>
      </c>
      <c r="AF43" s="176" cm="1">
        <f t="array" ref="AF43">IF(OR(AE43="/",AE43=""),"/",IF(ISNUMBER(SEARCH("普通",AE43)),0,IF(ISNUMBER(SEARCH("专用",AE43)),4,IF(ISNUMBER(SEARCH("定制",AE43)),7,IF(ISNUMBER(SEARCH("多个定制",AE43)),9,””)))))</f>
        <v>4</v>
      </c>
      <c r="AG43" s="176">
        <f t="shared" si="13"/>
        <v>18</v>
      </c>
      <c r="AH43" s="176" t="str">
        <f t="shared" si="14"/>
        <v>中Medium</v>
      </c>
      <c r="AI43" s="176" t="s">
        <v>87</v>
      </c>
      <c r="AJ43" s="176" t="str">
        <f t="shared" si="7"/>
        <v>降低
Reucing</v>
      </c>
      <c r="AK43" s="171" t="s">
        <v>382</v>
      </c>
      <c r="AL43" s="177" t="s">
        <v>114</v>
      </c>
      <c r="AM43" s="180" t="s">
        <v>115</v>
      </c>
      <c r="AN43" s="178" t="s">
        <v>116</v>
      </c>
      <c r="AO43" s="178" t="s">
        <v>117</v>
      </c>
    </row>
    <row r="44" s="116" customFormat="1" ht="20" customHeight="1" spans="1:41">
      <c r="A44" s="171">
        <v>36</v>
      </c>
      <c r="B44" s="179"/>
      <c r="C44" s="179"/>
      <c r="D44" s="179"/>
      <c r="E44" s="171" t="s">
        <v>73</v>
      </c>
      <c r="F44" s="171"/>
      <c r="G44" s="171"/>
      <c r="H44" s="171"/>
      <c r="I44" s="171"/>
      <c r="J44" s="171"/>
      <c r="K44" s="173" t="s">
        <v>383</v>
      </c>
      <c r="L44" s="173" t="s">
        <v>384</v>
      </c>
      <c r="M44" s="173" t="s">
        <v>76</v>
      </c>
      <c r="N44" s="174" t="s">
        <v>77</v>
      </c>
      <c r="O44" s="174" t="s">
        <v>77</v>
      </c>
      <c r="P44" s="174" t="s">
        <v>78</v>
      </c>
      <c r="Q44" s="174" t="s">
        <v>78</v>
      </c>
      <c r="R44" s="174" t="str">
        <f t="shared" si="8"/>
        <v>主要Major</v>
      </c>
      <c r="S44" s="175" t="s">
        <v>78</v>
      </c>
      <c r="T44" s="175" t="s">
        <v>385</v>
      </c>
      <c r="U44" s="175" t="s">
        <v>80</v>
      </c>
      <c r="V44" s="172" t="s">
        <v>386</v>
      </c>
      <c r="W44" s="171" t="s">
        <v>82</v>
      </c>
      <c r="X44" s="176">
        <f t="shared" si="9"/>
        <v>0</v>
      </c>
      <c r="Y44" s="171" t="s">
        <v>83</v>
      </c>
      <c r="Z44" s="176">
        <f t="shared" si="10"/>
        <v>6</v>
      </c>
      <c r="AA44" s="171" t="s">
        <v>84</v>
      </c>
      <c r="AB44" s="176">
        <f t="shared" si="11"/>
        <v>3</v>
      </c>
      <c r="AC44" s="171" t="s">
        <v>85</v>
      </c>
      <c r="AD44" s="176">
        <f t="shared" si="12"/>
        <v>4</v>
      </c>
      <c r="AE44" s="171" t="s">
        <v>86</v>
      </c>
      <c r="AF44" s="176" cm="1">
        <f t="array" ref="AF44">IF(OR(AE44="/",AE44=""),"/",IF(ISNUMBER(SEARCH("普通",AE44)),0,IF(ISNUMBER(SEARCH("专用",AE44)),4,IF(ISNUMBER(SEARCH("定制",AE44)),7,IF(ISNUMBER(SEARCH("多个定制",AE44)),9,””)))))</f>
        <v>4</v>
      </c>
      <c r="AG44" s="176">
        <f t="shared" si="13"/>
        <v>17</v>
      </c>
      <c r="AH44" s="176" t="str">
        <f t="shared" si="14"/>
        <v>中Medium</v>
      </c>
      <c r="AI44" s="176" t="s">
        <v>87</v>
      </c>
      <c r="AJ44" s="176" t="str">
        <f t="shared" si="7"/>
        <v>降低
Reucing</v>
      </c>
      <c r="AK44" s="171" t="s">
        <v>387</v>
      </c>
      <c r="AL44" s="177" t="s">
        <v>89</v>
      </c>
      <c r="AM44" s="180" t="s">
        <v>90</v>
      </c>
      <c r="AN44" s="178" t="s">
        <v>91</v>
      </c>
      <c r="AO44" s="178" t="s">
        <v>92</v>
      </c>
    </row>
    <row r="45" s="116" customFormat="1" ht="20" customHeight="1" spans="1:41">
      <c r="A45" s="171">
        <v>37</v>
      </c>
      <c r="B45" s="179"/>
      <c r="C45" s="179"/>
      <c r="D45" s="179"/>
      <c r="E45" s="171" t="s">
        <v>73</v>
      </c>
      <c r="F45" s="171"/>
      <c r="G45" s="171"/>
      <c r="H45" s="171"/>
      <c r="I45" s="171"/>
      <c r="J45" s="171"/>
      <c r="K45" s="173" t="s">
        <v>388</v>
      </c>
      <c r="L45" s="173" t="s">
        <v>389</v>
      </c>
      <c r="M45" s="173" t="s">
        <v>234</v>
      </c>
      <c r="N45" s="174" t="s">
        <v>77</v>
      </c>
      <c r="O45" s="174" t="s">
        <v>77</v>
      </c>
      <c r="P45" s="174" t="s">
        <v>96</v>
      </c>
      <c r="Q45" s="174" t="s">
        <v>96</v>
      </c>
      <c r="R45" s="174" t="str">
        <f t="shared" si="8"/>
        <v>中等Medium</v>
      </c>
      <c r="S45" s="175" t="s">
        <v>96</v>
      </c>
      <c r="T45" s="175" t="s">
        <v>390</v>
      </c>
      <c r="U45" s="175" t="s">
        <v>236</v>
      </c>
      <c r="V45" s="172" t="s">
        <v>391</v>
      </c>
      <c r="W45" s="171" t="s">
        <v>111</v>
      </c>
      <c r="X45" s="176">
        <f t="shared" si="9"/>
        <v>1</v>
      </c>
      <c r="Y45" s="171" t="s">
        <v>83</v>
      </c>
      <c r="Z45" s="176">
        <f t="shared" si="10"/>
        <v>6</v>
      </c>
      <c r="AA45" s="171" t="s">
        <v>153</v>
      </c>
      <c r="AB45" s="176">
        <f t="shared" si="11"/>
        <v>0</v>
      </c>
      <c r="AC45" s="171" t="s">
        <v>85</v>
      </c>
      <c r="AD45" s="176">
        <f t="shared" si="12"/>
        <v>4</v>
      </c>
      <c r="AE45" s="171" t="s">
        <v>143</v>
      </c>
      <c r="AF45" s="176" cm="1">
        <f t="array" ref="AF45">IF(OR(AE45="/",AE45=""),"/",IF(ISNUMBER(SEARCH("普通",AE45)),0,IF(ISNUMBER(SEARCH("专用",AE45)),4,IF(ISNUMBER(SEARCH("定制",AE45)),7,IF(ISNUMBER(SEARCH("多个定制",AE45)),9,””)))))</f>
        <v>7</v>
      </c>
      <c r="AG45" s="176">
        <f t="shared" si="13"/>
        <v>18</v>
      </c>
      <c r="AH45" s="176" t="str">
        <f t="shared" si="14"/>
        <v>中Medium</v>
      </c>
      <c r="AI45" s="176" t="s">
        <v>144</v>
      </c>
      <c r="AJ45" s="176" t="str">
        <f t="shared" si="7"/>
        <v>保留
Retaining</v>
      </c>
      <c r="AK45" s="171" t="s">
        <v>145</v>
      </c>
      <c r="AL45" s="177" t="s">
        <v>145</v>
      </c>
      <c r="AM45" s="171" t="s">
        <v>145</v>
      </c>
      <c r="AN45" s="178" t="s">
        <v>392</v>
      </c>
      <c r="AO45" s="178" t="s">
        <v>393</v>
      </c>
    </row>
    <row r="46" s="116" customFormat="1" ht="20" customHeight="1" spans="1:41">
      <c r="A46" s="171">
        <v>38</v>
      </c>
      <c r="B46" s="179"/>
      <c r="C46" s="179"/>
      <c r="D46" s="179"/>
      <c r="E46" s="171"/>
      <c r="F46" s="171" t="s">
        <v>73</v>
      </c>
      <c r="G46" s="171"/>
      <c r="H46" s="171"/>
      <c r="I46" s="171"/>
      <c r="J46" s="171"/>
      <c r="K46" s="173" t="s">
        <v>394</v>
      </c>
      <c r="L46" s="173" t="s">
        <v>395</v>
      </c>
      <c r="M46" s="173" t="s">
        <v>396</v>
      </c>
      <c r="N46" s="174" t="s">
        <v>77</v>
      </c>
      <c r="O46" s="174" t="s">
        <v>77</v>
      </c>
      <c r="P46" s="174" t="s">
        <v>96</v>
      </c>
      <c r="Q46" s="174" t="s">
        <v>96</v>
      </c>
      <c r="R46" s="174" t="str">
        <f t="shared" si="8"/>
        <v>中等Medium</v>
      </c>
      <c r="S46" s="175" t="s">
        <v>96</v>
      </c>
      <c r="T46" s="175" t="s">
        <v>397</v>
      </c>
      <c r="U46" s="175" t="s">
        <v>398</v>
      </c>
      <c r="V46" s="172" t="s">
        <v>375</v>
      </c>
      <c r="W46" s="171" t="s">
        <v>111</v>
      </c>
      <c r="X46" s="176">
        <f t="shared" si="9"/>
        <v>1</v>
      </c>
      <c r="Y46" s="171" t="s">
        <v>83</v>
      </c>
      <c r="Z46" s="176">
        <f t="shared" si="10"/>
        <v>6</v>
      </c>
      <c r="AA46" s="171" t="s">
        <v>153</v>
      </c>
      <c r="AB46" s="176">
        <f t="shared" si="11"/>
        <v>0</v>
      </c>
      <c r="AC46" s="171" t="s">
        <v>85</v>
      </c>
      <c r="AD46" s="176">
        <f t="shared" si="12"/>
        <v>4</v>
      </c>
      <c r="AE46" s="171" t="s">
        <v>86</v>
      </c>
      <c r="AF46" s="176" cm="1">
        <f t="array" ref="AF46">IF(OR(AE46="/",AE46=""),"/",IF(ISNUMBER(SEARCH("普通",AE46)),0,IF(ISNUMBER(SEARCH("专用",AE46)),4,IF(ISNUMBER(SEARCH("定制",AE46)),7,IF(ISNUMBER(SEARCH("多个定制",AE46)),9,””)))))</f>
        <v>4</v>
      </c>
      <c r="AG46" s="176">
        <f t="shared" si="13"/>
        <v>15</v>
      </c>
      <c r="AH46" s="176" t="str">
        <f t="shared" si="14"/>
        <v>中Medium</v>
      </c>
      <c r="AI46" s="176" t="s">
        <v>87</v>
      </c>
      <c r="AJ46" s="176" t="str">
        <f t="shared" si="7"/>
        <v>降低
Reucing</v>
      </c>
      <c r="AK46" s="171" t="s">
        <v>399</v>
      </c>
      <c r="AL46" s="177" t="s">
        <v>400</v>
      </c>
      <c r="AM46" s="180" t="s">
        <v>338</v>
      </c>
      <c r="AN46" s="178" t="s">
        <v>401</v>
      </c>
      <c r="AO46" s="178" t="s">
        <v>340</v>
      </c>
    </row>
    <row r="47" s="116" customFormat="1" ht="20" customHeight="1" spans="1:41">
      <c r="A47" s="171">
        <v>39</v>
      </c>
      <c r="B47" s="179"/>
      <c r="C47" s="179"/>
      <c r="D47" s="179"/>
      <c r="E47" s="171"/>
      <c r="F47" s="171" t="s">
        <v>73</v>
      </c>
      <c r="G47" s="171"/>
      <c r="H47" s="171"/>
      <c r="I47" s="171"/>
      <c r="J47" s="171"/>
      <c r="K47" s="173" t="s">
        <v>402</v>
      </c>
      <c r="L47" s="173" t="s">
        <v>403</v>
      </c>
      <c r="M47" s="173" t="s">
        <v>264</v>
      </c>
      <c r="N47" s="174" t="s">
        <v>77</v>
      </c>
      <c r="O47" s="174" t="s">
        <v>77</v>
      </c>
      <c r="P47" s="174" t="s">
        <v>78</v>
      </c>
      <c r="Q47" s="174" t="s">
        <v>96</v>
      </c>
      <c r="R47" s="174" t="str">
        <f t="shared" si="8"/>
        <v>主要Major</v>
      </c>
      <c r="S47" s="175" t="s">
        <v>78</v>
      </c>
      <c r="T47" s="175" t="s">
        <v>404</v>
      </c>
      <c r="U47" s="175" t="s">
        <v>266</v>
      </c>
      <c r="V47" s="172" t="s">
        <v>405</v>
      </c>
      <c r="W47" s="171" t="s">
        <v>111</v>
      </c>
      <c r="X47" s="176">
        <f t="shared" si="9"/>
        <v>1</v>
      </c>
      <c r="Y47" s="171" t="s">
        <v>83</v>
      </c>
      <c r="Z47" s="176">
        <f t="shared" si="10"/>
        <v>6</v>
      </c>
      <c r="AA47" s="171" t="s">
        <v>190</v>
      </c>
      <c r="AB47" s="176">
        <f t="shared" si="11"/>
        <v>7</v>
      </c>
      <c r="AC47" s="171" t="s">
        <v>85</v>
      </c>
      <c r="AD47" s="176">
        <f t="shared" si="12"/>
        <v>4</v>
      </c>
      <c r="AE47" s="171" t="s">
        <v>86</v>
      </c>
      <c r="AF47" s="176" cm="1">
        <f t="array" ref="AF47">IF(OR(AE47="/",AE47=""),"/",IF(ISNUMBER(SEARCH("普通",AE47)),0,IF(ISNUMBER(SEARCH("专用",AE47)),4,IF(ISNUMBER(SEARCH("定制",AE47)),7,IF(ISNUMBER(SEARCH("多个定制",AE47)),9,””)))))</f>
        <v>4</v>
      </c>
      <c r="AG47" s="176">
        <f t="shared" si="13"/>
        <v>22</v>
      </c>
      <c r="AH47" s="176" t="str">
        <f t="shared" si="14"/>
        <v>低Low</v>
      </c>
      <c r="AI47" s="176" t="s">
        <v>87</v>
      </c>
      <c r="AJ47" s="176" t="str">
        <f t="shared" si="7"/>
        <v>降低
Reucing</v>
      </c>
      <c r="AK47" s="171" t="s">
        <v>406</v>
      </c>
      <c r="AL47" s="177" t="s">
        <v>269</v>
      </c>
      <c r="AM47" s="180" t="s">
        <v>213</v>
      </c>
      <c r="AN47" s="178" t="s">
        <v>270</v>
      </c>
      <c r="AO47" s="178" t="s">
        <v>271</v>
      </c>
    </row>
    <row r="48" s="116" customFormat="1" ht="20" customHeight="1" spans="1:41">
      <c r="A48" s="171">
        <v>40</v>
      </c>
      <c r="B48" s="179"/>
      <c r="C48" s="179"/>
      <c r="D48" s="179"/>
      <c r="E48" s="171"/>
      <c r="F48" s="171" t="s">
        <v>73</v>
      </c>
      <c r="G48" s="171"/>
      <c r="H48" s="171"/>
      <c r="I48" s="171"/>
      <c r="J48" s="171"/>
      <c r="K48" s="173" t="s">
        <v>407</v>
      </c>
      <c r="L48" s="173" t="s">
        <v>408</v>
      </c>
      <c r="M48" s="173" t="s">
        <v>120</v>
      </c>
      <c r="N48" s="174" t="s">
        <v>77</v>
      </c>
      <c r="O48" s="174" t="s">
        <v>77</v>
      </c>
      <c r="P48" s="174" t="s">
        <v>78</v>
      </c>
      <c r="Q48" s="174" t="s">
        <v>77</v>
      </c>
      <c r="R48" s="174" t="str">
        <f t="shared" si="8"/>
        <v>主要Major</v>
      </c>
      <c r="S48" s="175" t="s">
        <v>78</v>
      </c>
      <c r="T48" s="175" t="s">
        <v>409</v>
      </c>
      <c r="U48" s="175" t="s">
        <v>410</v>
      </c>
      <c r="V48" s="172" t="s">
        <v>386</v>
      </c>
      <c r="W48" s="171" t="s">
        <v>82</v>
      </c>
      <c r="X48" s="176">
        <f t="shared" si="9"/>
        <v>0</v>
      </c>
      <c r="Y48" s="171" t="s">
        <v>83</v>
      </c>
      <c r="Z48" s="176">
        <f t="shared" si="10"/>
        <v>6</v>
      </c>
      <c r="AA48" s="171" t="s">
        <v>84</v>
      </c>
      <c r="AB48" s="176">
        <f t="shared" si="11"/>
        <v>3</v>
      </c>
      <c r="AC48" s="171" t="s">
        <v>85</v>
      </c>
      <c r="AD48" s="176">
        <f t="shared" si="12"/>
        <v>4</v>
      </c>
      <c r="AE48" s="171" t="s">
        <v>86</v>
      </c>
      <c r="AF48" s="176" cm="1">
        <f t="array" ref="AF48">IF(OR(AE48="/",AE48=""),"/",IF(ISNUMBER(SEARCH("普通",AE48)),0,IF(ISNUMBER(SEARCH("专用",AE48)),4,IF(ISNUMBER(SEARCH("定制",AE48)),7,IF(ISNUMBER(SEARCH("多个定制",AE48)),9,””)))))</f>
        <v>4</v>
      </c>
      <c r="AG48" s="176">
        <f t="shared" si="13"/>
        <v>17</v>
      </c>
      <c r="AH48" s="176" t="str">
        <f t="shared" si="14"/>
        <v>中Medium</v>
      </c>
      <c r="AI48" s="176" t="s">
        <v>87</v>
      </c>
      <c r="AJ48" s="176" t="str">
        <f t="shared" si="7"/>
        <v>降低
Reucing</v>
      </c>
      <c r="AK48" s="171" t="s">
        <v>411</v>
      </c>
      <c r="AL48" s="177" t="s">
        <v>124</v>
      </c>
      <c r="AM48" s="180" t="s">
        <v>125</v>
      </c>
      <c r="AN48" s="178" t="s">
        <v>126</v>
      </c>
      <c r="AO48" s="178" t="s">
        <v>127</v>
      </c>
    </row>
    <row r="49" s="116" customFormat="1" ht="20" customHeight="1" spans="1:41">
      <c r="A49" s="171">
        <v>41</v>
      </c>
      <c r="B49" s="179"/>
      <c r="C49" s="179"/>
      <c r="D49" s="179"/>
      <c r="E49" s="171"/>
      <c r="F49" s="171" t="s">
        <v>73</v>
      </c>
      <c r="G49" s="171"/>
      <c r="H49" s="171"/>
      <c r="I49" s="171"/>
      <c r="J49" s="171"/>
      <c r="K49" s="173" t="s">
        <v>412</v>
      </c>
      <c r="L49" s="173" t="s">
        <v>413</v>
      </c>
      <c r="M49" s="173" t="s">
        <v>120</v>
      </c>
      <c r="N49" s="174" t="s">
        <v>77</v>
      </c>
      <c r="O49" s="174" t="s">
        <v>77</v>
      </c>
      <c r="P49" s="174" t="s">
        <v>78</v>
      </c>
      <c r="Q49" s="174" t="s">
        <v>77</v>
      </c>
      <c r="R49" s="174" t="str">
        <f t="shared" si="8"/>
        <v>主要Major</v>
      </c>
      <c r="S49" s="175" t="s">
        <v>78</v>
      </c>
      <c r="T49" s="175" t="s">
        <v>414</v>
      </c>
      <c r="U49" s="175" t="s">
        <v>415</v>
      </c>
      <c r="V49" s="172" t="s">
        <v>386</v>
      </c>
      <c r="W49" s="171" t="s">
        <v>111</v>
      </c>
      <c r="X49" s="176">
        <f t="shared" si="9"/>
        <v>1</v>
      </c>
      <c r="Y49" s="171" t="s">
        <v>83</v>
      </c>
      <c r="Z49" s="176">
        <f t="shared" si="10"/>
        <v>6</v>
      </c>
      <c r="AA49" s="171" t="s">
        <v>84</v>
      </c>
      <c r="AB49" s="176">
        <f t="shared" si="11"/>
        <v>3</v>
      </c>
      <c r="AC49" s="171" t="s">
        <v>85</v>
      </c>
      <c r="AD49" s="176">
        <f t="shared" si="12"/>
        <v>4</v>
      </c>
      <c r="AE49" s="171" t="s">
        <v>86</v>
      </c>
      <c r="AF49" s="176" cm="1">
        <f t="array" ref="AF49">IF(OR(AE49="/",AE49=""),"/",IF(ISNUMBER(SEARCH("普通",AE49)),0,IF(ISNUMBER(SEARCH("专用",AE49)),4,IF(ISNUMBER(SEARCH("定制",AE49)),7,IF(ISNUMBER(SEARCH("多个定制",AE49)),9,””)))))</f>
        <v>4</v>
      </c>
      <c r="AG49" s="176">
        <f t="shared" si="13"/>
        <v>18</v>
      </c>
      <c r="AH49" s="176" t="str">
        <f t="shared" si="14"/>
        <v>中Medium</v>
      </c>
      <c r="AI49" s="176" t="s">
        <v>87</v>
      </c>
      <c r="AJ49" s="176" t="str">
        <f t="shared" si="7"/>
        <v>降低
Reucing</v>
      </c>
      <c r="AK49" s="171" t="s">
        <v>416</v>
      </c>
      <c r="AL49" s="177" t="s">
        <v>133</v>
      </c>
      <c r="AM49" s="180" t="s">
        <v>134</v>
      </c>
      <c r="AN49" s="178" t="s">
        <v>135</v>
      </c>
      <c r="AO49" s="178" t="s">
        <v>136</v>
      </c>
    </row>
    <row r="50" s="116" customFormat="1" ht="20" customHeight="1" spans="1:41">
      <c r="A50" s="171">
        <v>42</v>
      </c>
      <c r="B50" s="179"/>
      <c r="C50" s="179"/>
      <c r="D50" s="179"/>
      <c r="E50" s="171"/>
      <c r="F50" s="171" t="s">
        <v>73</v>
      </c>
      <c r="G50" s="171"/>
      <c r="H50" s="171"/>
      <c r="I50" s="171"/>
      <c r="J50" s="171"/>
      <c r="K50" s="173" t="s">
        <v>417</v>
      </c>
      <c r="L50" s="173" t="s">
        <v>418</v>
      </c>
      <c r="M50" s="173" t="s">
        <v>396</v>
      </c>
      <c r="N50" s="174" t="s">
        <v>77</v>
      </c>
      <c r="O50" s="174" t="s">
        <v>77</v>
      </c>
      <c r="P50" s="174" t="s">
        <v>96</v>
      </c>
      <c r="Q50" s="174" t="s">
        <v>96</v>
      </c>
      <c r="R50" s="174" t="str">
        <f t="shared" si="8"/>
        <v>中等Medium</v>
      </c>
      <c r="S50" s="175" t="s">
        <v>96</v>
      </c>
      <c r="T50" s="175" t="s">
        <v>419</v>
      </c>
      <c r="U50" s="175" t="s">
        <v>334</v>
      </c>
      <c r="V50" s="172" t="s">
        <v>375</v>
      </c>
      <c r="W50" s="171" t="s">
        <v>111</v>
      </c>
      <c r="X50" s="176">
        <f t="shared" si="9"/>
        <v>1</v>
      </c>
      <c r="Y50" s="171" t="s">
        <v>83</v>
      </c>
      <c r="Z50" s="176">
        <f t="shared" si="10"/>
        <v>6</v>
      </c>
      <c r="AA50" s="171" t="s">
        <v>153</v>
      </c>
      <c r="AB50" s="176">
        <f t="shared" si="11"/>
        <v>0</v>
      </c>
      <c r="AC50" s="171" t="s">
        <v>85</v>
      </c>
      <c r="AD50" s="176">
        <f t="shared" si="12"/>
        <v>4</v>
      </c>
      <c r="AE50" s="171" t="s">
        <v>86</v>
      </c>
      <c r="AF50" s="176" cm="1">
        <f t="array" ref="AF50">IF(OR(AE50="/",AE50=""),"/",IF(ISNUMBER(SEARCH("普通",AE50)),0,IF(ISNUMBER(SEARCH("专用",AE50)),4,IF(ISNUMBER(SEARCH("定制",AE50)),7,IF(ISNUMBER(SEARCH("多个定制",AE50)),9,””)))))</f>
        <v>4</v>
      </c>
      <c r="AG50" s="176">
        <f t="shared" si="13"/>
        <v>15</v>
      </c>
      <c r="AH50" s="176" t="str">
        <f t="shared" si="14"/>
        <v>中Medium</v>
      </c>
      <c r="AI50" s="176" t="s">
        <v>87</v>
      </c>
      <c r="AJ50" s="176" t="str">
        <f t="shared" si="7"/>
        <v>降低
Reucing</v>
      </c>
      <c r="AK50" s="171" t="s">
        <v>420</v>
      </c>
      <c r="AL50" s="177" t="s">
        <v>421</v>
      </c>
      <c r="AM50" s="180" t="s">
        <v>338</v>
      </c>
      <c r="AN50" s="178" t="s">
        <v>339</v>
      </c>
      <c r="AO50" s="178" t="s">
        <v>340</v>
      </c>
    </row>
    <row r="51" s="116" customFormat="1" ht="20" customHeight="1" spans="1:41">
      <c r="A51" s="171">
        <v>43</v>
      </c>
      <c r="B51" s="179"/>
      <c r="C51" s="179"/>
      <c r="D51" s="179"/>
      <c r="E51" s="171"/>
      <c r="F51" s="171"/>
      <c r="G51" s="171" t="s">
        <v>73</v>
      </c>
      <c r="H51" s="171"/>
      <c r="I51" s="171"/>
      <c r="J51" s="171"/>
      <c r="K51" s="173" t="s">
        <v>422</v>
      </c>
      <c r="L51" s="173" t="s">
        <v>423</v>
      </c>
      <c r="M51" s="173" t="s">
        <v>139</v>
      </c>
      <c r="N51" s="174" t="s">
        <v>77</v>
      </c>
      <c r="O51" s="174" t="s">
        <v>77</v>
      </c>
      <c r="P51" s="174" t="s">
        <v>96</v>
      </c>
      <c r="Q51" s="174" t="s">
        <v>96</v>
      </c>
      <c r="R51" s="174" t="str">
        <f t="shared" si="8"/>
        <v>中等Medium</v>
      </c>
      <c r="S51" s="175" t="s">
        <v>96</v>
      </c>
      <c r="T51" s="175" t="s">
        <v>424</v>
      </c>
      <c r="U51" s="175" t="s">
        <v>425</v>
      </c>
      <c r="V51" s="172" t="s">
        <v>365</v>
      </c>
      <c r="W51" s="171" t="s">
        <v>82</v>
      </c>
      <c r="X51" s="176">
        <f t="shared" si="9"/>
        <v>0</v>
      </c>
      <c r="Y51" s="171" t="s">
        <v>83</v>
      </c>
      <c r="Z51" s="176">
        <f t="shared" si="10"/>
        <v>6</v>
      </c>
      <c r="AA51" s="171" t="s">
        <v>84</v>
      </c>
      <c r="AB51" s="176">
        <f t="shared" si="11"/>
        <v>3</v>
      </c>
      <c r="AC51" s="171" t="s">
        <v>85</v>
      </c>
      <c r="AD51" s="176">
        <f t="shared" si="12"/>
        <v>4</v>
      </c>
      <c r="AE51" s="171" t="s">
        <v>210</v>
      </c>
      <c r="AF51" s="176" cm="1">
        <f t="array" ref="AF51">IF(OR(AE51="/",AE51=""),"/",IF(ISNUMBER(SEARCH("普通",AE51)),0,IF(ISNUMBER(SEARCH("专用",AE51)),4,IF(ISNUMBER(SEARCH("定制",AE51)),7,IF(ISNUMBER(SEARCH("多个定制",AE51)),9,””)))))</f>
        <v>0</v>
      </c>
      <c r="AG51" s="176">
        <f t="shared" si="13"/>
        <v>13</v>
      </c>
      <c r="AH51" s="176" t="str">
        <f t="shared" si="14"/>
        <v>高High</v>
      </c>
      <c r="AI51" s="176" t="s">
        <v>87</v>
      </c>
      <c r="AJ51" s="176" t="str">
        <f t="shared" si="7"/>
        <v>降低
Reucing</v>
      </c>
      <c r="AK51" s="171" t="s">
        <v>426</v>
      </c>
      <c r="AL51" s="177" t="s">
        <v>427</v>
      </c>
      <c r="AM51" s="180" t="s">
        <v>428</v>
      </c>
      <c r="AN51" s="178" t="s">
        <v>429</v>
      </c>
      <c r="AO51" s="178" t="s">
        <v>430</v>
      </c>
    </row>
    <row r="52" s="116" customFormat="1" ht="20" customHeight="1" spans="1:41">
      <c r="A52" s="171">
        <v>44</v>
      </c>
      <c r="B52" s="179"/>
      <c r="C52" s="179"/>
      <c r="D52" s="179"/>
      <c r="E52" s="171"/>
      <c r="F52" s="171"/>
      <c r="G52" s="171" t="s">
        <v>73</v>
      </c>
      <c r="H52" s="171"/>
      <c r="I52" s="171"/>
      <c r="J52" s="171"/>
      <c r="K52" s="173" t="s">
        <v>431</v>
      </c>
      <c r="L52" s="173" t="s">
        <v>432</v>
      </c>
      <c r="M52" s="173" t="s">
        <v>295</v>
      </c>
      <c r="N52" s="174" t="s">
        <v>77</v>
      </c>
      <c r="O52" s="174" t="s">
        <v>77</v>
      </c>
      <c r="P52" s="174" t="s">
        <v>96</v>
      </c>
      <c r="Q52" s="174" t="s">
        <v>96</v>
      </c>
      <c r="R52" s="174" t="str">
        <f t="shared" ref="R52:R83" si="15">IF(OR(N52="严重Severe",O52="严重Severe",P52="严重Severe",Q52="严重Severe"),"严重Severe",IF(OR(N52="主要Major",O52="主要Major",P52="主要Major",Q52="主要Major"),"主要Major",IF(OR(N52="中等Medium",O52="中等Medium",P52="中等Medium",Q52="中等Medium"),"中等Medium",IF(OR(N52="可忽略不计Negligible",O52="可忽略不计Negligible",P52="可忽略不计Negligible",Q52="可忽略不计Negligible"),"可忽略不计Negligible","/"))))</f>
        <v>中等Medium</v>
      </c>
      <c r="S52" s="175" t="s">
        <v>96</v>
      </c>
      <c r="T52" s="175" t="s">
        <v>433</v>
      </c>
      <c r="U52" s="175" t="s">
        <v>297</v>
      </c>
      <c r="V52" s="172" t="s">
        <v>434</v>
      </c>
      <c r="W52" s="171" t="s">
        <v>82</v>
      </c>
      <c r="X52" s="176">
        <f t="shared" si="9"/>
        <v>0</v>
      </c>
      <c r="Y52" s="171" t="s">
        <v>83</v>
      </c>
      <c r="Z52" s="176">
        <f t="shared" si="10"/>
        <v>6</v>
      </c>
      <c r="AA52" s="171" t="s">
        <v>153</v>
      </c>
      <c r="AB52" s="176">
        <f t="shared" si="11"/>
        <v>0</v>
      </c>
      <c r="AC52" s="171" t="s">
        <v>191</v>
      </c>
      <c r="AD52" s="176">
        <f t="shared" si="12"/>
        <v>1</v>
      </c>
      <c r="AE52" s="171" t="s">
        <v>86</v>
      </c>
      <c r="AF52" s="176" cm="1">
        <f t="array" ref="AF52">IF(OR(AE52="/",AE52=""),"/",IF(ISNUMBER(SEARCH("普通",AE52)),0,IF(ISNUMBER(SEARCH("专用",AE52)),4,IF(ISNUMBER(SEARCH("定制",AE52)),7,IF(ISNUMBER(SEARCH("多个定制",AE52)),9,””)))))</f>
        <v>4</v>
      </c>
      <c r="AG52" s="176">
        <f t="shared" si="13"/>
        <v>11</v>
      </c>
      <c r="AH52" s="176" t="str">
        <f t="shared" si="14"/>
        <v>高High</v>
      </c>
      <c r="AI52" s="176" t="s">
        <v>87</v>
      </c>
      <c r="AJ52" s="176" t="str">
        <f t="shared" si="7"/>
        <v>降低
Reucing</v>
      </c>
      <c r="AK52" s="171" t="s">
        <v>435</v>
      </c>
      <c r="AL52" s="177" t="s">
        <v>436</v>
      </c>
      <c r="AM52" s="180" t="s">
        <v>259</v>
      </c>
      <c r="AN52" s="178" t="s">
        <v>301</v>
      </c>
      <c r="AO52" s="178" t="s">
        <v>302</v>
      </c>
    </row>
    <row r="53" s="116" customFormat="1" ht="20" customHeight="1" spans="1:41">
      <c r="A53" s="171">
        <v>45</v>
      </c>
      <c r="B53" s="179"/>
      <c r="C53" s="179"/>
      <c r="D53" s="179"/>
      <c r="E53" s="171"/>
      <c r="F53" s="171"/>
      <c r="G53" s="171" t="s">
        <v>73</v>
      </c>
      <c r="H53" s="171"/>
      <c r="I53" s="171"/>
      <c r="J53" s="171"/>
      <c r="K53" s="173" t="s">
        <v>437</v>
      </c>
      <c r="L53" s="173" t="s">
        <v>438</v>
      </c>
      <c r="M53" s="173" t="s">
        <v>295</v>
      </c>
      <c r="N53" s="174" t="s">
        <v>77</v>
      </c>
      <c r="O53" s="174" t="s">
        <v>77</v>
      </c>
      <c r="P53" s="174" t="s">
        <v>96</v>
      </c>
      <c r="Q53" s="174" t="s">
        <v>77</v>
      </c>
      <c r="R53" s="174" t="str">
        <f t="shared" si="15"/>
        <v>中等Medium</v>
      </c>
      <c r="S53" s="175" t="s">
        <v>96</v>
      </c>
      <c r="T53" s="175" t="s">
        <v>439</v>
      </c>
      <c r="U53" s="175" t="s">
        <v>440</v>
      </c>
      <c r="V53" s="172" t="s">
        <v>441</v>
      </c>
      <c r="W53" s="171" t="s">
        <v>82</v>
      </c>
      <c r="X53" s="176">
        <f t="shared" si="9"/>
        <v>0</v>
      </c>
      <c r="Y53" s="171" t="s">
        <v>83</v>
      </c>
      <c r="Z53" s="176">
        <f t="shared" si="10"/>
        <v>6</v>
      </c>
      <c r="AA53" s="171" t="s">
        <v>153</v>
      </c>
      <c r="AB53" s="176">
        <f t="shared" si="11"/>
        <v>0</v>
      </c>
      <c r="AC53" s="171" t="s">
        <v>85</v>
      </c>
      <c r="AD53" s="176">
        <f t="shared" si="12"/>
        <v>4</v>
      </c>
      <c r="AE53" s="171" t="s">
        <v>86</v>
      </c>
      <c r="AF53" s="176" cm="1">
        <f t="array" ref="AF53">IF(OR(AE53="/",AE53=""),"/",IF(ISNUMBER(SEARCH("普通",AE53)),0,IF(ISNUMBER(SEARCH("专用",AE53)),4,IF(ISNUMBER(SEARCH("定制",AE53)),7,IF(ISNUMBER(SEARCH("多个定制",AE53)),9,””)))))</f>
        <v>4</v>
      </c>
      <c r="AG53" s="176">
        <f t="shared" si="13"/>
        <v>14</v>
      </c>
      <c r="AH53" s="176" t="str">
        <f t="shared" si="14"/>
        <v>中Medium</v>
      </c>
      <c r="AI53" s="176" t="s">
        <v>87</v>
      </c>
      <c r="AJ53" s="176" t="str">
        <f t="shared" si="7"/>
        <v>降低
Reucing</v>
      </c>
      <c r="AK53" s="171" t="s">
        <v>442</v>
      </c>
      <c r="AL53" s="177" t="s">
        <v>443</v>
      </c>
      <c r="AM53" s="180" t="s">
        <v>444</v>
      </c>
      <c r="AN53" s="178" t="s">
        <v>445</v>
      </c>
      <c r="AO53" s="178" t="s">
        <v>446</v>
      </c>
    </row>
    <row r="54" s="116" customFormat="1" ht="20" customHeight="1" spans="1:41">
      <c r="A54" s="171">
        <v>46</v>
      </c>
      <c r="B54" s="179"/>
      <c r="C54" s="179"/>
      <c r="D54" s="179"/>
      <c r="E54" s="171"/>
      <c r="F54" s="171"/>
      <c r="G54" s="171" t="s">
        <v>73</v>
      </c>
      <c r="H54" s="171"/>
      <c r="I54" s="171"/>
      <c r="J54" s="171"/>
      <c r="K54" s="173" t="s">
        <v>447</v>
      </c>
      <c r="L54" s="173" t="s">
        <v>448</v>
      </c>
      <c r="M54" s="173" t="s">
        <v>139</v>
      </c>
      <c r="N54" s="174" t="s">
        <v>77</v>
      </c>
      <c r="O54" s="174" t="s">
        <v>77</v>
      </c>
      <c r="P54" s="174" t="s">
        <v>78</v>
      </c>
      <c r="Q54" s="174" t="s">
        <v>77</v>
      </c>
      <c r="R54" s="174" t="str">
        <f t="shared" si="15"/>
        <v>主要Major</v>
      </c>
      <c r="S54" s="175" t="s">
        <v>78</v>
      </c>
      <c r="T54" s="175" t="s">
        <v>449</v>
      </c>
      <c r="U54" s="175" t="s">
        <v>141</v>
      </c>
      <c r="V54" s="172" t="s">
        <v>386</v>
      </c>
      <c r="W54" s="171" t="s">
        <v>142</v>
      </c>
      <c r="X54" s="176">
        <f t="shared" si="9"/>
        <v>4</v>
      </c>
      <c r="Y54" s="171" t="s">
        <v>83</v>
      </c>
      <c r="Z54" s="176">
        <f t="shared" si="10"/>
        <v>6</v>
      </c>
      <c r="AA54" s="171" t="s">
        <v>84</v>
      </c>
      <c r="AB54" s="176">
        <f t="shared" si="11"/>
        <v>3</v>
      </c>
      <c r="AC54" s="171" t="s">
        <v>85</v>
      </c>
      <c r="AD54" s="176">
        <f t="shared" si="12"/>
        <v>4</v>
      </c>
      <c r="AE54" s="171" t="s">
        <v>143</v>
      </c>
      <c r="AF54" s="176" cm="1">
        <f t="array" ref="AF54">IF(OR(AE54="/",AE54=""),"/",IF(ISNUMBER(SEARCH("普通",AE54)),0,IF(ISNUMBER(SEARCH("专用",AE54)),4,IF(ISNUMBER(SEARCH("定制",AE54)),7,IF(ISNUMBER(SEARCH("多个定制",AE54)),9,””)))))</f>
        <v>7</v>
      </c>
      <c r="AG54" s="176">
        <f t="shared" si="13"/>
        <v>24</v>
      </c>
      <c r="AH54" s="176" t="str">
        <f t="shared" si="14"/>
        <v>低Low</v>
      </c>
      <c r="AI54" s="176" t="s">
        <v>144</v>
      </c>
      <c r="AJ54" s="176" t="str">
        <f t="shared" si="7"/>
        <v>保留
Retaining</v>
      </c>
      <c r="AK54" s="171" t="s">
        <v>145</v>
      </c>
      <c r="AL54" s="177" t="s">
        <v>145</v>
      </c>
      <c r="AM54" s="171" t="s">
        <v>145</v>
      </c>
      <c r="AN54" s="178" t="s">
        <v>275</v>
      </c>
      <c r="AO54" s="178" t="s">
        <v>276</v>
      </c>
    </row>
    <row r="55" s="116" customFormat="1" ht="20" customHeight="1" spans="1:41">
      <c r="A55" s="171">
        <v>47</v>
      </c>
      <c r="B55" s="179"/>
      <c r="C55" s="179"/>
      <c r="D55" s="179"/>
      <c r="E55" s="171"/>
      <c r="F55" s="171"/>
      <c r="G55" s="171" t="s">
        <v>73</v>
      </c>
      <c r="H55" s="171"/>
      <c r="I55" s="171"/>
      <c r="J55" s="171"/>
      <c r="K55" s="173" t="s">
        <v>450</v>
      </c>
      <c r="L55" s="173" t="s">
        <v>451</v>
      </c>
      <c r="M55" s="173" t="s">
        <v>150</v>
      </c>
      <c r="N55" s="174" t="s">
        <v>77</v>
      </c>
      <c r="O55" s="174" t="s">
        <v>77</v>
      </c>
      <c r="P55" s="174" t="s">
        <v>96</v>
      </c>
      <c r="Q55" s="174" t="s">
        <v>77</v>
      </c>
      <c r="R55" s="174" t="str">
        <f t="shared" si="15"/>
        <v>中等Medium</v>
      </c>
      <c r="S55" s="175" t="s">
        <v>96</v>
      </c>
      <c r="T55" s="175" t="s">
        <v>452</v>
      </c>
      <c r="U55" s="175" t="s">
        <v>152</v>
      </c>
      <c r="V55" s="172" t="s">
        <v>386</v>
      </c>
      <c r="W55" s="171" t="s">
        <v>82</v>
      </c>
      <c r="X55" s="176">
        <f t="shared" si="9"/>
        <v>0</v>
      </c>
      <c r="Y55" s="171" t="s">
        <v>83</v>
      </c>
      <c r="Z55" s="176">
        <f t="shared" si="10"/>
        <v>6</v>
      </c>
      <c r="AA55" s="171" t="s">
        <v>153</v>
      </c>
      <c r="AB55" s="176">
        <f t="shared" si="11"/>
        <v>0</v>
      </c>
      <c r="AC55" s="171" t="s">
        <v>85</v>
      </c>
      <c r="AD55" s="176">
        <f t="shared" si="12"/>
        <v>4</v>
      </c>
      <c r="AE55" s="171" t="s">
        <v>143</v>
      </c>
      <c r="AF55" s="176" cm="1">
        <f t="array" ref="AF55">IF(OR(AE55="/",AE55=""),"/",IF(ISNUMBER(SEARCH("普通",AE55)),0,IF(ISNUMBER(SEARCH("专用",AE55)),4,IF(ISNUMBER(SEARCH("定制",AE55)),7,IF(ISNUMBER(SEARCH("多个定制",AE55)),9,””)))))</f>
        <v>7</v>
      </c>
      <c r="AG55" s="176">
        <f t="shared" si="13"/>
        <v>17</v>
      </c>
      <c r="AH55" s="176" t="str">
        <f t="shared" si="14"/>
        <v>中Medium</v>
      </c>
      <c r="AI55" s="176" t="s">
        <v>144</v>
      </c>
      <c r="AJ55" s="176" t="str">
        <f t="shared" si="7"/>
        <v>保留
Retaining</v>
      </c>
      <c r="AK55" s="171" t="s">
        <v>145</v>
      </c>
      <c r="AL55" s="177" t="s">
        <v>145</v>
      </c>
      <c r="AM55" s="171" t="s">
        <v>145</v>
      </c>
      <c r="AN55" s="178" t="s">
        <v>280</v>
      </c>
      <c r="AO55" s="178" t="s">
        <v>281</v>
      </c>
    </row>
    <row r="56" s="116" customFormat="1" ht="20" customHeight="1" spans="1:41">
      <c r="A56" s="171">
        <v>48</v>
      </c>
      <c r="B56" s="179"/>
      <c r="C56" s="179"/>
      <c r="D56" s="179"/>
      <c r="E56" s="171"/>
      <c r="F56" s="171"/>
      <c r="G56" s="171" t="s">
        <v>73</v>
      </c>
      <c r="H56" s="171"/>
      <c r="I56" s="171"/>
      <c r="J56" s="171"/>
      <c r="K56" s="173" t="s">
        <v>453</v>
      </c>
      <c r="L56" s="173" t="s">
        <v>454</v>
      </c>
      <c r="M56" s="173" t="s">
        <v>139</v>
      </c>
      <c r="N56" s="174" t="s">
        <v>77</v>
      </c>
      <c r="O56" s="174" t="s">
        <v>77</v>
      </c>
      <c r="P56" s="174" t="s">
        <v>78</v>
      </c>
      <c r="Q56" s="174" t="s">
        <v>77</v>
      </c>
      <c r="R56" s="174" t="str">
        <f t="shared" si="15"/>
        <v>主要Major</v>
      </c>
      <c r="S56" s="175" t="s">
        <v>78</v>
      </c>
      <c r="T56" s="175" t="s">
        <v>455</v>
      </c>
      <c r="U56" s="175" t="s">
        <v>456</v>
      </c>
      <c r="V56" s="172" t="s">
        <v>457</v>
      </c>
      <c r="W56" s="171" t="s">
        <v>82</v>
      </c>
      <c r="X56" s="176">
        <f t="shared" si="9"/>
        <v>0</v>
      </c>
      <c r="Y56" s="171" t="s">
        <v>83</v>
      </c>
      <c r="Z56" s="176">
        <f t="shared" si="10"/>
        <v>6</v>
      </c>
      <c r="AA56" s="171" t="s">
        <v>84</v>
      </c>
      <c r="AB56" s="176">
        <f t="shared" si="11"/>
        <v>3</v>
      </c>
      <c r="AC56" s="171" t="s">
        <v>85</v>
      </c>
      <c r="AD56" s="176">
        <f t="shared" si="12"/>
        <v>4</v>
      </c>
      <c r="AE56" s="171" t="s">
        <v>143</v>
      </c>
      <c r="AF56" s="176" cm="1">
        <f t="array" ref="AF56">IF(OR(AE56="/",AE56=""),"/",IF(ISNUMBER(SEARCH("普通",AE56)),0,IF(ISNUMBER(SEARCH("专用",AE56)),4,IF(ISNUMBER(SEARCH("定制",AE56)),7,IF(ISNUMBER(SEARCH("多个定制",AE56)),9,””)))))</f>
        <v>7</v>
      </c>
      <c r="AG56" s="176">
        <f t="shared" si="13"/>
        <v>20</v>
      </c>
      <c r="AH56" s="176" t="str">
        <f t="shared" si="14"/>
        <v>低Low</v>
      </c>
      <c r="AI56" s="176" t="s">
        <v>144</v>
      </c>
      <c r="AJ56" s="176" t="str">
        <f t="shared" si="7"/>
        <v>保留
Retaining</v>
      </c>
      <c r="AK56" s="171" t="s">
        <v>145</v>
      </c>
      <c r="AL56" s="177" t="s">
        <v>145</v>
      </c>
      <c r="AM56" s="180" t="s">
        <v>161</v>
      </c>
      <c r="AN56" s="178" t="s">
        <v>162</v>
      </c>
      <c r="AO56" s="178" t="s">
        <v>163</v>
      </c>
    </row>
    <row r="57" s="116" customFormat="1" ht="20" customHeight="1" spans="1:41">
      <c r="A57" s="171">
        <v>49</v>
      </c>
      <c r="B57" s="179"/>
      <c r="C57" s="179"/>
      <c r="D57" s="179"/>
      <c r="E57" s="171"/>
      <c r="F57" s="171"/>
      <c r="G57" s="171"/>
      <c r="H57" s="171" t="s">
        <v>73</v>
      </c>
      <c r="I57" s="171"/>
      <c r="J57" s="171"/>
      <c r="K57" s="173" t="s">
        <v>458</v>
      </c>
      <c r="L57" s="173" t="s">
        <v>459</v>
      </c>
      <c r="M57" s="173" t="s">
        <v>166</v>
      </c>
      <c r="N57" s="174" t="s">
        <v>77</v>
      </c>
      <c r="O57" s="174" t="s">
        <v>77</v>
      </c>
      <c r="P57" s="174" t="s">
        <v>96</v>
      </c>
      <c r="Q57" s="174" t="s">
        <v>96</v>
      </c>
      <c r="R57" s="174" t="str">
        <f t="shared" si="15"/>
        <v>中等Medium</v>
      </c>
      <c r="S57" s="175" t="s">
        <v>96</v>
      </c>
      <c r="T57" s="175" t="s">
        <v>460</v>
      </c>
      <c r="U57" s="175" t="s">
        <v>461</v>
      </c>
      <c r="V57" s="172" t="s">
        <v>462</v>
      </c>
      <c r="W57" s="171" t="s">
        <v>82</v>
      </c>
      <c r="X57" s="176">
        <f t="shared" si="9"/>
        <v>0</v>
      </c>
      <c r="Y57" s="171" t="s">
        <v>177</v>
      </c>
      <c r="Z57" s="176">
        <f t="shared" si="10"/>
        <v>3</v>
      </c>
      <c r="AA57" s="171" t="s">
        <v>84</v>
      </c>
      <c r="AB57" s="176">
        <f t="shared" si="11"/>
        <v>3</v>
      </c>
      <c r="AC57" s="171" t="s">
        <v>85</v>
      </c>
      <c r="AD57" s="176">
        <f t="shared" si="12"/>
        <v>4</v>
      </c>
      <c r="AE57" s="171" t="s">
        <v>210</v>
      </c>
      <c r="AF57" s="176" cm="1">
        <f t="array" ref="AF57">IF(OR(AE57="/",AE57=""),"/",IF(ISNUMBER(SEARCH("普通",AE57)),0,IF(ISNUMBER(SEARCH("专用",AE57)),4,IF(ISNUMBER(SEARCH("定制",AE57)),7,IF(ISNUMBER(SEARCH("多个定制",AE57)),9,””)))))</f>
        <v>0</v>
      </c>
      <c r="AG57" s="176">
        <f t="shared" si="13"/>
        <v>10</v>
      </c>
      <c r="AH57" s="176" t="str">
        <f t="shared" si="14"/>
        <v>高High</v>
      </c>
      <c r="AI57" s="176" t="s">
        <v>87</v>
      </c>
      <c r="AJ57" s="176" t="str">
        <f t="shared" si="7"/>
        <v>降低
Reucing</v>
      </c>
      <c r="AK57" s="171" t="s">
        <v>463</v>
      </c>
      <c r="AL57" s="177" t="s">
        <v>464</v>
      </c>
      <c r="AM57" s="180" t="s">
        <v>169</v>
      </c>
      <c r="AN57" s="178" t="s">
        <v>170</v>
      </c>
      <c r="AO57" s="178" t="s">
        <v>171</v>
      </c>
    </row>
    <row r="58" s="116" customFormat="1" ht="20" customHeight="1" spans="1:41">
      <c r="A58" s="171">
        <v>50</v>
      </c>
      <c r="B58" s="179"/>
      <c r="C58" s="179"/>
      <c r="D58" s="179"/>
      <c r="E58" s="171"/>
      <c r="F58" s="171"/>
      <c r="G58" s="171"/>
      <c r="H58" s="171" t="s">
        <v>73</v>
      </c>
      <c r="I58" s="171"/>
      <c r="J58" s="171"/>
      <c r="K58" s="173" t="s">
        <v>465</v>
      </c>
      <c r="L58" s="173" t="s">
        <v>466</v>
      </c>
      <c r="M58" s="173" t="s">
        <v>166</v>
      </c>
      <c r="N58" s="174" t="s">
        <v>77</v>
      </c>
      <c r="O58" s="174" t="s">
        <v>77</v>
      </c>
      <c r="P58" s="174" t="s">
        <v>78</v>
      </c>
      <c r="Q58" s="174" t="s">
        <v>77</v>
      </c>
      <c r="R58" s="174" t="str">
        <f t="shared" si="15"/>
        <v>主要Major</v>
      </c>
      <c r="S58" s="175" t="s">
        <v>78</v>
      </c>
      <c r="T58" s="175" t="s">
        <v>467</v>
      </c>
      <c r="U58" s="175" t="s">
        <v>468</v>
      </c>
      <c r="V58" s="171" t="s">
        <v>386</v>
      </c>
      <c r="W58" s="171" t="s">
        <v>82</v>
      </c>
      <c r="X58" s="176">
        <f t="shared" si="9"/>
        <v>0</v>
      </c>
      <c r="Y58" s="171" t="s">
        <v>83</v>
      </c>
      <c r="Z58" s="176">
        <f t="shared" si="10"/>
        <v>6</v>
      </c>
      <c r="AA58" s="171" t="s">
        <v>190</v>
      </c>
      <c r="AB58" s="176">
        <f t="shared" si="11"/>
        <v>7</v>
      </c>
      <c r="AC58" s="171" t="s">
        <v>85</v>
      </c>
      <c r="AD58" s="176">
        <f t="shared" si="12"/>
        <v>4</v>
      </c>
      <c r="AE58" s="171" t="s">
        <v>86</v>
      </c>
      <c r="AF58" s="176" cm="1">
        <f t="array" ref="AF58">IF(OR(AE58="/",AE58=""),"/",IF(ISNUMBER(SEARCH("普通",AE58)),0,IF(ISNUMBER(SEARCH("专用",AE58)),4,IF(ISNUMBER(SEARCH("定制",AE58)),7,IF(ISNUMBER(SEARCH("多个定制",AE58)),9,””)))))</f>
        <v>4</v>
      </c>
      <c r="AG58" s="176">
        <f t="shared" si="13"/>
        <v>21</v>
      </c>
      <c r="AH58" s="176" t="str">
        <f t="shared" si="14"/>
        <v>低Low</v>
      </c>
      <c r="AI58" s="176" t="s">
        <v>144</v>
      </c>
      <c r="AJ58" s="176" t="str">
        <f t="shared" si="7"/>
        <v>保留
Retaining</v>
      </c>
      <c r="AK58" s="171" t="s">
        <v>145</v>
      </c>
      <c r="AL58" s="177" t="s">
        <v>145</v>
      </c>
      <c r="AM58" s="180" t="s">
        <v>316</v>
      </c>
      <c r="AN58" s="178" t="s">
        <v>317</v>
      </c>
      <c r="AO58" s="178" t="s">
        <v>318</v>
      </c>
    </row>
    <row r="59" s="116" customFormat="1" ht="20" customHeight="1" spans="1:41">
      <c r="A59" s="171">
        <v>51</v>
      </c>
      <c r="B59" s="179"/>
      <c r="C59" s="179"/>
      <c r="D59" s="179"/>
      <c r="E59" s="171"/>
      <c r="F59" s="171"/>
      <c r="G59" s="171"/>
      <c r="H59" s="171" t="s">
        <v>73</v>
      </c>
      <c r="I59" s="171"/>
      <c r="J59" s="171"/>
      <c r="K59" s="173" t="s">
        <v>469</v>
      </c>
      <c r="L59" s="173" t="s">
        <v>470</v>
      </c>
      <c r="M59" s="173" t="s">
        <v>471</v>
      </c>
      <c r="N59" s="174" t="s">
        <v>77</v>
      </c>
      <c r="O59" s="174" t="s">
        <v>77</v>
      </c>
      <c r="P59" s="174" t="s">
        <v>78</v>
      </c>
      <c r="Q59" s="174" t="s">
        <v>77</v>
      </c>
      <c r="R59" s="174" t="str">
        <f t="shared" si="15"/>
        <v>主要Major</v>
      </c>
      <c r="S59" s="175" t="s">
        <v>78</v>
      </c>
      <c r="T59" s="175" t="s">
        <v>472</v>
      </c>
      <c r="U59" s="175" t="s">
        <v>473</v>
      </c>
      <c r="V59" s="171" t="s">
        <v>474</v>
      </c>
      <c r="W59" s="171" t="s">
        <v>111</v>
      </c>
      <c r="X59" s="176">
        <f t="shared" si="9"/>
        <v>1</v>
      </c>
      <c r="Y59" s="171" t="s">
        <v>177</v>
      </c>
      <c r="Z59" s="176">
        <f t="shared" si="10"/>
        <v>3</v>
      </c>
      <c r="AA59" s="171" t="s">
        <v>190</v>
      </c>
      <c r="AB59" s="176">
        <f t="shared" si="11"/>
        <v>7</v>
      </c>
      <c r="AC59" s="171" t="s">
        <v>85</v>
      </c>
      <c r="AD59" s="176">
        <f t="shared" si="12"/>
        <v>4</v>
      </c>
      <c r="AE59" s="171" t="s">
        <v>143</v>
      </c>
      <c r="AF59" s="176" cm="1">
        <f t="array" ref="AF59">IF(OR(AE59="/",AE59=""),"/",IF(ISNUMBER(SEARCH("普通",AE59)),0,IF(ISNUMBER(SEARCH("专用",AE59)),4,IF(ISNUMBER(SEARCH("定制",AE59)),7,IF(ISNUMBER(SEARCH("多个定制",AE59)),9,””)))))</f>
        <v>7</v>
      </c>
      <c r="AG59" s="176">
        <f t="shared" si="13"/>
        <v>22</v>
      </c>
      <c r="AH59" s="176" t="str">
        <f t="shared" si="14"/>
        <v>低Low</v>
      </c>
      <c r="AI59" s="176" t="s">
        <v>87</v>
      </c>
      <c r="AJ59" s="176" t="str">
        <f t="shared" si="7"/>
        <v>降低
Reucing</v>
      </c>
      <c r="AK59" s="171" t="s">
        <v>475</v>
      </c>
      <c r="AL59" s="177" t="s">
        <v>476</v>
      </c>
      <c r="AM59" s="180" t="s">
        <v>477</v>
      </c>
      <c r="AN59" s="178" t="s">
        <v>478</v>
      </c>
      <c r="AO59" s="178" t="s">
        <v>479</v>
      </c>
    </row>
    <row r="60" s="116" customFormat="1" ht="20" customHeight="1" spans="1:41">
      <c r="A60" s="171">
        <v>52</v>
      </c>
      <c r="B60" s="179"/>
      <c r="C60" s="179"/>
      <c r="D60" s="179"/>
      <c r="E60" s="171"/>
      <c r="F60" s="171"/>
      <c r="G60" s="171"/>
      <c r="H60" s="171"/>
      <c r="I60" s="171" t="s">
        <v>73</v>
      </c>
      <c r="J60" s="171"/>
      <c r="K60" s="173" t="s">
        <v>480</v>
      </c>
      <c r="L60" s="173" t="s">
        <v>481</v>
      </c>
      <c r="M60" s="173" t="s">
        <v>174</v>
      </c>
      <c r="N60" s="174" t="s">
        <v>77</v>
      </c>
      <c r="O60" s="174" t="s">
        <v>77</v>
      </c>
      <c r="P60" s="174" t="s">
        <v>96</v>
      </c>
      <c r="Q60" s="174" t="s">
        <v>77</v>
      </c>
      <c r="R60" s="174" t="str">
        <f t="shared" si="15"/>
        <v>中等Medium</v>
      </c>
      <c r="S60" s="175" t="s">
        <v>96</v>
      </c>
      <c r="T60" s="175" t="s">
        <v>482</v>
      </c>
      <c r="U60" s="175" t="s">
        <v>176</v>
      </c>
      <c r="V60" s="171" t="s">
        <v>386</v>
      </c>
      <c r="W60" s="171" t="s">
        <v>82</v>
      </c>
      <c r="X60" s="176">
        <f t="shared" si="9"/>
        <v>0</v>
      </c>
      <c r="Y60" s="171" t="s">
        <v>177</v>
      </c>
      <c r="Z60" s="176">
        <f t="shared" si="10"/>
        <v>3</v>
      </c>
      <c r="AA60" s="171" t="s">
        <v>153</v>
      </c>
      <c r="AB60" s="176">
        <f t="shared" si="11"/>
        <v>0</v>
      </c>
      <c r="AC60" s="171" t="s">
        <v>85</v>
      </c>
      <c r="AD60" s="176">
        <f t="shared" si="12"/>
        <v>4</v>
      </c>
      <c r="AE60" s="171" t="s">
        <v>86</v>
      </c>
      <c r="AF60" s="176" cm="1">
        <f t="array" ref="AF60">IF(OR(AE60="/",AE60=""),"/",IF(ISNUMBER(SEARCH("普通",AE60)),0,IF(ISNUMBER(SEARCH("专用",AE60)),4,IF(ISNUMBER(SEARCH("定制",AE60)),7,IF(ISNUMBER(SEARCH("多个定制",AE60)),9,””)))))</f>
        <v>4</v>
      </c>
      <c r="AG60" s="176">
        <f t="shared" si="13"/>
        <v>11</v>
      </c>
      <c r="AH60" s="176" t="str">
        <f t="shared" si="14"/>
        <v>高High</v>
      </c>
      <c r="AI60" s="176" t="s">
        <v>87</v>
      </c>
      <c r="AJ60" s="176" t="str">
        <f t="shared" si="7"/>
        <v>降低
Reucing</v>
      </c>
      <c r="AK60" s="171" t="s">
        <v>483</v>
      </c>
      <c r="AL60" s="177" t="s">
        <v>328</v>
      </c>
      <c r="AM60" s="180" t="s">
        <v>329</v>
      </c>
      <c r="AN60" s="178" t="s">
        <v>181</v>
      </c>
      <c r="AO60" s="178" t="s">
        <v>182</v>
      </c>
    </row>
    <row r="61" s="116" customFormat="1" ht="20" customHeight="1" spans="1:41">
      <c r="A61" s="171">
        <v>53</v>
      </c>
      <c r="B61" s="179"/>
      <c r="C61" s="179"/>
      <c r="D61" s="179"/>
      <c r="E61" s="171"/>
      <c r="F61" s="171"/>
      <c r="G61" s="171"/>
      <c r="H61" s="171"/>
      <c r="I61" s="171" t="s">
        <v>73</v>
      </c>
      <c r="J61" s="171"/>
      <c r="K61" s="173" t="s">
        <v>484</v>
      </c>
      <c r="L61" s="173" t="s">
        <v>485</v>
      </c>
      <c r="M61" s="173" t="s">
        <v>486</v>
      </c>
      <c r="N61" s="174" t="s">
        <v>77</v>
      </c>
      <c r="O61" s="174" t="s">
        <v>77</v>
      </c>
      <c r="P61" s="174" t="s">
        <v>96</v>
      </c>
      <c r="Q61" s="174" t="s">
        <v>96</v>
      </c>
      <c r="R61" s="174" t="str">
        <f t="shared" si="15"/>
        <v>中等Medium</v>
      </c>
      <c r="S61" s="175" t="s">
        <v>96</v>
      </c>
      <c r="T61" s="175" t="s">
        <v>487</v>
      </c>
      <c r="U61" s="175" t="s">
        <v>488</v>
      </c>
      <c r="V61" s="171" t="s">
        <v>489</v>
      </c>
      <c r="W61" s="171" t="s">
        <v>82</v>
      </c>
      <c r="X61" s="176">
        <f t="shared" si="9"/>
        <v>0</v>
      </c>
      <c r="Y61" s="171" t="s">
        <v>177</v>
      </c>
      <c r="Z61" s="176">
        <f t="shared" si="10"/>
        <v>3</v>
      </c>
      <c r="AA61" s="171" t="s">
        <v>153</v>
      </c>
      <c r="AB61" s="176">
        <f t="shared" si="11"/>
        <v>0</v>
      </c>
      <c r="AC61" s="171" t="s">
        <v>85</v>
      </c>
      <c r="AD61" s="176">
        <f t="shared" si="12"/>
        <v>4</v>
      </c>
      <c r="AE61" s="171" t="s">
        <v>86</v>
      </c>
      <c r="AF61" s="176" cm="1">
        <f t="array" ref="AF61">IF(OR(AE61="/",AE61=""),"/",IF(ISNUMBER(SEARCH("普通",AE61)),0,IF(ISNUMBER(SEARCH("专用",AE61)),4,IF(ISNUMBER(SEARCH("定制",AE61)),7,IF(ISNUMBER(SEARCH("多个定制",AE61)),9,””)))))</f>
        <v>4</v>
      </c>
      <c r="AG61" s="176">
        <f t="shared" si="13"/>
        <v>11</v>
      </c>
      <c r="AH61" s="176" t="str">
        <f t="shared" si="14"/>
        <v>高High</v>
      </c>
      <c r="AI61" s="176" t="s">
        <v>87</v>
      </c>
      <c r="AJ61" s="176" t="str">
        <f t="shared" si="7"/>
        <v>降低
Reucing</v>
      </c>
      <c r="AK61" s="171" t="s">
        <v>490</v>
      </c>
      <c r="AL61" s="177" t="s">
        <v>491</v>
      </c>
      <c r="AM61" s="180" t="s">
        <v>492</v>
      </c>
      <c r="AN61" s="178" t="s">
        <v>493</v>
      </c>
      <c r="AO61" s="178" t="s">
        <v>494</v>
      </c>
    </row>
    <row r="62" s="116" customFormat="1" ht="20" customHeight="1" spans="1:41">
      <c r="A62" s="171">
        <v>54</v>
      </c>
      <c r="B62" s="179"/>
      <c r="C62" s="179"/>
      <c r="D62" s="179"/>
      <c r="E62" s="171"/>
      <c r="F62" s="171"/>
      <c r="G62" s="171"/>
      <c r="H62" s="171"/>
      <c r="I62" s="171"/>
      <c r="J62" s="171" t="s">
        <v>73</v>
      </c>
      <c r="K62" s="173" t="s">
        <v>495</v>
      </c>
      <c r="L62" s="173" t="s">
        <v>496</v>
      </c>
      <c r="M62" s="173" t="s">
        <v>343</v>
      </c>
      <c r="N62" s="174" t="s">
        <v>77</v>
      </c>
      <c r="O62" s="174" t="s">
        <v>96</v>
      </c>
      <c r="P62" s="174" t="s">
        <v>77</v>
      </c>
      <c r="Q62" s="174" t="s">
        <v>96</v>
      </c>
      <c r="R62" s="174" t="str">
        <f t="shared" si="15"/>
        <v>中等Medium</v>
      </c>
      <c r="S62" s="175" t="s">
        <v>96</v>
      </c>
      <c r="T62" s="175" t="s">
        <v>497</v>
      </c>
      <c r="U62" s="175" t="s">
        <v>220</v>
      </c>
      <c r="V62" s="171" t="s">
        <v>498</v>
      </c>
      <c r="W62" s="171" t="s">
        <v>82</v>
      </c>
      <c r="X62" s="176">
        <f t="shared" si="9"/>
        <v>0</v>
      </c>
      <c r="Y62" s="171" t="s">
        <v>83</v>
      </c>
      <c r="Z62" s="176">
        <f t="shared" si="10"/>
        <v>6</v>
      </c>
      <c r="AA62" s="171" t="s">
        <v>84</v>
      </c>
      <c r="AB62" s="176">
        <f t="shared" si="11"/>
        <v>3</v>
      </c>
      <c r="AC62" s="171" t="s">
        <v>85</v>
      </c>
      <c r="AD62" s="176">
        <f t="shared" si="12"/>
        <v>4</v>
      </c>
      <c r="AE62" s="171" t="s">
        <v>86</v>
      </c>
      <c r="AF62" s="176" cm="1">
        <f t="array" ref="AF62">IF(OR(AE62="/",AE62=""),"/",IF(ISNUMBER(SEARCH("普通",AE62)),0,IF(ISNUMBER(SEARCH("专用",AE62)),4,IF(ISNUMBER(SEARCH("定制",AE62)),7,IF(ISNUMBER(SEARCH("多个定制",AE62)),9,””)))))</f>
        <v>4</v>
      </c>
      <c r="AG62" s="176">
        <f t="shared" si="13"/>
        <v>17</v>
      </c>
      <c r="AH62" s="176" t="str">
        <f t="shared" si="14"/>
        <v>中Medium</v>
      </c>
      <c r="AI62" s="176" t="s">
        <v>144</v>
      </c>
      <c r="AJ62" s="176" t="str">
        <f t="shared" si="7"/>
        <v>保留
Retaining</v>
      </c>
      <c r="AK62" s="171" t="s">
        <v>145</v>
      </c>
      <c r="AL62" s="177" t="s">
        <v>145</v>
      </c>
      <c r="AM62" s="171" t="s">
        <v>145</v>
      </c>
      <c r="AN62" s="178" t="s">
        <v>347</v>
      </c>
      <c r="AO62" s="178" t="s">
        <v>348</v>
      </c>
    </row>
    <row r="63" s="116" customFormat="1" ht="20" customHeight="1" spans="1:41">
      <c r="A63" s="171">
        <v>55</v>
      </c>
      <c r="B63" s="181"/>
      <c r="C63" s="181"/>
      <c r="D63" s="181"/>
      <c r="E63" s="171"/>
      <c r="F63" s="171"/>
      <c r="G63" s="171"/>
      <c r="H63" s="171"/>
      <c r="I63" s="171"/>
      <c r="J63" s="171" t="s">
        <v>73</v>
      </c>
      <c r="K63" s="173" t="s">
        <v>499</v>
      </c>
      <c r="L63" s="173" t="s">
        <v>500</v>
      </c>
      <c r="M63" s="173" t="s">
        <v>501</v>
      </c>
      <c r="N63" s="174" t="s">
        <v>77</v>
      </c>
      <c r="O63" s="174" t="s">
        <v>96</v>
      </c>
      <c r="P63" s="174" t="s">
        <v>77</v>
      </c>
      <c r="Q63" s="174" t="s">
        <v>96</v>
      </c>
      <c r="R63" s="174" t="str">
        <f t="shared" si="15"/>
        <v>中等Medium</v>
      </c>
      <c r="S63" s="175" t="s">
        <v>96</v>
      </c>
      <c r="T63" s="175" t="s">
        <v>502</v>
      </c>
      <c r="U63" s="175" t="s">
        <v>503</v>
      </c>
      <c r="V63" s="171" t="s">
        <v>504</v>
      </c>
      <c r="W63" s="171" t="s">
        <v>82</v>
      </c>
      <c r="X63" s="176">
        <f t="shared" si="9"/>
        <v>0</v>
      </c>
      <c r="Y63" s="171" t="s">
        <v>83</v>
      </c>
      <c r="Z63" s="176">
        <f t="shared" si="10"/>
        <v>6</v>
      </c>
      <c r="AA63" s="171" t="s">
        <v>84</v>
      </c>
      <c r="AB63" s="176">
        <f t="shared" si="11"/>
        <v>3</v>
      </c>
      <c r="AC63" s="171" t="s">
        <v>85</v>
      </c>
      <c r="AD63" s="176">
        <f t="shared" si="12"/>
        <v>4</v>
      </c>
      <c r="AE63" s="171" t="s">
        <v>86</v>
      </c>
      <c r="AF63" s="176" cm="1">
        <f t="array" ref="AF63">IF(OR(AE63="/",AE63=""),"/",IF(ISNUMBER(SEARCH("普通",AE63)),0,IF(ISNUMBER(SEARCH("专用",AE63)),4,IF(ISNUMBER(SEARCH("定制",AE63)),7,IF(ISNUMBER(SEARCH("多个定制",AE63)),9,””)))))</f>
        <v>4</v>
      </c>
      <c r="AG63" s="176">
        <f t="shared" si="13"/>
        <v>17</v>
      </c>
      <c r="AH63" s="176" t="str">
        <f t="shared" si="14"/>
        <v>中Medium</v>
      </c>
      <c r="AI63" s="176" t="s">
        <v>144</v>
      </c>
      <c r="AJ63" s="176" t="str">
        <f t="shared" si="7"/>
        <v>保留
Retaining</v>
      </c>
      <c r="AK63" s="171" t="s">
        <v>145</v>
      </c>
      <c r="AL63" s="177" t="s">
        <v>145</v>
      </c>
      <c r="AM63" s="171" t="s">
        <v>145</v>
      </c>
      <c r="AN63" s="178" t="s">
        <v>505</v>
      </c>
      <c r="AO63" s="178" t="s">
        <v>506</v>
      </c>
    </row>
    <row r="64" s="116" customFormat="1" ht="20" customHeight="1" spans="1:41">
      <c r="A64" s="171">
        <v>56</v>
      </c>
      <c r="B64" s="172" t="s">
        <v>507</v>
      </c>
      <c r="C64" s="171" t="s">
        <v>71</v>
      </c>
      <c r="D64" s="173" t="s">
        <v>508</v>
      </c>
      <c r="E64" s="171" t="s">
        <v>73</v>
      </c>
      <c r="F64" s="171"/>
      <c r="G64" s="171"/>
      <c r="H64" s="171"/>
      <c r="I64" s="171"/>
      <c r="J64" s="171"/>
      <c r="K64" s="173" t="s">
        <v>509</v>
      </c>
      <c r="L64" s="173" t="s">
        <v>510</v>
      </c>
      <c r="M64" s="173" t="s">
        <v>76</v>
      </c>
      <c r="N64" s="174" t="s">
        <v>77</v>
      </c>
      <c r="O64" s="174" t="s">
        <v>77</v>
      </c>
      <c r="P64" s="174" t="s">
        <v>78</v>
      </c>
      <c r="Q64" s="174" t="s">
        <v>77</v>
      </c>
      <c r="R64" s="174" t="str">
        <f t="shared" si="15"/>
        <v>主要Major</v>
      </c>
      <c r="S64" s="175" t="s">
        <v>78</v>
      </c>
      <c r="T64" s="175" t="s">
        <v>511</v>
      </c>
      <c r="U64" s="175" t="s">
        <v>80</v>
      </c>
      <c r="V64" s="171" t="s">
        <v>512</v>
      </c>
      <c r="W64" s="171" t="s">
        <v>82</v>
      </c>
      <c r="X64" s="176">
        <f t="shared" si="9"/>
        <v>0</v>
      </c>
      <c r="Y64" s="171" t="s">
        <v>83</v>
      </c>
      <c r="Z64" s="176">
        <f t="shared" si="10"/>
        <v>6</v>
      </c>
      <c r="AA64" s="171" t="s">
        <v>84</v>
      </c>
      <c r="AB64" s="176">
        <f t="shared" si="11"/>
        <v>3</v>
      </c>
      <c r="AC64" s="171" t="s">
        <v>85</v>
      </c>
      <c r="AD64" s="176">
        <f t="shared" si="12"/>
        <v>4</v>
      </c>
      <c r="AE64" s="171" t="s">
        <v>86</v>
      </c>
      <c r="AF64" s="176" cm="1">
        <f t="array" ref="AF64">IF(OR(AE64="/",AE64=""),"/",IF(ISNUMBER(SEARCH("普通",AE64)),0,IF(ISNUMBER(SEARCH("专用",AE64)),4,IF(ISNUMBER(SEARCH("定制",AE64)),7,IF(ISNUMBER(SEARCH("多个定制",AE64)),9,””)))))</f>
        <v>4</v>
      </c>
      <c r="AG64" s="176">
        <f t="shared" si="13"/>
        <v>17</v>
      </c>
      <c r="AH64" s="176" t="str">
        <f t="shared" si="14"/>
        <v>中Medium</v>
      </c>
      <c r="AI64" s="176" t="s">
        <v>87</v>
      </c>
      <c r="AJ64" s="176" t="str">
        <f t="shared" si="7"/>
        <v>降低
Reucing</v>
      </c>
      <c r="AK64" s="171" t="s">
        <v>513</v>
      </c>
      <c r="AL64" s="177" t="s">
        <v>514</v>
      </c>
      <c r="AM64" s="180" t="s">
        <v>90</v>
      </c>
      <c r="AN64" s="178" t="s">
        <v>91</v>
      </c>
      <c r="AO64" s="178" t="s">
        <v>92</v>
      </c>
    </row>
    <row r="65" s="116" customFormat="1" ht="20" customHeight="1" spans="1:41">
      <c r="A65" s="171">
        <v>57</v>
      </c>
      <c r="B65" s="179"/>
      <c r="C65" s="179"/>
      <c r="D65" s="179"/>
      <c r="E65" s="171" t="s">
        <v>73</v>
      </c>
      <c r="F65" s="171"/>
      <c r="G65" s="171"/>
      <c r="H65" s="171"/>
      <c r="I65" s="171"/>
      <c r="J65" s="171"/>
      <c r="K65" s="173" t="s">
        <v>515</v>
      </c>
      <c r="L65" s="173" t="s">
        <v>516</v>
      </c>
      <c r="M65" s="173" t="s">
        <v>106</v>
      </c>
      <c r="N65" s="174" t="s">
        <v>77</v>
      </c>
      <c r="O65" s="174" t="s">
        <v>77</v>
      </c>
      <c r="P65" s="174" t="s">
        <v>96</v>
      </c>
      <c r="Q65" s="174" t="s">
        <v>78</v>
      </c>
      <c r="R65" s="174" t="str">
        <f t="shared" si="15"/>
        <v>主要Major</v>
      </c>
      <c r="S65" s="175" t="s">
        <v>107</v>
      </c>
      <c r="T65" s="175" t="s">
        <v>517</v>
      </c>
      <c r="U65" s="175" t="s">
        <v>109</v>
      </c>
      <c r="V65" s="171" t="s">
        <v>518</v>
      </c>
      <c r="W65" s="171" t="s">
        <v>111</v>
      </c>
      <c r="X65" s="176">
        <f t="shared" si="9"/>
        <v>1</v>
      </c>
      <c r="Y65" s="171" t="s">
        <v>83</v>
      </c>
      <c r="Z65" s="176">
        <f t="shared" si="10"/>
        <v>6</v>
      </c>
      <c r="AA65" s="171" t="s">
        <v>84</v>
      </c>
      <c r="AB65" s="176">
        <f t="shared" si="11"/>
        <v>3</v>
      </c>
      <c r="AC65" s="171" t="s">
        <v>85</v>
      </c>
      <c r="AD65" s="176">
        <f t="shared" si="12"/>
        <v>4</v>
      </c>
      <c r="AE65" s="171" t="s">
        <v>143</v>
      </c>
      <c r="AF65" s="176" cm="1">
        <f t="array" ref="AF65">IF(OR(AE65="/",AE65=""),"/",IF(ISNUMBER(SEARCH("普通",AE65)),0,IF(ISNUMBER(SEARCH("专用",AE65)),4,IF(ISNUMBER(SEARCH("定制",AE65)),7,IF(ISNUMBER(SEARCH("多个定制",AE65)),9,””)))))</f>
        <v>7</v>
      </c>
      <c r="AG65" s="176">
        <f t="shared" si="13"/>
        <v>21</v>
      </c>
      <c r="AH65" s="176" t="str">
        <f t="shared" si="14"/>
        <v>低Low</v>
      </c>
      <c r="AI65" s="176" t="s">
        <v>112</v>
      </c>
      <c r="AJ65" s="176" t="str">
        <f t="shared" si="7"/>
        <v>消除
Avoiding</v>
      </c>
      <c r="AK65" s="171" t="s">
        <v>519</v>
      </c>
      <c r="AL65" s="177" t="s">
        <v>520</v>
      </c>
      <c r="AM65" s="180" t="s">
        <v>115</v>
      </c>
      <c r="AN65" s="178" t="s">
        <v>116</v>
      </c>
      <c r="AO65" s="178" t="s">
        <v>117</v>
      </c>
    </row>
    <row r="66" s="116" customFormat="1" ht="20" customHeight="1" spans="1:41">
      <c r="A66" s="171">
        <v>58</v>
      </c>
      <c r="B66" s="179"/>
      <c r="C66" s="179"/>
      <c r="D66" s="179"/>
      <c r="E66" s="171"/>
      <c r="F66" s="171" t="s">
        <v>73</v>
      </c>
      <c r="G66" s="171"/>
      <c r="H66" s="171"/>
      <c r="I66" s="171"/>
      <c r="J66" s="171"/>
      <c r="K66" s="173" t="s">
        <v>521</v>
      </c>
      <c r="L66" s="173" t="s">
        <v>522</v>
      </c>
      <c r="M66" s="173" t="s">
        <v>120</v>
      </c>
      <c r="N66" s="174" t="s">
        <v>77</v>
      </c>
      <c r="O66" s="174" t="s">
        <v>96</v>
      </c>
      <c r="P66" s="174" t="s">
        <v>78</v>
      </c>
      <c r="Q66" s="174" t="s">
        <v>77</v>
      </c>
      <c r="R66" s="174" t="str">
        <f t="shared" si="15"/>
        <v>主要Major</v>
      </c>
      <c r="S66" s="175" t="s">
        <v>78</v>
      </c>
      <c r="T66" s="175" t="s">
        <v>523</v>
      </c>
      <c r="U66" s="175" t="s">
        <v>524</v>
      </c>
      <c r="V66" s="171" t="s">
        <v>512</v>
      </c>
      <c r="W66" s="171" t="s">
        <v>82</v>
      </c>
      <c r="X66" s="176">
        <f t="shared" si="9"/>
        <v>0</v>
      </c>
      <c r="Y66" s="171" t="s">
        <v>83</v>
      </c>
      <c r="Z66" s="176">
        <f t="shared" si="10"/>
        <v>6</v>
      </c>
      <c r="AA66" s="171" t="s">
        <v>84</v>
      </c>
      <c r="AB66" s="176">
        <f t="shared" si="11"/>
        <v>3</v>
      </c>
      <c r="AC66" s="171" t="s">
        <v>85</v>
      </c>
      <c r="AD66" s="176">
        <f t="shared" si="12"/>
        <v>4</v>
      </c>
      <c r="AE66" s="171" t="s">
        <v>86</v>
      </c>
      <c r="AF66" s="176" cm="1">
        <f t="array" ref="AF66">IF(OR(AE66="/",AE66=""),"/",IF(ISNUMBER(SEARCH("普通",AE66)),0,IF(ISNUMBER(SEARCH("专用",AE66)),4,IF(ISNUMBER(SEARCH("定制",AE66)),7,IF(ISNUMBER(SEARCH("多个定制",AE66)),9,””)))))</f>
        <v>4</v>
      </c>
      <c r="AG66" s="176">
        <f t="shared" si="13"/>
        <v>17</v>
      </c>
      <c r="AH66" s="176" t="str">
        <f t="shared" si="14"/>
        <v>中Medium</v>
      </c>
      <c r="AI66" s="176" t="s">
        <v>87</v>
      </c>
      <c r="AJ66" s="176" t="str">
        <f t="shared" si="7"/>
        <v>降低
Reucing</v>
      </c>
      <c r="AK66" s="171" t="s">
        <v>525</v>
      </c>
      <c r="AL66" s="177" t="s">
        <v>526</v>
      </c>
      <c r="AM66" s="180" t="s">
        <v>125</v>
      </c>
      <c r="AN66" s="178" t="s">
        <v>126</v>
      </c>
      <c r="AO66" s="178" t="s">
        <v>127</v>
      </c>
    </row>
    <row r="67" s="116" customFormat="1" ht="20" customHeight="1" spans="1:41">
      <c r="A67" s="171">
        <v>59</v>
      </c>
      <c r="B67" s="179"/>
      <c r="C67" s="179"/>
      <c r="D67" s="179"/>
      <c r="E67" s="171"/>
      <c r="F67" s="171" t="s">
        <v>73</v>
      </c>
      <c r="G67" s="171"/>
      <c r="H67" s="171"/>
      <c r="I67" s="171"/>
      <c r="J67" s="171"/>
      <c r="K67" s="173" t="s">
        <v>527</v>
      </c>
      <c r="L67" s="173" t="s">
        <v>528</v>
      </c>
      <c r="M67" s="173" t="s">
        <v>120</v>
      </c>
      <c r="N67" s="174" t="s">
        <v>96</v>
      </c>
      <c r="O67" s="174" t="s">
        <v>96</v>
      </c>
      <c r="P67" s="174" t="s">
        <v>78</v>
      </c>
      <c r="Q67" s="174" t="s">
        <v>77</v>
      </c>
      <c r="R67" s="174" t="str">
        <f t="shared" si="15"/>
        <v>主要Major</v>
      </c>
      <c r="S67" s="175" t="s">
        <v>78</v>
      </c>
      <c r="T67" s="175" t="s">
        <v>529</v>
      </c>
      <c r="U67" s="175" t="s">
        <v>530</v>
      </c>
      <c r="V67" s="171" t="s">
        <v>512</v>
      </c>
      <c r="W67" s="171" t="s">
        <v>111</v>
      </c>
      <c r="X67" s="176">
        <f t="shared" si="9"/>
        <v>1</v>
      </c>
      <c r="Y67" s="171" t="s">
        <v>83</v>
      </c>
      <c r="Z67" s="176">
        <f t="shared" si="10"/>
        <v>6</v>
      </c>
      <c r="AA67" s="171" t="s">
        <v>84</v>
      </c>
      <c r="AB67" s="176">
        <f t="shared" si="11"/>
        <v>3</v>
      </c>
      <c r="AC67" s="171" t="s">
        <v>85</v>
      </c>
      <c r="AD67" s="176">
        <f t="shared" si="12"/>
        <v>4</v>
      </c>
      <c r="AE67" s="171" t="s">
        <v>86</v>
      </c>
      <c r="AF67" s="176" cm="1">
        <f t="array" ref="AF67">IF(OR(AE67="/",AE67=""),"/",IF(ISNUMBER(SEARCH("普通",AE67)),0,IF(ISNUMBER(SEARCH("专用",AE67)),4,IF(ISNUMBER(SEARCH("定制",AE67)),7,IF(ISNUMBER(SEARCH("多个定制",AE67)),9,””)))))</f>
        <v>4</v>
      </c>
      <c r="AG67" s="176">
        <f t="shared" si="13"/>
        <v>18</v>
      </c>
      <c r="AH67" s="176" t="str">
        <f t="shared" si="14"/>
        <v>中Medium</v>
      </c>
      <c r="AI67" s="176" t="s">
        <v>87</v>
      </c>
      <c r="AJ67" s="176" t="str">
        <f t="shared" si="7"/>
        <v>降低
Reucing</v>
      </c>
      <c r="AK67" s="171" t="s">
        <v>531</v>
      </c>
      <c r="AL67" s="177" t="s">
        <v>532</v>
      </c>
      <c r="AM67" s="180" t="s">
        <v>134</v>
      </c>
      <c r="AN67" s="178" t="s">
        <v>135</v>
      </c>
      <c r="AO67" s="178" t="s">
        <v>136</v>
      </c>
    </row>
    <row r="68" s="116" customFormat="1" ht="20" customHeight="1" spans="1:41">
      <c r="A68" s="171">
        <v>60</v>
      </c>
      <c r="B68" s="179"/>
      <c r="C68" s="179"/>
      <c r="D68" s="179"/>
      <c r="E68" s="171"/>
      <c r="F68" s="171"/>
      <c r="G68" s="171" t="s">
        <v>73</v>
      </c>
      <c r="H68" s="171"/>
      <c r="I68" s="171"/>
      <c r="J68" s="171"/>
      <c r="K68" s="173" t="s">
        <v>533</v>
      </c>
      <c r="L68" s="173" t="s">
        <v>534</v>
      </c>
      <c r="M68" s="173" t="s">
        <v>150</v>
      </c>
      <c r="N68" s="174" t="s">
        <v>96</v>
      </c>
      <c r="O68" s="174" t="s">
        <v>96</v>
      </c>
      <c r="P68" s="174" t="s">
        <v>96</v>
      </c>
      <c r="Q68" s="174" t="s">
        <v>77</v>
      </c>
      <c r="R68" s="174" t="str">
        <f t="shared" si="15"/>
        <v>中等Medium</v>
      </c>
      <c r="S68" s="175" t="s">
        <v>96</v>
      </c>
      <c r="T68" s="175" t="s">
        <v>535</v>
      </c>
      <c r="U68" s="175" t="s">
        <v>152</v>
      </c>
      <c r="V68" s="171" t="s">
        <v>512</v>
      </c>
      <c r="W68" s="171" t="s">
        <v>82</v>
      </c>
      <c r="X68" s="176">
        <f t="shared" si="9"/>
        <v>0</v>
      </c>
      <c r="Y68" s="171" t="s">
        <v>83</v>
      </c>
      <c r="Z68" s="176">
        <f t="shared" si="10"/>
        <v>6</v>
      </c>
      <c r="AA68" s="171" t="s">
        <v>153</v>
      </c>
      <c r="AB68" s="176">
        <f t="shared" si="11"/>
        <v>0</v>
      </c>
      <c r="AC68" s="171" t="s">
        <v>85</v>
      </c>
      <c r="AD68" s="176">
        <f t="shared" si="12"/>
        <v>4</v>
      </c>
      <c r="AE68" s="171" t="s">
        <v>143</v>
      </c>
      <c r="AF68" s="176" cm="1">
        <f t="array" ref="AF68">IF(OR(AE68="/",AE68=""),"/",IF(ISNUMBER(SEARCH("普通",AE68)),0,IF(ISNUMBER(SEARCH("专用",AE68)),4,IF(ISNUMBER(SEARCH("定制",AE68)),7,IF(ISNUMBER(SEARCH("多个定制",AE68)),9,””)))))</f>
        <v>7</v>
      </c>
      <c r="AG68" s="176">
        <f t="shared" si="13"/>
        <v>17</v>
      </c>
      <c r="AH68" s="176" t="str">
        <f t="shared" si="14"/>
        <v>中Medium</v>
      </c>
      <c r="AI68" s="176" t="s">
        <v>144</v>
      </c>
      <c r="AJ68" s="176" t="str">
        <f t="shared" si="7"/>
        <v>保留
Retaining</v>
      </c>
      <c r="AK68" s="171" t="s">
        <v>145</v>
      </c>
      <c r="AL68" s="177" t="s">
        <v>145</v>
      </c>
      <c r="AM68" s="171" t="s">
        <v>145</v>
      </c>
      <c r="AN68" s="178" t="s">
        <v>280</v>
      </c>
      <c r="AO68" s="178" t="s">
        <v>281</v>
      </c>
    </row>
    <row r="69" s="116" customFormat="1" ht="20" customHeight="1" spans="1:41">
      <c r="A69" s="171">
        <v>61</v>
      </c>
      <c r="B69" s="179"/>
      <c r="C69" s="179"/>
      <c r="D69" s="179"/>
      <c r="E69" s="171"/>
      <c r="F69" s="171"/>
      <c r="G69" s="171"/>
      <c r="H69" s="171" t="s">
        <v>73</v>
      </c>
      <c r="I69" s="171"/>
      <c r="J69" s="171"/>
      <c r="K69" s="173" t="s">
        <v>536</v>
      </c>
      <c r="L69" s="173" t="s">
        <v>537</v>
      </c>
      <c r="M69" s="173" t="s">
        <v>166</v>
      </c>
      <c r="N69" s="174" t="s">
        <v>96</v>
      </c>
      <c r="O69" s="174" t="s">
        <v>96</v>
      </c>
      <c r="P69" s="174" t="s">
        <v>96</v>
      </c>
      <c r="Q69" s="174" t="s">
        <v>77</v>
      </c>
      <c r="R69" s="174" t="str">
        <f t="shared" si="15"/>
        <v>中等Medium</v>
      </c>
      <c r="S69" s="171" t="s">
        <v>96</v>
      </c>
      <c r="T69" s="175" t="s">
        <v>538</v>
      </c>
      <c r="U69" s="175" t="s">
        <v>539</v>
      </c>
      <c r="V69" s="171" t="s">
        <v>512</v>
      </c>
      <c r="W69" s="171" t="s">
        <v>82</v>
      </c>
      <c r="X69" s="176">
        <f t="shared" si="9"/>
        <v>0</v>
      </c>
      <c r="Y69" s="171" t="s">
        <v>83</v>
      </c>
      <c r="Z69" s="176">
        <f t="shared" si="10"/>
        <v>6</v>
      </c>
      <c r="AA69" s="171" t="s">
        <v>84</v>
      </c>
      <c r="AB69" s="176">
        <f t="shared" si="11"/>
        <v>3</v>
      </c>
      <c r="AC69" s="171" t="s">
        <v>85</v>
      </c>
      <c r="AD69" s="176">
        <f t="shared" si="12"/>
        <v>4</v>
      </c>
      <c r="AE69" s="171" t="s">
        <v>86</v>
      </c>
      <c r="AF69" s="176" cm="1">
        <f t="array" ref="AF69">IF(OR(AE69="/",AE69=""),"/",IF(ISNUMBER(SEARCH("普通",AE69)),0,IF(ISNUMBER(SEARCH("专用",AE69)),4,IF(ISNUMBER(SEARCH("定制",AE69)),7,IF(ISNUMBER(SEARCH("多个定制",AE69)),9,””)))))</f>
        <v>4</v>
      </c>
      <c r="AG69" s="176">
        <f t="shared" si="13"/>
        <v>17</v>
      </c>
      <c r="AH69" s="176" t="str">
        <f t="shared" si="14"/>
        <v>中Medium</v>
      </c>
      <c r="AI69" s="176" t="s">
        <v>144</v>
      </c>
      <c r="AJ69" s="176" t="str">
        <f t="shared" si="7"/>
        <v>保留
Retaining</v>
      </c>
      <c r="AK69" s="171" t="s">
        <v>145</v>
      </c>
      <c r="AL69" s="177" t="s">
        <v>145</v>
      </c>
      <c r="AM69" s="180" t="s">
        <v>316</v>
      </c>
      <c r="AN69" s="178" t="s">
        <v>317</v>
      </c>
      <c r="AO69" s="178" t="s">
        <v>318</v>
      </c>
    </row>
    <row r="70" s="116" customFormat="1" ht="20" customHeight="1" spans="1:41">
      <c r="A70" s="171">
        <v>62</v>
      </c>
      <c r="B70" s="179"/>
      <c r="C70" s="179"/>
      <c r="D70" s="179"/>
      <c r="E70" s="171"/>
      <c r="F70" s="171"/>
      <c r="G70" s="171"/>
      <c r="H70" s="171"/>
      <c r="I70" s="171" t="s">
        <v>73</v>
      </c>
      <c r="J70" s="171"/>
      <c r="K70" s="173" t="s">
        <v>540</v>
      </c>
      <c r="L70" s="173" t="s">
        <v>541</v>
      </c>
      <c r="M70" s="173" t="s">
        <v>174</v>
      </c>
      <c r="N70" s="174" t="s">
        <v>96</v>
      </c>
      <c r="O70" s="174" t="s">
        <v>96</v>
      </c>
      <c r="P70" s="174" t="s">
        <v>96</v>
      </c>
      <c r="Q70" s="174" t="s">
        <v>77</v>
      </c>
      <c r="R70" s="174" t="str">
        <f t="shared" si="15"/>
        <v>中等Medium</v>
      </c>
      <c r="S70" s="175" t="s">
        <v>96</v>
      </c>
      <c r="T70" s="175" t="s">
        <v>542</v>
      </c>
      <c r="U70" s="175" t="s">
        <v>176</v>
      </c>
      <c r="V70" s="171" t="s">
        <v>512</v>
      </c>
      <c r="W70" s="171" t="s">
        <v>82</v>
      </c>
      <c r="X70" s="176">
        <f t="shared" si="9"/>
        <v>0</v>
      </c>
      <c r="Y70" s="171" t="s">
        <v>177</v>
      </c>
      <c r="Z70" s="176">
        <f t="shared" si="10"/>
        <v>3</v>
      </c>
      <c r="AA70" s="171" t="s">
        <v>153</v>
      </c>
      <c r="AB70" s="176">
        <f t="shared" si="11"/>
        <v>0</v>
      </c>
      <c r="AC70" s="171" t="s">
        <v>85</v>
      </c>
      <c r="AD70" s="176">
        <f t="shared" si="12"/>
        <v>4</v>
      </c>
      <c r="AE70" s="171" t="s">
        <v>86</v>
      </c>
      <c r="AF70" s="176" cm="1">
        <f t="array" ref="AF70">IF(OR(AE70="/",AE70=""),"/",IF(ISNUMBER(SEARCH("普通",AE70)),0,IF(ISNUMBER(SEARCH("专用",AE70)),4,IF(ISNUMBER(SEARCH("定制",AE70)),7,IF(ISNUMBER(SEARCH("多个定制",AE70)),9,””)))))</f>
        <v>4</v>
      </c>
      <c r="AG70" s="176">
        <f t="shared" si="13"/>
        <v>11</v>
      </c>
      <c r="AH70" s="176" t="str">
        <f t="shared" si="14"/>
        <v>高High</v>
      </c>
      <c r="AI70" s="176" t="s">
        <v>87</v>
      </c>
      <c r="AJ70" s="176" t="str">
        <f t="shared" si="7"/>
        <v>降低
Reucing</v>
      </c>
      <c r="AK70" s="171" t="s">
        <v>543</v>
      </c>
      <c r="AL70" s="177" t="s">
        <v>544</v>
      </c>
      <c r="AM70" s="180" t="s">
        <v>329</v>
      </c>
      <c r="AN70" s="178" t="s">
        <v>181</v>
      </c>
      <c r="AO70" s="178" t="s">
        <v>182</v>
      </c>
    </row>
    <row r="71" s="116" customFormat="1" ht="20" customHeight="1" spans="1:41">
      <c r="A71" s="171">
        <v>63</v>
      </c>
      <c r="B71" s="181"/>
      <c r="C71" s="181"/>
      <c r="D71" s="181"/>
      <c r="E71" s="171"/>
      <c r="F71" s="171"/>
      <c r="G71" s="171"/>
      <c r="H71" s="171"/>
      <c r="I71" s="171"/>
      <c r="J71" s="171" t="s">
        <v>183</v>
      </c>
      <c r="K71" s="173" t="s">
        <v>145</v>
      </c>
      <c r="L71" s="173" t="s">
        <v>145</v>
      </c>
      <c r="M71" s="173" t="s">
        <v>145</v>
      </c>
      <c r="N71" s="174" t="s">
        <v>145</v>
      </c>
      <c r="O71" s="174" t="s">
        <v>145</v>
      </c>
      <c r="P71" s="174" t="s">
        <v>145</v>
      </c>
      <c r="Q71" s="174" t="s">
        <v>145</v>
      </c>
      <c r="R71" s="174" t="s">
        <v>145</v>
      </c>
      <c r="S71" s="175" t="s">
        <v>145</v>
      </c>
      <c r="T71" s="175" t="s">
        <v>145</v>
      </c>
      <c r="U71" s="175" t="s">
        <v>145</v>
      </c>
      <c r="V71" s="171" t="s">
        <v>145</v>
      </c>
      <c r="W71" s="171" t="s">
        <v>145</v>
      </c>
      <c r="X71" s="176" t="s">
        <v>145</v>
      </c>
      <c r="Y71" s="171" t="s">
        <v>145</v>
      </c>
      <c r="Z71" s="176" t="s">
        <v>145</v>
      </c>
      <c r="AA71" s="171" t="s">
        <v>145</v>
      </c>
      <c r="AB71" s="176" t="s">
        <v>145</v>
      </c>
      <c r="AC71" s="171" t="s">
        <v>145</v>
      </c>
      <c r="AD71" s="176" t="s">
        <v>145</v>
      </c>
      <c r="AE71" s="171" t="s">
        <v>145</v>
      </c>
      <c r="AF71" s="176" t="str" cm="1">
        <f t="array" ref="AF71">IF(OR(AE71="/",AE71=""),"/",IF(ISNUMBER(SEARCH("普通",AE71)),0,IF(ISNUMBER(SEARCH("专用",AE71)),4,IF(ISNUMBER(SEARCH("定制",AE71)),7,IF(ISNUMBER(SEARCH("多个定制",AE71)),9,””)))))</f>
        <v>/</v>
      </c>
      <c r="AG71" s="176" t="s">
        <v>145</v>
      </c>
      <c r="AH71" s="176" t="s">
        <v>145</v>
      </c>
      <c r="AI71" s="176" t="s">
        <v>145</v>
      </c>
      <c r="AJ71" s="176" t="str">
        <f t="shared" si="7"/>
        <v>/</v>
      </c>
      <c r="AK71" s="171" t="s">
        <v>145</v>
      </c>
      <c r="AL71" s="177" t="s">
        <v>145</v>
      </c>
      <c r="AM71" s="177" t="s">
        <v>145</v>
      </c>
      <c r="AN71" s="177" t="s">
        <v>145</v>
      </c>
      <c r="AO71" s="177" t="s">
        <v>145</v>
      </c>
    </row>
    <row r="72" s="116" customFormat="1" ht="20" customHeight="1" spans="1:41">
      <c r="A72" s="171">
        <v>64</v>
      </c>
      <c r="B72" s="172" t="s">
        <v>545</v>
      </c>
      <c r="C72" s="171" t="s">
        <v>71</v>
      </c>
      <c r="D72" s="173" t="s">
        <v>546</v>
      </c>
      <c r="E72" s="171" t="s">
        <v>73</v>
      </c>
      <c r="F72" s="171"/>
      <c r="G72" s="171"/>
      <c r="H72" s="171"/>
      <c r="I72" s="171"/>
      <c r="J72" s="171"/>
      <c r="K72" s="173" t="s">
        <v>547</v>
      </c>
      <c r="L72" s="173" t="s">
        <v>548</v>
      </c>
      <c r="M72" s="173" t="s">
        <v>106</v>
      </c>
      <c r="N72" s="174" t="s">
        <v>77</v>
      </c>
      <c r="O72" s="174" t="s">
        <v>77</v>
      </c>
      <c r="P72" s="174" t="s">
        <v>96</v>
      </c>
      <c r="Q72" s="174" t="s">
        <v>78</v>
      </c>
      <c r="R72" s="174" t="str">
        <f>IF(OR(N72="严重Severe",O72="严重Severe",P72="严重Severe",Q72="严重Severe"),"严重Severe",IF(OR(N72="主要Major",O72="主要Major",P72="主要Major",Q72="主要Major"),"主要Major",IF(OR(N72="中等Medium",O72="中等Medium",P72="中等Medium",Q72="中等Medium"),"中等Medium",IF(OR(N72="可忽略不计Negligible",O72="可忽略不计Negligible",P72="可忽略不计Negligible",Q72="可忽略不计Negligible"),"可忽略不计Negligible","/"))))</f>
        <v>主要Major</v>
      </c>
      <c r="S72" s="175" t="s">
        <v>78</v>
      </c>
      <c r="T72" s="175" t="s">
        <v>549</v>
      </c>
      <c r="U72" s="175" t="s">
        <v>109</v>
      </c>
      <c r="V72" s="171" t="s">
        <v>550</v>
      </c>
      <c r="W72" s="171" t="s">
        <v>82</v>
      </c>
      <c r="X72" s="176">
        <f>IF(OR(W72="/",W72=""),"/",IF(ISNUMBER(SEARCH("1天",W72)),0,IF(ISNUMBER(SEARCH("一周",W72)),1,IF(ISNUMBER(SEARCH("1个月",W72)),4,IF(ISNUMBER(SEARCH("超过",W72)),19,IF(ISNUMBER(SEARCH("6个月",W72)),17,""))))))</f>
        <v>0</v>
      </c>
      <c r="Y72" s="171" t="s">
        <v>83</v>
      </c>
      <c r="Z72" s="176">
        <f>IF(OR(Y72="/",Y72=""),"/",IF(ISNUMBER(SEARCH("新手",Y72)),0,IF(ISNUMBER(SEARCH("熟练",Y72)),3,IF(ISNUMBER(SEARCH("多位",Y72)),17,IF(ISNUMBER(SEARCH("专家",Y72)),6,"")))))</f>
        <v>6</v>
      </c>
      <c r="AA72" s="171" t="s">
        <v>84</v>
      </c>
      <c r="AB72" s="176">
        <f>IF(OR(AA72="/",AA72=""),"/",IF(ISNUMBER(SEARCH("公开",AA72)),0,IF(ISNUMBER(SEARCH("限制性信息",AA72)),3,IF(ISNUMBER(SEARCH("机密信息",AA72)),7,IF(ISNUMBER(SEARCH("严格保密",AA72)),11,"")))))</f>
        <v>3</v>
      </c>
      <c r="AC72" s="171" t="s">
        <v>85</v>
      </c>
      <c r="AD72" s="176">
        <f>IF(OR(AC72="/",AC72=""),"/",IF(ISNUMBER(SEARCH("无限制",AC72)),0,IF(ISNUMBER(SEARCH("容易",AC72)),1,IF(ISNUMBER(SEARCH("一般",AC72)),4,IF(ISNUMBER(SEARCH("困难",AC72)),10,"")))))</f>
        <v>4</v>
      </c>
      <c r="AE72" s="171" t="s">
        <v>86</v>
      </c>
      <c r="AF72" s="176" cm="1">
        <f t="array" ref="AF72">IF(OR(AE72="/",AE72=""),"/",IF(ISNUMBER(SEARCH("普通",AE72)),0,IF(ISNUMBER(SEARCH("专用",AE72)),4,IF(ISNUMBER(SEARCH("定制",AE72)),7,IF(ISNUMBER(SEARCH("多个定制",AE72)),9,””)))))</f>
        <v>4</v>
      </c>
      <c r="AG72" s="176">
        <f>IF(OR(X72="/",Z72="/",AB72="/",AD72="/",AF72="/"),"/",X72+Z72+AB72+AD72+AF72)</f>
        <v>17</v>
      </c>
      <c r="AH72" s="176" t="str">
        <f>IF(AND(AG72&gt;=0,AG72&lt;14),"高High",IF(AND(AG72&gt;=14,AG72&lt;20),"中Medium",IF(AND(AG72&gt;=20,AG72&lt;25),"低Low",IF(AND(AG72&gt;=25,AG72&lt;57),"非常低Very low",""))))</f>
        <v>中Medium</v>
      </c>
      <c r="AI72" s="176" t="s">
        <v>144</v>
      </c>
      <c r="AJ72" s="176" t="str">
        <f t="shared" si="7"/>
        <v>保留
Retaining</v>
      </c>
      <c r="AK72" s="171" t="s">
        <v>145</v>
      </c>
      <c r="AL72" s="177" t="s">
        <v>145</v>
      </c>
      <c r="AM72" s="180" t="s">
        <v>115</v>
      </c>
      <c r="AN72" s="178" t="s">
        <v>116</v>
      </c>
      <c r="AO72" s="178" t="s">
        <v>117</v>
      </c>
    </row>
    <row r="73" s="116" customFormat="1" ht="20" customHeight="1" spans="1:41">
      <c r="A73" s="171">
        <v>65</v>
      </c>
      <c r="B73" s="179"/>
      <c r="C73" s="179"/>
      <c r="D73" s="179"/>
      <c r="E73" s="171"/>
      <c r="F73" s="171" t="s">
        <v>73</v>
      </c>
      <c r="G73" s="171"/>
      <c r="H73" s="171"/>
      <c r="I73" s="171"/>
      <c r="J73" s="171"/>
      <c r="K73" s="173" t="s">
        <v>551</v>
      </c>
      <c r="L73" s="173" t="s">
        <v>552</v>
      </c>
      <c r="M73" s="173" t="s">
        <v>553</v>
      </c>
      <c r="N73" s="174" t="s">
        <v>77</v>
      </c>
      <c r="O73" s="174" t="s">
        <v>77</v>
      </c>
      <c r="P73" s="174" t="s">
        <v>96</v>
      </c>
      <c r="Q73" s="174" t="s">
        <v>77</v>
      </c>
      <c r="R73" s="174" t="str">
        <f>IF(OR(N73="严重Severe",O73="严重Severe",P73="严重Severe",Q73="严重Severe"),"严重Severe",IF(OR(N73="主要Major",O73="主要Major",P73="主要Major",Q73="主要Major"),"主要Major",IF(OR(N73="中等Medium",O73="中等Medium",P73="中等Medium",Q73="中等Medium"),"中等Medium",IF(OR(N73="可忽略不计Negligible",O73="可忽略不计Negligible",P73="可忽略不计Negligible",Q73="可忽略不计Negligible"),"可忽略不计Negligible","/"))))</f>
        <v>中等Medium</v>
      </c>
      <c r="S73" s="175" t="s">
        <v>96</v>
      </c>
      <c r="T73" s="175" t="s">
        <v>554</v>
      </c>
      <c r="U73" s="175" t="s">
        <v>555</v>
      </c>
      <c r="V73" s="171" t="s">
        <v>556</v>
      </c>
      <c r="W73" s="171" t="s">
        <v>111</v>
      </c>
      <c r="X73" s="176">
        <f>IF(OR(W73="/",W73=""),"/",IF(ISNUMBER(SEARCH("1天",W73)),0,IF(ISNUMBER(SEARCH("一周",W73)),1,IF(ISNUMBER(SEARCH("1个月",W73)),4,IF(ISNUMBER(SEARCH("超过",W73)),19,IF(ISNUMBER(SEARCH("6个月",W73)),17,""))))))</f>
        <v>1</v>
      </c>
      <c r="Y73" s="171" t="s">
        <v>83</v>
      </c>
      <c r="Z73" s="176">
        <f>IF(OR(Y73="/",Y73=""),"/",IF(ISNUMBER(SEARCH("新手",Y73)),0,IF(ISNUMBER(SEARCH("熟练",Y73)),3,IF(ISNUMBER(SEARCH("多位",Y73)),17,IF(ISNUMBER(SEARCH("专家",Y73)),6,"")))))</f>
        <v>6</v>
      </c>
      <c r="AA73" s="171" t="s">
        <v>557</v>
      </c>
      <c r="AB73" s="176">
        <f>IF(OR(AA73="/",AA73=""),"/",IF(ISNUMBER(SEARCH("公开",AA73)),0,IF(ISNUMBER(SEARCH("限制性信息",AA73)),3,IF(ISNUMBER(SEARCH("机密信息",AA73)),7,IF(ISNUMBER(SEARCH("严格保密",AA73)),11,"")))))</f>
        <v>0</v>
      </c>
      <c r="AC73" s="171" t="s">
        <v>558</v>
      </c>
      <c r="AD73" s="176">
        <f>IF(OR(AC73="/",AC73=""),"/",IF(ISNUMBER(SEARCH("无限制",AC73)),0,IF(ISNUMBER(SEARCH("容易",AC73)),1,IF(ISNUMBER(SEARCH("一般",AC73)),4,IF(ISNUMBER(SEARCH("困难",AC73)),10,"")))))</f>
        <v>10</v>
      </c>
      <c r="AE73" s="171" t="s">
        <v>86</v>
      </c>
      <c r="AF73" s="176" cm="1">
        <f t="array" ref="AF73">IF(OR(AE73="/",AE73=""),"/",IF(ISNUMBER(SEARCH("普通",AE73)),0,IF(ISNUMBER(SEARCH("专用",AE73)),4,IF(ISNUMBER(SEARCH("定制",AE73)),7,IF(ISNUMBER(SEARCH("多个定制",AE73)),9,””)))))</f>
        <v>4</v>
      </c>
      <c r="AG73" s="176">
        <f>IF(OR(X73="/",Z73="/",AB73="/",AD73="/",AF73="/"),"/",X73+Z73+AB73+AD73+AF73)</f>
        <v>21</v>
      </c>
      <c r="AH73" s="176" t="str">
        <f>IF(AND(AG73&gt;=0,AG73&lt;14),"高High",IF(AND(AG73&gt;=14,AG73&lt;20),"中Medium",IF(AND(AG73&gt;=20,AG73&lt;25),"低Low",IF(AND(AG73&gt;=25,AG73&lt;57),"非常低Very low",""))))</f>
        <v>低Low</v>
      </c>
      <c r="AI73" s="176" t="s">
        <v>144</v>
      </c>
      <c r="AJ73" s="176" t="str">
        <f t="shared" ref="AJ73:AJ136" si="16">IF(AI73="/","/",IF(AI73="CAL3","降低"&amp;CHAR(10)&amp;"Reucing",IF(AI73="CAL4","消除"&amp;CHAR(10)&amp;"Avoiding",IF(AI73="CAL2","保留"&amp;CHAR(10)&amp;"Retaining",IF(AI73="CAL1","保留"&amp;CHAR(10)&amp;"Retaining","")))))</f>
        <v>保留
Retaining</v>
      </c>
      <c r="AK73" s="171" t="s">
        <v>145</v>
      </c>
      <c r="AL73" s="177" t="s">
        <v>145</v>
      </c>
      <c r="AM73" s="171" t="s">
        <v>145</v>
      </c>
      <c r="AN73" s="178" t="s">
        <v>270</v>
      </c>
      <c r="AO73" s="178" t="s">
        <v>271</v>
      </c>
    </row>
    <row r="74" s="116" customFormat="1" ht="20" customHeight="1" spans="1:41">
      <c r="A74" s="171">
        <v>67</v>
      </c>
      <c r="B74" s="179"/>
      <c r="C74" s="179"/>
      <c r="D74" s="179"/>
      <c r="E74" s="171"/>
      <c r="F74" s="171"/>
      <c r="G74" s="171" t="s">
        <v>559</v>
      </c>
      <c r="H74" s="171"/>
      <c r="I74" s="171"/>
      <c r="J74" s="171"/>
      <c r="K74" s="173" t="s">
        <v>560</v>
      </c>
      <c r="L74" s="173" t="s">
        <v>561</v>
      </c>
      <c r="M74" s="173" t="s">
        <v>145</v>
      </c>
      <c r="N74" s="174" t="s">
        <v>145</v>
      </c>
      <c r="O74" s="174" t="s">
        <v>145</v>
      </c>
      <c r="P74" s="174" t="s">
        <v>145</v>
      </c>
      <c r="Q74" s="174" t="s">
        <v>145</v>
      </c>
      <c r="R74" s="174" t="str">
        <f>IF(OR(N74="严重Severe",O74="严重Severe",P74="严重Severe",Q74="严重Severe"),"严重Severe",IF(OR(N74="主要Major",O74="主要Major",P74="主要Major",Q74="主要Major"),"主要Major",IF(OR(N74="中等Medium",O74="中等Medium",P74="中等Medium",Q74="中等Medium"),"中等Medium",IF(OR(N74="可忽略不计Negligible",O74="可忽略不计Negligible",P74="可忽略不计Negligible",Q74="可忽略不计Negligible"),"可忽略不计Negligible","/"))))</f>
        <v>/</v>
      </c>
      <c r="S74" s="175" t="s">
        <v>145</v>
      </c>
      <c r="T74" s="175" t="s">
        <v>145</v>
      </c>
      <c r="U74" s="175" t="s">
        <v>145</v>
      </c>
      <c r="V74" s="171" t="s">
        <v>145</v>
      </c>
      <c r="W74" s="171" t="s">
        <v>145</v>
      </c>
      <c r="X74" s="176" t="str">
        <f>IF(OR(W74="/",W74=""),"/",IF(ISNUMBER(SEARCH("1天",W74)),0,IF(ISNUMBER(SEARCH("一周",W74)),1,IF(ISNUMBER(SEARCH("1个月",W74)),4,IF(ISNUMBER(SEARCH("超过",W74)),19,IF(ISNUMBER(SEARCH("6个月",W74)),17,""))))))</f>
        <v>/</v>
      </c>
      <c r="Y74" s="171" t="s">
        <v>145</v>
      </c>
      <c r="Z74" s="176" t="str">
        <f>IF(OR(Y74="/",Y74=""),"/",IF(ISNUMBER(SEARCH("新手",Y74)),0,IF(ISNUMBER(SEARCH("熟练",Y74)),3,IF(ISNUMBER(SEARCH("多位",Y74)),17,IF(ISNUMBER(SEARCH("专家",Y74)),6,"")))))</f>
        <v>/</v>
      </c>
      <c r="AA74" s="171" t="s">
        <v>145</v>
      </c>
      <c r="AB74" s="176" t="str">
        <f>IF(OR(AA74="/",AA74=""),"/",IF(ISNUMBER(SEARCH("公开",AA74)),0,IF(ISNUMBER(SEARCH("限制性信息",AA74)),3,IF(ISNUMBER(SEARCH("机密信息",AA74)),7,IF(ISNUMBER(SEARCH("严格保密",AA74)),11,"")))))</f>
        <v>/</v>
      </c>
      <c r="AC74" s="171" t="s">
        <v>145</v>
      </c>
      <c r="AD74" s="176" t="str">
        <f>IF(OR(AC74="/",AC74=""),"/",IF(ISNUMBER(SEARCH("无限制",AC74)),0,IF(ISNUMBER(SEARCH("容易",AC74)),1,IF(ISNUMBER(SEARCH("一般",AC74)),4,IF(ISNUMBER(SEARCH("困难",AC74)),10,"")))))</f>
        <v>/</v>
      </c>
      <c r="AE74" s="171" t="s">
        <v>145</v>
      </c>
      <c r="AF74" s="176" t="str" cm="1">
        <f t="array" ref="AF74">IF(OR(AE74="/",AE74=""),"/",IF(ISNUMBER(SEARCH("普通",AE74)),0,IF(ISNUMBER(SEARCH("专用",AE74)),4,IF(ISNUMBER(SEARCH("定制",AE74)),7,IF(ISNUMBER(SEARCH("多个定制",AE74)),9,””)))))</f>
        <v>/</v>
      </c>
      <c r="AG74" s="176" t="str">
        <f>IF(OR(X74="/",Z74="/",AB74="/",AD74="/",AF74="/"),"/",X74+Z74+AB74+AD74+AF74)</f>
        <v>/</v>
      </c>
      <c r="AH74" s="176" t="str">
        <f>IF(AND(AG74&gt;=0,AG74&lt;14),"高High",IF(AND(AG74&gt;=14,AG74&lt;20),"中Medium",IF(AND(AG74&gt;=20,AG74&lt;25),"低Low",IF(AND(AG74&gt;=25,AG74&lt;57),"非常低Very low",""))))</f>
        <v/>
      </c>
      <c r="AI74" s="176" t="s">
        <v>145</v>
      </c>
      <c r="AJ74" s="176" t="str">
        <f t="shared" si="16"/>
        <v>/</v>
      </c>
      <c r="AK74" s="171" t="s">
        <v>145</v>
      </c>
      <c r="AL74" s="177" t="s">
        <v>145</v>
      </c>
      <c r="AM74" s="177" t="s">
        <v>145</v>
      </c>
      <c r="AN74" s="177" t="s">
        <v>145</v>
      </c>
      <c r="AO74" s="177" t="s">
        <v>145</v>
      </c>
    </row>
    <row r="75" s="116" customFormat="1" ht="20" customHeight="1" spans="1:41">
      <c r="A75" s="171">
        <v>69</v>
      </c>
      <c r="B75" s="179"/>
      <c r="C75" s="179"/>
      <c r="D75" s="179"/>
      <c r="E75" s="171"/>
      <c r="F75" s="171"/>
      <c r="G75" s="171"/>
      <c r="H75" s="171"/>
      <c r="I75" s="171" t="s">
        <v>183</v>
      </c>
      <c r="J75" s="171"/>
      <c r="K75" s="173" t="s">
        <v>145</v>
      </c>
      <c r="L75" s="173" t="s">
        <v>145</v>
      </c>
      <c r="M75" s="173" t="s">
        <v>145</v>
      </c>
      <c r="N75" s="174" t="s">
        <v>145</v>
      </c>
      <c r="O75" s="174" t="s">
        <v>145</v>
      </c>
      <c r="P75" s="174" t="s">
        <v>145</v>
      </c>
      <c r="Q75" s="174" t="s">
        <v>145</v>
      </c>
      <c r="R75" s="174" t="s">
        <v>145</v>
      </c>
      <c r="S75" s="175" t="s">
        <v>145</v>
      </c>
      <c r="T75" s="175" t="s">
        <v>145</v>
      </c>
      <c r="U75" s="175" t="s">
        <v>145</v>
      </c>
      <c r="V75" s="171" t="s">
        <v>145</v>
      </c>
      <c r="W75" s="171" t="s">
        <v>145</v>
      </c>
      <c r="X75" s="176" t="s">
        <v>145</v>
      </c>
      <c r="Y75" s="171" t="s">
        <v>145</v>
      </c>
      <c r="Z75" s="176" t="s">
        <v>145</v>
      </c>
      <c r="AA75" s="171" t="s">
        <v>145</v>
      </c>
      <c r="AB75" s="176" t="s">
        <v>145</v>
      </c>
      <c r="AC75" s="171" t="s">
        <v>145</v>
      </c>
      <c r="AD75" s="176" t="s">
        <v>145</v>
      </c>
      <c r="AE75" s="171" t="s">
        <v>145</v>
      </c>
      <c r="AF75" s="176" t="str" cm="1">
        <f t="array" ref="AF75">IF(OR(AE75="/",AE75=""),"/",IF(ISNUMBER(SEARCH("普通",AE75)),0,IF(ISNUMBER(SEARCH("专用",AE75)),4,IF(ISNUMBER(SEARCH("定制",AE75)),7,IF(ISNUMBER(SEARCH("多个定制",AE75)),9,””)))))</f>
        <v>/</v>
      </c>
      <c r="AG75" s="176" t="s">
        <v>145</v>
      </c>
      <c r="AH75" s="176" t="s">
        <v>145</v>
      </c>
      <c r="AI75" s="176" t="s">
        <v>145</v>
      </c>
      <c r="AJ75" s="176" t="str">
        <f t="shared" si="16"/>
        <v>/</v>
      </c>
      <c r="AK75" s="171" t="s">
        <v>145</v>
      </c>
      <c r="AL75" s="177" t="s">
        <v>145</v>
      </c>
      <c r="AM75" s="177" t="s">
        <v>145</v>
      </c>
      <c r="AN75" s="177" t="s">
        <v>145</v>
      </c>
      <c r="AO75" s="177" t="s">
        <v>145</v>
      </c>
    </row>
    <row r="76" s="116" customFormat="1" ht="20" customHeight="1" spans="1:41">
      <c r="A76" s="171">
        <v>70</v>
      </c>
      <c r="B76" s="181"/>
      <c r="C76" s="181"/>
      <c r="D76" s="181"/>
      <c r="E76" s="171"/>
      <c r="F76" s="171"/>
      <c r="G76" s="171"/>
      <c r="H76" s="171"/>
      <c r="I76" s="171"/>
      <c r="J76" s="171" t="s">
        <v>183</v>
      </c>
      <c r="K76" s="173" t="s">
        <v>145</v>
      </c>
      <c r="L76" s="173" t="s">
        <v>145</v>
      </c>
      <c r="M76" s="173" t="s">
        <v>145</v>
      </c>
      <c r="N76" s="174" t="s">
        <v>145</v>
      </c>
      <c r="O76" s="174" t="s">
        <v>145</v>
      </c>
      <c r="P76" s="174" t="s">
        <v>145</v>
      </c>
      <c r="Q76" s="174" t="s">
        <v>145</v>
      </c>
      <c r="R76" s="174" t="s">
        <v>145</v>
      </c>
      <c r="S76" s="175" t="s">
        <v>145</v>
      </c>
      <c r="T76" s="175" t="s">
        <v>145</v>
      </c>
      <c r="U76" s="175" t="s">
        <v>145</v>
      </c>
      <c r="V76" s="171" t="s">
        <v>145</v>
      </c>
      <c r="W76" s="171" t="s">
        <v>145</v>
      </c>
      <c r="X76" s="176" t="s">
        <v>145</v>
      </c>
      <c r="Y76" s="171" t="s">
        <v>145</v>
      </c>
      <c r="Z76" s="176" t="s">
        <v>145</v>
      </c>
      <c r="AA76" s="171" t="s">
        <v>145</v>
      </c>
      <c r="AB76" s="176" t="s">
        <v>145</v>
      </c>
      <c r="AC76" s="171" t="s">
        <v>145</v>
      </c>
      <c r="AD76" s="176" t="s">
        <v>145</v>
      </c>
      <c r="AE76" s="171" t="s">
        <v>145</v>
      </c>
      <c r="AF76" s="176" t="str" cm="1">
        <f t="array" ref="AF76">IF(OR(AE76="/",AE76=""),"/",IF(ISNUMBER(SEARCH("普通",AE76)),0,IF(ISNUMBER(SEARCH("专用",AE76)),4,IF(ISNUMBER(SEARCH("定制",AE76)),7,IF(ISNUMBER(SEARCH("多个定制",AE76)),9,””)))))</f>
        <v>/</v>
      </c>
      <c r="AG76" s="176" t="s">
        <v>145</v>
      </c>
      <c r="AH76" s="176" t="s">
        <v>145</v>
      </c>
      <c r="AI76" s="176" t="s">
        <v>145</v>
      </c>
      <c r="AJ76" s="176" t="str">
        <f t="shared" si="16"/>
        <v>/</v>
      </c>
      <c r="AK76" s="171" t="s">
        <v>145</v>
      </c>
      <c r="AL76" s="177" t="s">
        <v>145</v>
      </c>
      <c r="AM76" s="177" t="s">
        <v>145</v>
      </c>
      <c r="AN76" s="177" t="s">
        <v>145</v>
      </c>
      <c r="AO76" s="177" t="s">
        <v>145</v>
      </c>
    </row>
    <row r="77" s="116" customFormat="1" ht="20" customHeight="1" spans="1:41">
      <c r="A77" s="171">
        <v>71</v>
      </c>
      <c r="B77" s="172" t="s">
        <v>562</v>
      </c>
      <c r="C77" s="171" t="s">
        <v>71</v>
      </c>
      <c r="D77" s="173" t="s">
        <v>563</v>
      </c>
      <c r="E77" s="171" t="s">
        <v>73</v>
      </c>
      <c r="F77" s="171"/>
      <c r="G77" s="171"/>
      <c r="H77" s="171"/>
      <c r="I77" s="171"/>
      <c r="J77" s="171"/>
      <c r="K77" s="173" t="s">
        <v>509</v>
      </c>
      <c r="L77" s="173" t="s">
        <v>564</v>
      </c>
      <c r="M77" s="173" t="s">
        <v>76</v>
      </c>
      <c r="N77" s="174" t="s">
        <v>77</v>
      </c>
      <c r="O77" s="174" t="s">
        <v>77</v>
      </c>
      <c r="P77" s="174" t="s">
        <v>78</v>
      </c>
      <c r="Q77" s="174" t="s">
        <v>77</v>
      </c>
      <c r="R77" s="174" t="str">
        <f t="shared" ref="R77:R83" si="17">IF(OR(N77="严重Severe",O77="严重Severe",P77="严重Severe",Q77="严重Severe"),"严重Severe",IF(OR(N77="主要Major",O77="主要Major",P77="主要Major",Q77="主要Major"),"主要Major",IF(OR(N77="中等Medium",O77="中等Medium",P77="中等Medium",Q77="中等Medium"),"中等Medium",IF(OR(N77="可忽略不计Negligible",O77="可忽略不计Negligible",P77="可忽略不计Negligible",Q77="可忽略不计Negligible"),"可忽略不计Negligible","/"))))</f>
        <v>主要Major</v>
      </c>
      <c r="S77" s="175" t="s">
        <v>78</v>
      </c>
      <c r="T77" s="175" t="s">
        <v>511</v>
      </c>
      <c r="U77" s="175" t="s">
        <v>80</v>
      </c>
      <c r="V77" s="171" t="s">
        <v>565</v>
      </c>
      <c r="W77" s="171" t="s">
        <v>82</v>
      </c>
      <c r="X77" s="176">
        <f t="shared" ref="X77:X83" si="18">IF(OR(W77="/",W77=""),"/",IF(ISNUMBER(SEARCH("1天",W77)),0,IF(ISNUMBER(SEARCH("一周",W77)),1,IF(ISNUMBER(SEARCH("1个月",W77)),4,IF(ISNUMBER(SEARCH("超过",W77)),19,IF(ISNUMBER(SEARCH("6个月",W77)),17,""))))))</f>
        <v>0</v>
      </c>
      <c r="Y77" s="171" t="s">
        <v>83</v>
      </c>
      <c r="Z77" s="176">
        <f t="shared" ref="Z77:Z83" si="19">IF(OR(Y77="/",Y77=""),"/",IF(ISNUMBER(SEARCH("新手",Y77)),0,IF(ISNUMBER(SEARCH("熟练",Y77)),3,IF(ISNUMBER(SEARCH("多位",Y77)),17,IF(ISNUMBER(SEARCH("专家",Y77)),6,"")))))</f>
        <v>6</v>
      </c>
      <c r="AA77" s="171" t="s">
        <v>84</v>
      </c>
      <c r="AB77" s="176">
        <f t="shared" ref="AB77:AB83" si="20">IF(OR(AA77="/",AA77=""),"/",IF(ISNUMBER(SEARCH("公开",AA77)),0,IF(ISNUMBER(SEARCH("限制性信息",AA77)),3,IF(ISNUMBER(SEARCH("机密信息",AA77)),7,IF(ISNUMBER(SEARCH("严格保密",AA77)),11,"")))))</f>
        <v>3</v>
      </c>
      <c r="AC77" s="171" t="s">
        <v>85</v>
      </c>
      <c r="AD77" s="176">
        <f t="shared" ref="AD77:AD83" si="21">IF(OR(AC77="/",AC77=""),"/",IF(ISNUMBER(SEARCH("无限制",AC77)),0,IF(ISNUMBER(SEARCH("容易",AC77)),1,IF(ISNUMBER(SEARCH("一般",AC77)),4,IF(ISNUMBER(SEARCH("困难",AC77)),10,"")))))</f>
        <v>4</v>
      </c>
      <c r="AE77" s="171" t="s">
        <v>86</v>
      </c>
      <c r="AF77" s="176" cm="1">
        <f t="array" ref="AF77">IF(OR(AE77="/",AE77=""),"/",IF(ISNUMBER(SEARCH("普通",AE77)),0,IF(ISNUMBER(SEARCH("专用",AE77)),4,IF(ISNUMBER(SEARCH("定制",AE77)),7,IF(ISNUMBER(SEARCH("多个定制",AE77)),9,””)))))</f>
        <v>4</v>
      </c>
      <c r="AG77" s="176">
        <f t="shared" ref="AG77:AG83" si="22">IF(OR(X77="/",Z77="/",AB77="/",AD77="/",AF77="/"),"/",X77+Z77+AB77+AD77+AF77)</f>
        <v>17</v>
      </c>
      <c r="AH77" s="176" t="str">
        <f t="shared" ref="AH77:AH83" si="23">IF(AND(AG77&gt;=0,AG77&lt;14),"高High",IF(AND(AG77&gt;=14,AG77&lt;20),"中Medium",IF(AND(AG77&gt;=20,AG77&lt;25),"低Low",IF(AND(AG77&gt;=25,AG77&lt;57),"非常低Very low",""))))</f>
        <v>中Medium</v>
      </c>
      <c r="AI77" s="176" t="s">
        <v>87</v>
      </c>
      <c r="AJ77" s="176" t="str">
        <f t="shared" si="16"/>
        <v>降低
Reucing</v>
      </c>
      <c r="AK77" s="171" t="s">
        <v>513</v>
      </c>
      <c r="AL77" s="177" t="s">
        <v>514</v>
      </c>
      <c r="AM77" s="180" t="s">
        <v>90</v>
      </c>
      <c r="AN77" s="178" t="s">
        <v>91</v>
      </c>
      <c r="AO77" s="178" t="s">
        <v>92</v>
      </c>
    </row>
    <row r="78" s="116" customFormat="1" ht="20" customHeight="1" spans="1:41">
      <c r="A78" s="171">
        <v>72</v>
      </c>
      <c r="B78" s="179"/>
      <c r="C78" s="179"/>
      <c r="D78" s="179"/>
      <c r="E78" s="171" t="s">
        <v>73</v>
      </c>
      <c r="F78" s="171"/>
      <c r="G78" s="171"/>
      <c r="H78" s="171"/>
      <c r="I78" s="171"/>
      <c r="J78" s="171"/>
      <c r="K78" s="173" t="s">
        <v>515</v>
      </c>
      <c r="L78" s="173" t="s">
        <v>566</v>
      </c>
      <c r="M78" s="173" t="s">
        <v>106</v>
      </c>
      <c r="N78" s="174" t="s">
        <v>77</v>
      </c>
      <c r="O78" s="174" t="s">
        <v>77</v>
      </c>
      <c r="P78" s="174" t="s">
        <v>96</v>
      </c>
      <c r="Q78" s="174" t="s">
        <v>78</v>
      </c>
      <c r="R78" s="174" t="str">
        <f t="shared" si="17"/>
        <v>主要Major</v>
      </c>
      <c r="S78" s="175" t="s">
        <v>107</v>
      </c>
      <c r="T78" s="175" t="s">
        <v>517</v>
      </c>
      <c r="U78" s="175" t="s">
        <v>109</v>
      </c>
      <c r="V78" s="171" t="s">
        <v>567</v>
      </c>
      <c r="W78" s="171" t="s">
        <v>111</v>
      </c>
      <c r="X78" s="176">
        <f t="shared" si="18"/>
        <v>1</v>
      </c>
      <c r="Y78" s="171" t="s">
        <v>83</v>
      </c>
      <c r="Z78" s="176">
        <f t="shared" si="19"/>
        <v>6</v>
      </c>
      <c r="AA78" s="171" t="s">
        <v>84</v>
      </c>
      <c r="AB78" s="176">
        <f t="shared" si="20"/>
        <v>3</v>
      </c>
      <c r="AC78" s="171" t="s">
        <v>85</v>
      </c>
      <c r="AD78" s="176">
        <f t="shared" si="21"/>
        <v>4</v>
      </c>
      <c r="AE78" s="171" t="s">
        <v>143</v>
      </c>
      <c r="AF78" s="176" cm="1">
        <f t="array" ref="AF78">IF(OR(AE78="/",AE78=""),"/",IF(ISNUMBER(SEARCH("普通",AE78)),0,IF(ISNUMBER(SEARCH("专用",AE78)),4,IF(ISNUMBER(SEARCH("定制",AE78)),7,IF(ISNUMBER(SEARCH("多个定制",AE78)),9,””)))))</f>
        <v>7</v>
      </c>
      <c r="AG78" s="176">
        <f t="shared" si="22"/>
        <v>21</v>
      </c>
      <c r="AH78" s="176" t="str">
        <f t="shared" si="23"/>
        <v>低Low</v>
      </c>
      <c r="AI78" s="176" t="s">
        <v>112</v>
      </c>
      <c r="AJ78" s="176" t="str">
        <f t="shared" si="16"/>
        <v>消除
Avoiding</v>
      </c>
      <c r="AK78" s="171" t="s">
        <v>519</v>
      </c>
      <c r="AL78" s="177" t="s">
        <v>520</v>
      </c>
      <c r="AM78" s="180" t="s">
        <v>115</v>
      </c>
      <c r="AN78" s="178" t="s">
        <v>116</v>
      </c>
      <c r="AO78" s="178" t="s">
        <v>117</v>
      </c>
    </row>
    <row r="79" s="116" customFormat="1" ht="20" customHeight="1" spans="1:41">
      <c r="A79" s="171">
        <v>73</v>
      </c>
      <c r="B79" s="179"/>
      <c r="C79" s="179"/>
      <c r="D79" s="179"/>
      <c r="E79" s="171"/>
      <c r="F79" s="171" t="s">
        <v>73</v>
      </c>
      <c r="G79" s="171"/>
      <c r="H79" s="171"/>
      <c r="I79" s="171"/>
      <c r="J79" s="171"/>
      <c r="K79" s="173" t="s">
        <v>521</v>
      </c>
      <c r="L79" s="173" t="s">
        <v>568</v>
      </c>
      <c r="M79" s="173" t="s">
        <v>120</v>
      </c>
      <c r="N79" s="174" t="s">
        <v>77</v>
      </c>
      <c r="O79" s="174" t="s">
        <v>96</v>
      </c>
      <c r="P79" s="174" t="s">
        <v>78</v>
      </c>
      <c r="Q79" s="174" t="s">
        <v>77</v>
      </c>
      <c r="R79" s="174" t="str">
        <f t="shared" si="17"/>
        <v>主要Major</v>
      </c>
      <c r="S79" s="175" t="s">
        <v>78</v>
      </c>
      <c r="T79" s="175" t="s">
        <v>523</v>
      </c>
      <c r="U79" s="175" t="s">
        <v>569</v>
      </c>
      <c r="V79" s="171" t="s">
        <v>565</v>
      </c>
      <c r="W79" s="171" t="s">
        <v>82</v>
      </c>
      <c r="X79" s="176">
        <f t="shared" si="18"/>
        <v>0</v>
      </c>
      <c r="Y79" s="171" t="s">
        <v>83</v>
      </c>
      <c r="Z79" s="176">
        <f t="shared" si="19"/>
        <v>6</v>
      </c>
      <c r="AA79" s="171" t="s">
        <v>84</v>
      </c>
      <c r="AB79" s="176">
        <f t="shared" si="20"/>
        <v>3</v>
      </c>
      <c r="AC79" s="171" t="s">
        <v>85</v>
      </c>
      <c r="AD79" s="176">
        <f t="shared" si="21"/>
        <v>4</v>
      </c>
      <c r="AE79" s="171" t="s">
        <v>86</v>
      </c>
      <c r="AF79" s="176" cm="1">
        <f t="array" ref="AF79">IF(OR(AE79="/",AE79=""),"/",IF(ISNUMBER(SEARCH("普通",AE79)),0,IF(ISNUMBER(SEARCH("专用",AE79)),4,IF(ISNUMBER(SEARCH("定制",AE79)),7,IF(ISNUMBER(SEARCH("多个定制",AE79)),9,””)))))</f>
        <v>4</v>
      </c>
      <c r="AG79" s="176">
        <f t="shared" si="22"/>
        <v>17</v>
      </c>
      <c r="AH79" s="176" t="str">
        <f t="shared" si="23"/>
        <v>中Medium</v>
      </c>
      <c r="AI79" s="176" t="s">
        <v>87</v>
      </c>
      <c r="AJ79" s="176" t="str">
        <f t="shared" si="16"/>
        <v>降低
Reucing</v>
      </c>
      <c r="AK79" s="171" t="s">
        <v>525</v>
      </c>
      <c r="AL79" s="177" t="s">
        <v>526</v>
      </c>
      <c r="AM79" s="180" t="s">
        <v>125</v>
      </c>
      <c r="AN79" s="178" t="s">
        <v>126</v>
      </c>
      <c r="AO79" s="178" t="s">
        <v>127</v>
      </c>
    </row>
    <row r="80" s="116" customFormat="1" ht="20" customHeight="1" spans="1:41">
      <c r="A80" s="171">
        <v>74</v>
      </c>
      <c r="B80" s="179"/>
      <c r="C80" s="179"/>
      <c r="D80" s="179"/>
      <c r="E80" s="171"/>
      <c r="F80" s="171" t="s">
        <v>73</v>
      </c>
      <c r="G80" s="171"/>
      <c r="H80" s="171"/>
      <c r="I80" s="171"/>
      <c r="J80" s="171"/>
      <c r="K80" s="173" t="s">
        <v>527</v>
      </c>
      <c r="L80" s="173" t="s">
        <v>570</v>
      </c>
      <c r="M80" s="173" t="s">
        <v>120</v>
      </c>
      <c r="N80" s="174" t="s">
        <v>96</v>
      </c>
      <c r="O80" s="174" t="s">
        <v>96</v>
      </c>
      <c r="P80" s="174" t="s">
        <v>78</v>
      </c>
      <c r="Q80" s="174" t="s">
        <v>77</v>
      </c>
      <c r="R80" s="174" t="str">
        <f t="shared" si="17"/>
        <v>主要Major</v>
      </c>
      <c r="S80" s="175" t="s">
        <v>78</v>
      </c>
      <c r="T80" s="175" t="s">
        <v>529</v>
      </c>
      <c r="U80" s="175" t="s">
        <v>571</v>
      </c>
      <c r="V80" s="171" t="s">
        <v>565</v>
      </c>
      <c r="W80" s="171" t="s">
        <v>111</v>
      </c>
      <c r="X80" s="176">
        <f t="shared" si="18"/>
        <v>1</v>
      </c>
      <c r="Y80" s="171" t="s">
        <v>83</v>
      </c>
      <c r="Z80" s="176">
        <f t="shared" si="19"/>
        <v>6</v>
      </c>
      <c r="AA80" s="171" t="s">
        <v>84</v>
      </c>
      <c r="AB80" s="176">
        <f t="shared" si="20"/>
        <v>3</v>
      </c>
      <c r="AC80" s="171" t="s">
        <v>85</v>
      </c>
      <c r="AD80" s="176">
        <f t="shared" si="21"/>
        <v>4</v>
      </c>
      <c r="AE80" s="171" t="s">
        <v>86</v>
      </c>
      <c r="AF80" s="176" cm="1">
        <f t="array" ref="AF80">IF(OR(AE80="/",AE80=""),"/",IF(ISNUMBER(SEARCH("普通",AE80)),0,IF(ISNUMBER(SEARCH("专用",AE80)),4,IF(ISNUMBER(SEARCH("定制",AE80)),7,IF(ISNUMBER(SEARCH("多个定制",AE80)),9,””)))))</f>
        <v>4</v>
      </c>
      <c r="AG80" s="176">
        <f t="shared" si="22"/>
        <v>18</v>
      </c>
      <c r="AH80" s="176" t="str">
        <f t="shared" si="23"/>
        <v>中Medium</v>
      </c>
      <c r="AI80" s="176" t="s">
        <v>87</v>
      </c>
      <c r="AJ80" s="176" t="str">
        <f t="shared" si="16"/>
        <v>降低
Reucing</v>
      </c>
      <c r="AK80" s="171" t="s">
        <v>531</v>
      </c>
      <c r="AL80" s="177" t="s">
        <v>532</v>
      </c>
      <c r="AM80" s="180" t="s">
        <v>134</v>
      </c>
      <c r="AN80" s="178" t="s">
        <v>135</v>
      </c>
      <c r="AO80" s="178" t="s">
        <v>136</v>
      </c>
    </row>
    <row r="81" s="116" customFormat="1" ht="20" customHeight="1" spans="1:41">
      <c r="A81" s="171">
        <v>75</v>
      </c>
      <c r="B81" s="179"/>
      <c r="C81" s="179"/>
      <c r="D81" s="179"/>
      <c r="E81" s="171"/>
      <c r="F81" s="171"/>
      <c r="G81" s="171" t="s">
        <v>73</v>
      </c>
      <c r="H81" s="171"/>
      <c r="I81" s="171"/>
      <c r="J81" s="171"/>
      <c r="K81" s="173" t="s">
        <v>533</v>
      </c>
      <c r="L81" s="173" t="s">
        <v>572</v>
      </c>
      <c r="M81" s="173" t="s">
        <v>150</v>
      </c>
      <c r="N81" s="174" t="s">
        <v>96</v>
      </c>
      <c r="O81" s="174" t="s">
        <v>96</v>
      </c>
      <c r="P81" s="174" t="s">
        <v>96</v>
      </c>
      <c r="Q81" s="174" t="s">
        <v>77</v>
      </c>
      <c r="R81" s="174" t="str">
        <f t="shared" si="17"/>
        <v>中等Medium</v>
      </c>
      <c r="S81" s="175" t="s">
        <v>96</v>
      </c>
      <c r="T81" s="175" t="s">
        <v>535</v>
      </c>
      <c r="U81" s="175" t="s">
        <v>152</v>
      </c>
      <c r="V81" s="171" t="s">
        <v>565</v>
      </c>
      <c r="W81" s="171" t="s">
        <v>82</v>
      </c>
      <c r="X81" s="176">
        <f t="shared" si="18"/>
        <v>0</v>
      </c>
      <c r="Y81" s="171" t="s">
        <v>83</v>
      </c>
      <c r="Z81" s="176">
        <f t="shared" si="19"/>
        <v>6</v>
      </c>
      <c r="AA81" s="171" t="s">
        <v>153</v>
      </c>
      <c r="AB81" s="176">
        <f t="shared" si="20"/>
        <v>0</v>
      </c>
      <c r="AC81" s="171" t="s">
        <v>85</v>
      </c>
      <c r="AD81" s="176">
        <f t="shared" si="21"/>
        <v>4</v>
      </c>
      <c r="AE81" s="171" t="s">
        <v>143</v>
      </c>
      <c r="AF81" s="176" cm="1">
        <f t="array" ref="AF81">IF(OR(AE81="/",AE81=""),"/",IF(ISNUMBER(SEARCH("普通",AE81)),0,IF(ISNUMBER(SEARCH("专用",AE81)),4,IF(ISNUMBER(SEARCH("定制",AE81)),7,IF(ISNUMBER(SEARCH("多个定制",AE81)),9,””)))))</f>
        <v>7</v>
      </c>
      <c r="AG81" s="176">
        <f t="shared" si="22"/>
        <v>17</v>
      </c>
      <c r="AH81" s="176" t="str">
        <f t="shared" si="23"/>
        <v>中Medium</v>
      </c>
      <c r="AI81" s="176" t="s">
        <v>144</v>
      </c>
      <c r="AJ81" s="176" t="str">
        <f t="shared" si="16"/>
        <v>保留
Retaining</v>
      </c>
      <c r="AK81" s="171" t="s">
        <v>145</v>
      </c>
      <c r="AL81" s="177" t="s">
        <v>145</v>
      </c>
      <c r="AM81" s="171" t="s">
        <v>145</v>
      </c>
      <c r="AN81" s="178" t="s">
        <v>280</v>
      </c>
      <c r="AO81" s="178" t="s">
        <v>281</v>
      </c>
    </row>
    <row r="82" s="116" customFormat="1" ht="20" customHeight="1" spans="1:41">
      <c r="A82" s="171">
        <v>76</v>
      </c>
      <c r="B82" s="179"/>
      <c r="C82" s="179"/>
      <c r="D82" s="179"/>
      <c r="E82" s="171"/>
      <c r="F82" s="171"/>
      <c r="G82" s="171"/>
      <c r="H82" s="171" t="s">
        <v>73</v>
      </c>
      <c r="I82" s="171"/>
      <c r="J82" s="171"/>
      <c r="K82" s="173" t="s">
        <v>536</v>
      </c>
      <c r="L82" s="173" t="s">
        <v>573</v>
      </c>
      <c r="M82" s="173" t="s">
        <v>166</v>
      </c>
      <c r="N82" s="174" t="s">
        <v>96</v>
      </c>
      <c r="O82" s="174" t="s">
        <v>96</v>
      </c>
      <c r="P82" s="174" t="s">
        <v>96</v>
      </c>
      <c r="Q82" s="174" t="s">
        <v>77</v>
      </c>
      <c r="R82" s="174" t="str">
        <f t="shared" si="17"/>
        <v>中等Medium</v>
      </c>
      <c r="S82" s="171" t="s">
        <v>96</v>
      </c>
      <c r="T82" s="175" t="s">
        <v>538</v>
      </c>
      <c r="U82" s="175" t="s">
        <v>574</v>
      </c>
      <c r="V82" s="171" t="s">
        <v>565</v>
      </c>
      <c r="W82" s="171" t="s">
        <v>82</v>
      </c>
      <c r="X82" s="176">
        <f t="shared" si="18"/>
        <v>0</v>
      </c>
      <c r="Y82" s="171" t="s">
        <v>83</v>
      </c>
      <c r="Z82" s="176">
        <f t="shared" si="19"/>
        <v>6</v>
      </c>
      <c r="AA82" s="171" t="s">
        <v>84</v>
      </c>
      <c r="AB82" s="176">
        <f t="shared" si="20"/>
        <v>3</v>
      </c>
      <c r="AC82" s="171" t="s">
        <v>85</v>
      </c>
      <c r="AD82" s="176">
        <f t="shared" si="21"/>
        <v>4</v>
      </c>
      <c r="AE82" s="171" t="s">
        <v>86</v>
      </c>
      <c r="AF82" s="176" cm="1">
        <f t="array" ref="AF82">IF(OR(AE82="/",AE82=""),"/",IF(ISNUMBER(SEARCH("普通",AE82)),0,IF(ISNUMBER(SEARCH("专用",AE82)),4,IF(ISNUMBER(SEARCH("定制",AE82)),7,IF(ISNUMBER(SEARCH("多个定制",AE82)),9,””)))))</f>
        <v>4</v>
      </c>
      <c r="AG82" s="176">
        <f t="shared" si="22"/>
        <v>17</v>
      </c>
      <c r="AH82" s="176" t="str">
        <f t="shared" si="23"/>
        <v>中Medium</v>
      </c>
      <c r="AI82" s="176" t="s">
        <v>144</v>
      </c>
      <c r="AJ82" s="176" t="str">
        <f t="shared" si="16"/>
        <v>保留
Retaining</v>
      </c>
      <c r="AK82" s="171" t="s">
        <v>145</v>
      </c>
      <c r="AL82" s="177" t="s">
        <v>145</v>
      </c>
      <c r="AM82" s="180" t="s">
        <v>316</v>
      </c>
      <c r="AN82" s="178" t="s">
        <v>317</v>
      </c>
      <c r="AO82" s="178" t="s">
        <v>318</v>
      </c>
    </row>
    <row r="83" s="116" customFormat="1" ht="20" customHeight="1" spans="1:41">
      <c r="A83" s="171">
        <v>77</v>
      </c>
      <c r="B83" s="179"/>
      <c r="C83" s="179"/>
      <c r="D83" s="179"/>
      <c r="E83" s="171"/>
      <c r="F83" s="171"/>
      <c r="G83" s="171"/>
      <c r="H83" s="171"/>
      <c r="I83" s="171" t="s">
        <v>73</v>
      </c>
      <c r="J83" s="171"/>
      <c r="K83" s="173" t="s">
        <v>540</v>
      </c>
      <c r="L83" s="173" t="s">
        <v>575</v>
      </c>
      <c r="M83" s="173" t="s">
        <v>174</v>
      </c>
      <c r="N83" s="174" t="s">
        <v>96</v>
      </c>
      <c r="O83" s="174" t="s">
        <v>96</v>
      </c>
      <c r="P83" s="174" t="s">
        <v>96</v>
      </c>
      <c r="Q83" s="174" t="s">
        <v>77</v>
      </c>
      <c r="R83" s="174" t="str">
        <f t="shared" si="17"/>
        <v>中等Medium</v>
      </c>
      <c r="S83" s="175" t="s">
        <v>96</v>
      </c>
      <c r="T83" s="175" t="s">
        <v>542</v>
      </c>
      <c r="U83" s="175" t="s">
        <v>176</v>
      </c>
      <c r="V83" s="171" t="s">
        <v>565</v>
      </c>
      <c r="W83" s="171" t="s">
        <v>82</v>
      </c>
      <c r="X83" s="176">
        <f t="shared" si="18"/>
        <v>0</v>
      </c>
      <c r="Y83" s="171" t="s">
        <v>177</v>
      </c>
      <c r="Z83" s="176">
        <f t="shared" si="19"/>
        <v>3</v>
      </c>
      <c r="AA83" s="171" t="s">
        <v>153</v>
      </c>
      <c r="AB83" s="176">
        <f t="shared" si="20"/>
        <v>0</v>
      </c>
      <c r="AC83" s="171" t="s">
        <v>85</v>
      </c>
      <c r="AD83" s="176">
        <f t="shared" si="21"/>
        <v>4</v>
      </c>
      <c r="AE83" s="171" t="s">
        <v>86</v>
      </c>
      <c r="AF83" s="176" cm="1">
        <f t="array" ref="AF83">IF(OR(AE83="/",AE83=""),"/",IF(ISNUMBER(SEARCH("普通",AE83)),0,IF(ISNUMBER(SEARCH("专用",AE83)),4,IF(ISNUMBER(SEARCH("定制",AE83)),7,IF(ISNUMBER(SEARCH("多个定制",AE83)),9,””)))))</f>
        <v>4</v>
      </c>
      <c r="AG83" s="176">
        <f t="shared" si="22"/>
        <v>11</v>
      </c>
      <c r="AH83" s="176" t="str">
        <f t="shared" si="23"/>
        <v>高High</v>
      </c>
      <c r="AI83" s="176" t="s">
        <v>87</v>
      </c>
      <c r="AJ83" s="176" t="str">
        <f t="shared" si="16"/>
        <v>降低
Reucing</v>
      </c>
      <c r="AK83" s="171" t="s">
        <v>543</v>
      </c>
      <c r="AL83" s="177" t="s">
        <v>544</v>
      </c>
      <c r="AM83" s="180" t="s">
        <v>329</v>
      </c>
      <c r="AN83" s="178" t="s">
        <v>181</v>
      </c>
      <c r="AO83" s="178" t="s">
        <v>182</v>
      </c>
    </row>
    <row r="84" s="116" customFormat="1" ht="20" customHeight="1" spans="1:41">
      <c r="A84" s="171">
        <v>78</v>
      </c>
      <c r="B84" s="181"/>
      <c r="C84" s="181"/>
      <c r="D84" s="181"/>
      <c r="E84" s="171"/>
      <c r="F84" s="171"/>
      <c r="G84" s="171"/>
      <c r="H84" s="171"/>
      <c r="I84" s="171"/>
      <c r="J84" s="171" t="s">
        <v>183</v>
      </c>
      <c r="K84" s="173" t="s">
        <v>145</v>
      </c>
      <c r="L84" s="173" t="s">
        <v>145</v>
      </c>
      <c r="M84" s="173" t="s">
        <v>145</v>
      </c>
      <c r="N84" s="174" t="s">
        <v>145</v>
      </c>
      <c r="O84" s="174" t="s">
        <v>145</v>
      </c>
      <c r="P84" s="174" t="s">
        <v>145</v>
      </c>
      <c r="Q84" s="174" t="s">
        <v>145</v>
      </c>
      <c r="R84" s="174" t="s">
        <v>145</v>
      </c>
      <c r="S84" s="175" t="s">
        <v>145</v>
      </c>
      <c r="T84" s="175" t="s">
        <v>145</v>
      </c>
      <c r="U84" s="175" t="s">
        <v>145</v>
      </c>
      <c r="V84" s="171" t="s">
        <v>145</v>
      </c>
      <c r="W84" s="171" t="s">
        <v>145</v>
      </c>
      <c r="X84" s="176" t="s">
        <v>145</v>
      </c>
      <c r="Y84" s="171" t="s">
        <v>145</v>
      </c>
      <c r="Z84" s="176" t="s">
        <v>145</v>
      </c>
      <c r="AA84" s="171" t="s">
        <v>145</v>
      </c>
      <c r="AB84" s="176" t="s">
        <v>145</v>
      </c>
      <c r="AC84" s="171" t="s">
        <v>145</v>
      </c>
      <c r="AD84" s="176" t="s">
        <v>145</v>
      </c>
      <c r="AE84" s="171" t="s">
        <v>145</v>
      </c>
      <c r="AF84" s="176" t="str" cm="1">
        <f t="array" ref="AF84">IF(OR(AE84="/",AE84=""),"/",IF(ISNUMBER(SEARCH("普通",AE84)),0,IF(ISNUMBER(SEARCH("专用",AE84)),4,IF(ISNUMBER(SEARCH("定制",AE84)),7,IF(ISNUMBER(SEARCH("多个定制",AE84)),9,””)))))</f>
        <v>/</v>
      </c>
      <c r="AG84" s="176" t="s">
        <v>145</v>
      </c>
      <c r="AH84" s="176" t="s">
        <v>145</v>
      </c>
      <c r="AI84" s="176" t="s">
        <v>145</v>
      </c>
      <c r="AJ84" s="176" t="str">
        <f t="shared" si="16"/>
        <v>/</v>
      </c>
      <c r="AK84" s="171" t="s">
        <v>145</v>
      </c>
      <c r="AL84" s="177" t="s">
        <v>145</v>
      </c>
      <c r="AM84" s="177" t="s">
        <v>145</v>
      </c>
      <c r="AN84" s="177" t="s">
        <v>145</v>
      </c>
      <c r="AO84" s="177" t="s">
        <v>145</v>
      </c>
    </row>
    <row r="85" s="116" customFormat="1" ht="20" customHeight="1" spans="1:41">
      <c r="A85" s="171">
        <v>79</v>
      </c>
      <c r="B85" s="172" t="s">
        <v>576</v>
      </c>
      <c r="C85" s="171" t="s">
        <v>71</v>
      </c>
      <c r="D85" s="173" t="s">
        <v>577</v>
      </c>
      <c r="E85" s="171" t="s">
        <v>73</v>
      </c>
      <c r="F85" s="171"/>
      <c r="G85" s="171"/>
      <c r="H85" s="171"/>
      <c r="I85" s="171"/>
      <c r="J85" s="171"/>
      <c r="K85" s="173" t="s">
        <v>547</v>
      </c>
      <c r="L85" s="173" t="s">
        <v>578</v>
      </c>
      <c r="M85" s="173" t="s">
        <v>106</v>
      </c>
      <c r="N85" s="174" t="s">
        <v>77</v>
      </c>
      <c r="O85" s="174" t="s">
        <v>77</v>
      </c>
      <c r="P85" s="174" t="s">
        <v>96</v>
      </c>
      <c r="Q85" s="174" t="s">
        <v>96</v>
      </c>
      <c r="R85" s="174" t="str">
        <f>IF(OR(N85="严重Severe",O85="严重Severe",P85="严重Severe",Q85="严重Severe"),"严重Severe",IF(OR(N85="主要Major",O85="主要Major",P85="主要Major",Q85="主要Major"),"主要Major",IF(OR(N85="中等Medium",O85="中等Medium",P85="中等Medium",Q85="中等Medium"),"中等Medium",IF(OR(N85="可忽略不计Negligible",O85="可忽略不计Negligible",P85="可忽略不计Negligible",Q85="可忽略不计Negligible"),"可忽略不计Negligible","/"))))</f>
        <v>中等Medium</v>
      </c>
      <c r="S85" s="171" t="s">
        <v>96</v>
      </c>
      <c r="T85" s="175" t="s">
        <v>549</v>
      </c>
      <c r="U85" s="175" t="s">
        <v>109</v>
      </c>
      <c r="V85" s="171" t="s">
        <v>579</v>
      </c>
      <c r="W85" s="171" t="s">
        <v>82</v>
      </c>
      <c r="X85" s="176">
        <f t="shared" ref="X85:X89" si="24">IF(OR(W85="/",W85=""),"/",IF(ISNUMBER(SEARCH("1天",W85)),0,IF(ISNUMBER(SEARCH("一周",W85)),1,IF(ISNUMBER(SEARCH("1个月",W85)),4,IF(ISNUMBER(SEARCH("超过",W85)),19,IF(ISNUMBER(SEARCH("6个月",W85)),17,""))))))</f>
        <v>0</v>
      </c>
      <c r="Y85" s="171" t="s">
        <v>83</v>
      </c>
      <c r="Z85" s="176">
        <f t="shared" ref="Z85:Z89" si="25">IF(OR(Y85="/",Y85=""),"/",IF(ISNUMBER(SEARCH("新手",Y85)),0,IF(ISNUMBER(SEARCH("熟练",Y85)),3,IF(ISNUMBER(SEARCH("多位",Y85)),17,IF(ISNUMBER(SEARCH("专家",Y85)),6,"")))))</f>
        <v>6</v>
      </c>
      <c r="AA85" s="171" t="s">
        <v>84</v>
      </c>
      <c r="AB85" s="176">
        <f t="shared" ref="AB85:AB89" si="26">IF(OR(AA85="/",AA85=""),"/",IF(ISNUMBER(SEARCH("公开",AA85)),0,IF(ISNUMBER(SEARCH("限制性信息",AA85)),3,IF(ISNUMBER(SEARCH("机密信息",AA85)),7,IF(ISNUMBER(SEARCH("严格保密",AA85)),11,"")))))</f>
        <v>3</v>
      </c>
      <c r="AC85" s="171" t="s">
        <v>85</v>
      </c>
      <c r="AD85" s="176">
        <f t="shared" ref="AD85:AD89" si="27">IF(OR(AC85="/",AC85=""),"/",IF(ISNUMBER(SEARCH("无限制",AC85)),0,IF(ISNUMBER(SEARCH("容易",AC85)),1,IF(ISNUMBER(SEARCH("一般",AC85)),4,IF(ISNUMBER(SEARCH("困难",AC85)),10,"")))))</f>
        <v>4</v>
      </c>
      <c r="AE85" s="171" t="s">
        <v>86</v>
      </c>
      <c r="AF85" s="176" cm="1">
        <f t="array" ref="AF85">IF(OR(AE85="/",AE85=""),"/",IF(ISNUMBER(SEARCH("普通",AE85)),0,IF(ISNUMBER(SEARCH("专用",AE85)),4,IF(ISNUMBER(SEARCH("定制",AE85)),7,IF(ISNUMBER(SEARCH("多个定制",AE85)),9,””)))))</f>
        <v>4</v>
      </c>
      <c r="AG85" s="176">
        <f t="shared" ref="AG85:AG89" si="28">IF(OR(X85="/",Z85="/",AB85="/",AD85="/",AF85="/"),"/",X85+Z85+AB85+AD85+AF85)</f>
        <v>17</v>
      </c>
      <c r="AH85" s="176" t="str">
        <f t="shared" ref="AH85:AH89" si="29">IF(AND(AG85&gt;=0,AG85&lt;14),"高High",IF(AND(AG85&gt;=14,AG85&lt;20),"中Medium",IF(AND(AG85&gt;=20,AG85&lt;25),"低Low",IF(AND(AG85&gt;=25,AG85&lt;57),"非常低Very low",""))))</f>
        <v>中Medium</v>
      </c>
      <c r="AI85" s="176" t="s">
        <v>144</v>
      </c>
      <c r="AJ85" s="176" t="str">
        <f t="shared" si="16"/>
        <v>保留
Retaining</v>
      </c>
      <c r="AK85" s="171" t="s">
        <v>145</v>
      </c>
      <c r="AL85" s="177" t="s">
        <v>145</v>
      </c>
      <c r="AM85" s="180" t="s">
        <v>115</v>
      </c>
      <c r="AN85" s="178" t="s">
        <v>116</v>
      </c>
      <c r="AO85" s="178" t="s">
        <v>117</v>
      </c>
    </row>
    <row r="86" s="116" customFormat="1" ht="20" customHeight="1" spans="1:41">
      <c r="A86" s="171">
        <v>80</v>
      </c>
      <c r="B86" s="179"/>
      <c r="C86" s="179"/>
      <c r="D86" s="179"/>
      <c r="E86" s="171"/>
      <c r="F86" s="171" t="s">
        <v>73</v>
      </c>
      <c r="G86" s="171"/>
      <c r="H86" s="171"/>
      <c r="I86" s="171"/>
      <c r="J86" s="171"/>
      <c r="K86" s="173" t="s">
        <v>551</v>
      </c>
      <c r="L86" s="173" t="s">
        <v>580</v>
      </c>
      <c r="M86" s="173" t="s">
        <v>553</v>
      </c>
      <c r="N86" s="174" t="s">
        <v>77</v>
      </c>
      <c r="O86" s="174" t="s">
        <v>77</v>
      </c>
      <c r="P86" s="174" t="s">
        <v>96</v>
      </c>
      <c r="Q86" s="174" t="s">
        <v>77</v>
      </c>
      <c r="R86" s="174" t="str">
        <f>IF(OR(N86="严重Severe",O86="严重Severe",P86="严重Severe",Q86="严重Severe"),"严重Severe",IF(OR(N86="主要Major",O86="主要Major",P86="主要Major",Q86="主要Major"),"主要Major",IF(OR(N86="中等Medium",O86="中等Medium",P86="中等Medium",Q86="中等Medium"),"中等Medium",IF(OR(N86="可忽略不计Negligible",O86="可忽略不计Negligible",P86="可忽略不计Negligible",Q86="可忽略不计Negligible"),"可忽略不计Negligible","/"))))</f>
        <v>中等Medium</v>
      </c>
      <c r="S86" s="175" t="s">
        <v>96</v>
      </c>
      <c r="T86" s="175" t="s">
        <v>554</v>
      </c>
      <c r="U86" s="175" t="s">
        <v>555</v>
      </c>
      <c r="V86" s="171" t="s">
        <v>581</v>
      </c>
      <c r="W86" s="171" t="s">
        <v>111</v>
      </c>
      <c r="X86" s="176">
        <f t="shared" si="24"/>
        <v>1</v>
      </c>
      <c r="Y86" s="171" t="s">
        <v>83</v>
      </c>
      <c r="Z86" s="176">
        <f t="shared" si="25"/>
        <v>6</v>
      </c>
      <c r="AA86" s="171" t="s">
        <v>557</v>
      </c>
      <c r="AB86" s="176">
        <f t="shared" si="26"/>
        <v>0</v>
      </c>
      <c r="AC86" s="171" t="s">
        <v>558</v>
      </c>
      <c r="AD86" s="176">
        <f t="shared" si="27"/>
        <v>10</v>
      </c>
      <c r="AE86" s="171" t="s">
        <v>86</v>
      </c>
      <c r="AF86" s="176" cm="1">
        <f t="array" ref="AF86">IF(OR(AE86="/",AE86=""),"/",IF(ISNUMBER(SEARCH("普通",AE86)),0,IF(ISNUMBER(SEARCH("专用",AE86)),4,IF(ISNUMBER(SEARCH("定制",AE86)),7,IF(ISNUMBER(SEARCH("多个定制",AE86)),9,””)))))</f>
        <v>4</v>
      </c>
      <c r="AG86" s="176">
        <f t="shared" si="28"/>
        <v>21</v>
      </c>
      <c r="AH86" s="176" t="str">
        <f t="shared" si="29"/>
        <v>低Low</v>
      </c>
      <c r="AI86" s="176" t="s">
        <v>144</v>
      </c>
      <c r="AJ86" s="176" t="str">
        <f t="shared" si="16"/>
        <v>保留
Retaining</v>
      </c>
      <c r="AK86" s="171" t="s">
        <v>145</v>
      </c>
      <c r="AL86" s="177" t="s">
        <v>145</v>
      </c>
      <c r="AM86" s="171" t="s">
        <v>145</v>
      </c>
      <c r="AN86" s="178" t="s">
        <v>270</v>
      </c>
      <c r="AO86" s="178" t="s">
        <v>271</v>
      </c>
    </row>
    <row r="87" s="116" customFormat="1" ht="20" customHeight="1" spans="1:41">
      <c r="A87" s="171">
        <v>81</v>
      </c>
      <c r="B87" s="179"/>
      <c r="C87" s="179"/>
      <c r="D87" s="179"/>
      <c r="E87" s="171"/>
      <c r="F87" s="171" t="s">
        <v>73</v>
      </c>
      <c r="G87" s="171"/>
      <c r="H87" s="171"/>
      <c r="I87" s="171"/>
      <c r="J87" s="171"/>
      <c r="K87" s="173" t="s">
        <v>582</v>
      </c>
      <c r="L87" s="173" t="s">
        <v>583</v>
      </c>
      <c r="M87" s="173" t="s">
        <v>120</v>
      </c>
      <c r="N87" s="174" t="s">
        <v>77</v>
      </c>
      <c r="O87" s="174" t="s">
        <v>77</v>
      </c>
      <c r="P87" s="174" t="s">
        <v>96</v>
      </c>
      <c r="Q87" s="174" t="s">
        <v>77</v>
      </c>
      <c r="R87" s="174" t="str">
        <f>IF(OR(N87="严重Severe",O87="严重Severe",P87="严重Severe",Q87="严重Severe"),"严重Severe",IF(OR(N87="主要Major",O87="主要Major",P87="主要Major",Q87="主要Major"),"主要Major",IF(OR(N87="中等Medium",O87="中等Medium",P87="中等Medium",Q87="中等Medium"),"中等Medium",IF(OR(N87="可忽略不计Negligible",O87="可忽略不计Negligible",P87="可忽略不计Negligible",Q87="可忽略不计Negligible"),"可忽略不计Negligible","/"))))</f>
        <v>中等Medium</v>
      </c>
      <c r="S87" s="171" t="s">
        <v>96</v>
      </c>
      <c r="T87" s="175" t="s">
        <v>584</v>
      </c>
      <c r="U87" s="175" t="s">
        <v>585</v>
      </c>
      <c r="V87" s="171" t="s">
        <v>581</v>
      </c>
      <c r="W87" s="171" t="s">
        <v>111</v>
      </c>
      <c r="X87" s="176">
        <f t="shared" si="24"/>
        <v>1</v>
      </c>
      <c r="Y87" s="171" t="s">
        <v>83</v>
      </c>
      <c r="Z87" s="176">
        <f t="shared" si="25"/>
        <v>6</v>
      </c>
      <c r="AA87" s="171" t="s">
        <v>84</v>
      </c>
      <c r="AB87" s="176">
        <f t="shared" si="26"/>
        <v>3</v>
      </c>
      <c r="AC87" s="171" t="s">
        <v>85</v>
      </c>
      <c r="AD87" s="176">
        <f t="shared" si="27"/>
        <v>4</v>
      </c>
      <c r="AE87" s="171" t="s">
        <v>86</v>
      </c>
      <c r="AF87" s="176" cm="1">
        <f t="array" ref="AF87">IF(OR(AE87="/",AE87=""),"/",IF(ISNUMBER(SEARCH("普通",AE87)),0,IF(ISNUMBER(SEARCH("专用",AE87)),4,IF(ISNUMBER(SEARCH("定制",AE87)),7,IF(ISNUMBER(SEARCH("多个定制",AE87)),9,””)))))</f>
        <v>4</v>
      </c>
      <c r="AG87" s="176">
        <f t="shared" si="28"/>
        <v>18</v>
      </c>
      <c r="AH87" s="176" t="str">
        <f t="shared" si="29"/>
        <v>中Medium</v>
      </c>
      <c r="AI87" s="176" t="s">
        <v>144</v>
      </c>
      <c r="AJ87" s="176" t="str">
        <f t="shared" si="16"/>
        <v>保留
Retaining</v>
      </c>
      <c r="AK87" s="171" t="s">
        <v>145</v>
      </c>
      <c r="AL87" s="177" t="s">
        <v>145</v>
      </c>
      <c r="AM87" s="180" t="s">
        <v>134</v>
      </c>
      <c r="AN87" s="178" t="s">
        <v>135</v>
      </c>
      <c r="AO87" s="178" t="s">
        <v>136</v>
      </c>
    </row>
    <row r="88" s="116" customFormat="1" ht="20" customHeight="1" spans="1:41">
      <c r="A88" s="171">
        <v>82</v>
      </c>
      <c r="B88" s="179"/>
      <c r="C88" s="179"/>
      <c r="D88" s="179"/>
      <c r="E88" s="171"/>
      <c r="F88" s="171"/>
      <c r="G88" s="171" t="s">
        <v>559</v>
      </c>
      <c r="H88" s="171"/>
      <c r="I88" s="171"/>
      <c r="J88" s="171"/>
      <c r="K88" s="173" t="s">
        <v>560</v>
      </c>
      <c r="L88" s="173" t="s">
        <v>586</v>
      </c>
      <c r="M88" s="173" t="s">
        <v>145</v>
      </c>
      <c r="N88" s="174" t="s">
        <v>145</v>
      </c>
      <c r="O88" s="174" t="s">
        <v>145</v>
      </c>
      <c r="P88" s="174" t="s">
        <v>145</v>
      </c>
      <c r="Q88" s="174" t="s">
        <v>145</v>
      </c>
      <c r="R88" s="174" t="str">
        <f>IF(OR(N88="严重Severe",O88="严重Severe",P88="严重Severe",Q88="严重Severe"),"严重Severe",IF(OR(N88="主要Major",O88="主要Major",P88="主要Major",Q88="主要Major"),"主要Major",IF(OR(N88="中等Medium",O88="中等Medium",P88="中等Medium",Q88="中等Medium"),"中等Medium",IF(OR(N88="可忽略不计Negligible",O88="可忽略不计Negligible",P88="可忽略不计Negligible",Q88="可忽略不计Negligible"),"可忽略不计Negligible","/"))))</f>
        <v>/</v>
      </c>
      <c r="S88" s="175" t="s">
        <v>145</v>
      </c>
      <c r="T88" s="175" t="s">
        <v>145</v>
      </c>
      <c r="U88" s="175" t="s">
        <v>145</v>
      </c>
      <c r="V88" s="171" t="s">
        <v>145</v>
      </c>
      <c r="W88" s="171" t="s">
        <v>145</v>
      </c>
      <c r="X88" s="176" t="str">
        <f t="shared" si="24"/>
        <v>/</v>
      </c>
      <c r="Y88" s="171" t="s">
        <v>145</v>
      </c>
      <c r="Z88" s="176" t="str">
        <f t="shared" si="25"/>
        <v>/</v>
      </c>
      <c r="AA88" s="171" t="s">
        <v>145</v>
      </c>
      <c r="AB88" s="176" t="str">
        <f t="shared" si="26"/>
        <v>/</v>
      </c>
      <c r="AC88" s="171" t="s">
        <v>145</v>
      </c>
      <c r="AD88" s="176" t="str">
        <f t="shared" si="27"/>
        <v>/</v>
      </c>
      <c r="AE88" s="171" t="s">
        <v>145</v>
      </c>
      <c r="AF88" s="176" t="str" cm="1">
        <f t="array" ref="AF88">IF(OR(AE88="/",AE88=""),"/",IF(ISNUMBER(SEARCH("普通",AE88)),0,IF(ISNUMBER(SEARCH("专用",AE88)),4,IF(ISNUMBER(SEARCH("定制",AE88)),7,IF(ISNUMBER(SEARCH("多个定制",AE88)),9,””)))))</f>
        <v>/</v>
      </c>
      <c r="AG88" s="176" t="str">
        <f t="shared" si="28"/>
        <v>/</v>
      </c>
      <c r="AH88" s="176" t="str">
        <f t="shared" si="29"/>
        <v/>
      </c>
      <c r="AI88" s="176" t="s">
        <v>145</v>
      </c>
      <c r="AJ88" s="176" t="str">
        <f t="shared" si="16"/>
        <v>/</v>
      </c>
      <c r="AK88" s="171" t="s">
        <v>145</v>
      </c>
      <c r="AL88" s="177" t="s">
        <v>145</v>
      </c>
      <c r="AM88" s="177" t="s">
        <v>145</v>
      </c>
      <c r="AN88" s="177" t="s">
        <v>145</v>
      </c>
      <c r="AO88" s="177" t="s">
        <v>145</v>
      </c>
    </row>
    <row r="89" s="116" customFormat="1" ht="20" customHeight="1" spans="1:41">
      <c r="A89" s="171">
        <v>83</v>
      </c>
      <c r="B89" s="179"/>
      <c r="C89" s="179"/>
      <c r="D89" s="179"/>
      <c r="E89" s="171"/>
      <c r="F89" s="171"/>
      <c r="G89" s="171"/>
      <c r="H89" s="171" t="s">
        <v>73</v>
      </c>
      <c r="I89" s="171"/>
      <c r="J89" s="171"/>
      <c r="K89" s="173" t="s">
        <v>587</v>
      </c>
      <c r="L89" s="173" t="s">
        <v>588</v>
      </c>
      <c r="M89" s="173" t="s">
        <v>589</v>
      </c>
      <c r="N89" s="174" t="s">
        <v>77</v>
      </c>
      <c r="O89" s="174" t="s">
        <v>77</v>
      </c>
      <c r="P89" s="174" t="s">
        <v>96</v>
      </c>
      <c r="Q89" s="174" t="s">
        <v>77</v>
      </c>
      <c r="R89" s="174" t="str">
        <f>IF(OR(N89="严重Severe",O89="严重Severe",P89="严重Severe",Q89="严重Severe"),"严重Severe",IF(OR(N89="主要Major",O89="主要Major",P89="主要Major",Q89="主要Major"),"主要Major",IF(OR(N89="中等Medium",O89="中等Medium",P89="中等Medium",Q89="中等Medium"),"中等Medium",IF(OR(N89="可忽略不计Negligible",O89="可忽略不计Negligible",P89="可忽略不计Negligible",Q89="可忽略不计Negligible"),"可忽略不计Negligible","/"))))</f>
        <v>中等Medium</v>
      </c>
      <c r="S89" s="171" t="s">
        <v>96</v>
      </c>
      <c r="T89" s="175" t="s">
        <v>590</v>
      </c>
      <c r="U89" s="175" t="s">
        <v>591</v>
      </c>
      <c r="V89" s="171" t="s">
        <v>581</v>
      </c>
      <c r="W89" s="171" t="s">
        <v>82</v>
      </c>
      <c r="X89" s="176">
        <f t="shared" si="24"/>
        <v>0</v>
      </c>
      <c r="Y89" s="171" t="s">
        <v>83</v>
      </c>
      <c r="Z89" s="176">
        <f t="shared" si="25"/>
        <v>6</v>
      </c>
      <c r="AA89" s="171" t="s">
        <v>84</v>
      </c>
      <c r="AB89" s="176">
        <f t="shared" si="26"/>
        <v>3</v>
      </c>
      <c r="AC89" s="171" t="s">
        <v>85</v>
      </c>
      <c r="AD89" s="176">
        <f t="shared" si="27"/>
        <v>4</v>
      </c>
      <c r="AE89" s="171" t="s">
        <v>86</v>
      </c>
      <c r="AF89" s="176" cm="1">
        <f t="array" ref="AF89">IF(OR(AE89="/",AE89=""),"/",IF(ISNUMBER(SEARCH("普通",AE89)),0,IF(ISNUMBER(SEARCH("专用",AE89)),4,IF(ISNUMBER(SEARCH("定制",AE89)),7,IF(ISNUMBER(SEARCH("多个定制",AE89)),9,””)))))</f>
        <v>4</v>
      </c>
      <c r="AG89" s="176">
        <f t="shared" si="28"/>
        <v>17</v>
      </c>
      <c r="AH89" s="176" t="str">
        <f t="shared" si="29"/>
        <v>中Medium</v>
      </c>
      <c r="AI89" s="176" t="s">
        <v>144</v>
      </c>
      <c r="AJ89" s="176" t="str">
        <f t="shared" si="16"/>
        <v>保留
Retaining</v>
      </c>
      <c r="AK89" s="171" t="s">
        <v>145</v>
      </c>
      <c r="AL89" s="177" t="s">
        <v>145</v>
      </c>
      <c r="AM89" s="180" t="s">
        <v>101</v>
      </c>
      <c r="AN89" s="178" t="s">
        <v>592</v>
      </c>
      <c r="AO89" s="178" t="s">
        <v>593</v>
      </c>
    </row>
    <row r="90" s="116" customFormat="1" ht="20" customHeight="1" spans="1:41">
      <c r="A90" s="171">
        <v>84</v>
      </c>
      <c r="B90" s="179"/>
      <c r="C90" s="179"/>
      <c r="D90" s="179"/>
      <c r="E90" s="171"/>
      <c r="F90" s="171"/>
      <c r="G90" s="171"/>
      <c r="H90" s="171"/>
      <c r="I90" s="171" t="s">
        <v>183</v>
      </c>
      <c r="J90" s="171"/>
      <c r="K90" s="173" t="s">
        <v>145</v>
      </c>
      <c r="L90" s="173" t="s">
        <v>145</v>
      </c>
      <c r="M90" s="173" t="s">
        <v>145</v>
      </c>
      <c r="N90" s="174" t="s">
        <v>145</v>
      </c>
      <c r="O90" s="174" t="s">
        <v>145</v>
      </c>
      <c r="P90" s="174" t="s">
        <v>145</v>
      </c>
      <c r="Q90" s="174" t="s">
        <v>145</v>
      </c>
      <c r="R90" s="174" t="s">
        <v>145</v>
      </c>
      <c r="S90" s="175" t="s">
        <v>145</v>
      </c>
      <c r="T90" s="175" t="s">
        <v>145</v>
      </c>
      <c r="U90" s="175" t="s">
        <v>145</v>
      </c>
      <c r="V90" s="171" t="s">
        <v>145</v>
      </c>
      <c r="W90" s="171" t="s">
        <v>145</v>
      </c>
      <c r="X90" s="176" t="s">
        <v>145</v>
      </c>
      <c r="Y90" s="171" t="s">
        <v>145</v>
      </c>
      <c r="Z90" s="176" t="s">
        <v>145</v>
      </c>
      <c r="AA90" s="171" t="s">
        <v>145</v>
      </c>
      <c r="AB90" s="176" t="s">
        <v>145</v>
      </c>
      <c r="AC90" s="171" t="s">
        <v>145</v>
      </c>
      <c r="AD90" s="176" t="s">
        <v>145</v>
      </c>
      <c r="AE90" s="171" t="s">
        <v>145</v>
      </c>
      <c r="AF90" s="176" t="str" cm="1">
        <f t="array" ref="AF90">IF(OR(AE90="/",AE90=""),"/",IF(ISNUMBER(SEARCH("普通",AE90)),0,IF(ISNUMBER(SEARCH("专用",AE90)),4,IF(ISNUMBER(SEARCH("定制",AE90)),7,IF(ISNUMBER(SEARCH("多个定制",AE90)),9,””)))))</f>
        <v>/</v>
      </c>
      <c r="AG90" s="176" t="s">
        <v>145</v>
      </c>
      <c r="AH90" s="176" t="s">
        <v>145</v>
      </c>
      <c r="AI90" s="176" t="s">
        <v>145</v>
      </c>
      <c r="AJ90" s="176" t="str">
        <f t="shared" si="16"/>
        <v>/</v>
      </c>
      <c r="AK90" s="171" t="s">
        <v>145</v>
      </c>
      <c r="AL90" s="177" t="s">
        <v>145</v>
      </c>
      <c r="AM90" s="177" t="s">
        <v>145</v>
      </c>
      <c r="AN90" s="177" t="s">
        <v>145</v>
      </c>
      <c r="AO90" s="177" t="s">
        <v>145</v>
      </c>
    </row>
    <row r="91" s="116" customFormat="1" ht="20" customHeight="1" spans="1:41">
      <c r="A91" s="171">
        <v>85</v>
      </c>
      <c r="B91" s="181"/>
      <c r="C91" s="181"/>
      <c r="D91" s="181"/>
      <c r="E91" s="171"/>
      <c r="F91" s="171"/>
      <c r="G91" s="171"/>
      <c r="H91" s="171"/>
      <c r="I91" s="171"/>
      <c r="J91" s="171" t="s">
        <v>183</v>
      </c>
      <c r="K91" s="173" t="s">
        <v>145</v>
      </c>
      <c r="L91" s="173" t="s">
        <v>145</v>
      </c>
      <c r="M91" s="173" t="s">
        <v>145</v>
      </c>
      <c r="N91" s="174" t="s">
        <v>145</v>
      </c>
      <c r="O91" s="174" t="s">
        <v>145</v>
      </c>
      <c r="P91" s="174" t="s">
        <v>145</v>
      </c>
      <c r="Q91" s="174" t="s">
        <v>145</v>
      </c>
      <c r="R91" s="174" t="s">
        <v>145</v>
      </c>
      <c r="S91" s="175" t="s">
        <v>145</v>
      </c>
      <c r="T91" s="175" t="s">
        <v>145</v>
      </c>
      <c r="U91" s="175" t="s">
        <v>145</v>
      </c>
      <c r="V91" s="171" t="s">
        <v>145</v>
      </c>
      <c r="W91" s="171" t="s">
        <v>145</v>
      </c>
      <c r="X91" s="176" t="s">
        <v>145</v>
      </c>
      <c r="Y91" s="171" t="s">
        <v>145</v>
      </c>
      <c r="Z91" s="176" t="s">
        <v>145</v>
      </c>
      <c r="AA91" s="171" t="s">
        <v>145</v>
      </c>
      <c r="AB91" s="176" t="s">
        <v>145</v>
      </c>
      <c r="AC91" s="171" t="s">
        <v>145</v>
      </c>
      <c r="AD91" s="176" t="s">
        <v>145</v>
      </c>
      <c r="AE91" s="171" t="s">
        <v>145</v>
      </c>
      <c r="AF91" s="176" t="str" cm="1">
        <f t="array" ref="AF91">IF(OR(AE91="/",AE91=""),"/",IF(ISNUMBER(SEARCH("普通",AE91)),0,IF(ISNUMBER(SEARCH("专用",AE91)),4,IF(ISNUMBER(SEARCH("定制",AE91)),7,IF(ISNUMBER(SEARCH("多个定制",AE91)),9,””)))))</f>
        <v>/</v>
      </c>
      <c r="AG91" s="176" t="s">
        <v>145</v>
      </c>
      <c r="AH91" s="176" t="s">
        <v>145</v>
      </c>
      <c r="AI91" s="176" t="s">
        <v>145</v>
      </c>
      <c r="AJ91" s="176" t="str">
        <f t="shared" si="16"/>
        <v>/</v>
      </c>
      <c r="AK91" s="171" t="s">
        <v>145</v>
      </c>
      <c r="AL91" s="177" t="s">
        <v>145</v>
      </c>
      <c r="AM91" s="177" t="s">
        <v>145</v>
      </c>
      <c r="AN91" s="177" t="s">
        <v>145</v>
      </c>
      <c r="AO91" s="177" t="s">
        <v>145</v>
      </c>
    </row>
    <row r="92" s="116" customFormat="1" ht="20" customHeight="1" spans="1:41">
      <c r="A92" s="171">
        <v>86</v>
      </c>
      <c r="B92" s="172" t="s">
        <v>594</v>
      </c>
      <c r="C92" s="171" t="s">
        <v>71</v>
      </c>
      <c r="D92" s="173" t="s">
        <v>595</v>
      </c>
      <c r="E92" s="171" t="s">
        <v>73</v>
      </c>
      <c r="F92" s="171"/>
      <c r="G92" s="171"/>
      <c r="H92" s="171"/>
      <c r="I92" s="171"/>
      <c r="J92" s="171"/>
      <c r="K92" s="173" t="s">
        <v>547</v>
      </c>
      <c r="L92" s="173" t="s">
        <v>596</v>
      </c>
      <c r="M92" s="173" t="s">
        <v>106</v>
      </c>
      <c r="N92" s="174" t="s">
        <v>77</v>
      </c>
      <c r="O92" s="174" t="s">
        <v>77</v>
      </c>
      <c r="P92" s="174" t="s">
        <v>96</v>
      </c>
      <c r="Q92" s="174" t="s">
        <v>96</v>
      </c>
      <c r="R92" s="174" t="str">
        <f>IF(OR(N92="严重Severe",O92="严重Severe",P92="严重Severe",Q92="严重Severe"),"严重Severe",IF(OR(N92="主要Major",O92="主要Major",P92="主要Major",Q92="主要Major"),"主要Major",IF(OR(N92="中等Medium",O92="中等Medium",P92="中等Medium",Q92="中等Medium"),"中等Medium",IF(OR(N92="可忽略不计Negligible",O92="可忽略不计Negligible",P92="可忽略不计Negligible",Q92="可忽略不计Negligible"),"可忽略不计Negligible","/"))))</f>
        <v>中等Medium</v>
      </c>
      <c r="S92" s="171" t="s">
        <v>96</v>
      </c>
      <c r="T92" s="175" t="s">
        <v>549</v>
      </c>
      <c r="U92" s="175" t="s">
        <v>109</v>
      </c>
      <c r="V92" s="171" t="s">
        <v>597</v>
      </c>
      <c r="W92" s="171" t="s">
        <v>82</v>
      </c>
      <c r="X92" s="176">
        <f t="shared" ref="X92:X96" si="30">IF(OR(W92="/",W92=""),"/",IF(ISNUMBER(SEARCH("1天",W92)),0,IF(ISNUMBER(SEARCH("一周",W92)),1,IF(ISNUMBER(SEARCH("1个月",W92)),4,IF(ISNUMBER(SEARCH("超过",W92)),19,IF(ISNUMBER(SEARCH("6个月",W92)),17,""))))))</f>
        <v>0</v>
      </c>
      <c r="Y92" s="171" t="s">
        <v>83</v>
      </c>
      <c r="Z92" s="176">
        <f t="shared" ref="Z92:Z96" si="31">IF(OR(Y92="/",Y92=""),"/",IF(ISNUMBER(SEARCH("新手",Y92)),0,IF(ISNUMBER(SEARCH("熟练",Y92)),3,IF(ISNUMBER(SEARCH("多位",Y92)),17,IF(ISNUMBER(SEARCH("专家",Y92)),6,"")))))</f>
        <v>6</v>
      </c>
      <c r="AA92" s="171" t="s">
        <v>84</v>
      </c>
      <c r="AB92" s="176">
        <f t="shared" ref="AB92:AB96" si="32">IF(OR(AA92="/",AA92=""),"/",IF(ISNUMBER(SEARCH("公开",AA92)),0,IF(ISNUMBER(SEARCH("限制性信息",AA92)),3,IF(ISNUMBER(SEARCH("机密信息",AA92)),7,IF(ISNUMBER(SEARCH("严格保密",AA92)),11,"")))))</f>
        <v>3</v>
      </c>
      <c r="AC92" s="171" t="s">
        <v>85</v>
      </c>
      <c r="AD92" s="176">
        <f t="shared" ref="AD92:AD96" si="33">IF(OR(AC92="/",AC92=""),"/",IF(ISNUMBER(SEARCH("无限制",AC92)),0,IF(ISNUMBER(SEARCH("容易",AC92)),1,IF(ISNUMBER(SEARCH("一般",AC92)),4,IF(ISNUMBER(SEARCH("困难",AC92)),10,"")))))</f>
        <v>4</v>
      </c>
      <c r="AE92" s="171" t="s">
        <v>86</v>
      </c>
      <c r="AF92" s="176" cm="1">
        <f t="array" ref="AF92">IF(OR(AE92="/",AE92=""),"/",IF(ISNUMBER(SEARCH("普通",AE92)),0,IF(ISNUMBER(SEARCH("专用",AE92)),4,IF(ISNUMBER(SEARCH("定制",AE92)),7,IF(ISNUMBER(SEARCH("多个定制",AE92)),9,””)))))</f>
        <v>4</v>
      </c>
      <c r="AG92" s="176">
        <f t="shared" ref="AG92:AG96" si="34">IF(OR(X92="/",Z92="/",AB92="/",AD92="/",AF92="/"),"/",X92+Z92+AB92+AD92+AF92)</f>
        <v>17</v>
      </c>
      <c r="AH92" s="176" t="str">
        <f t="shared" ref="AH92:AH96" si="35">IF(AND(AG92&gt;=0,AG92&lt;14),"高High",IF(AND(AG92&gt;=14,AG92&lt;20),"中Medium",IF(AND(AG92&gt;=20,AG92&lt;25),"低Low",IF(AND(AG92&gt;=25,AG92&lt;57),"非常低Very low",""))))</f>
        <v>中Medium</v>
      </c>
      <c r="AI92" s="176" t="s">
        <v>144</v>
      </c>
      <c r="AJ92" s="176" t="str">
        <f t="shared" si="16"/>
        <v>保留
Retaining</v>
      </c>
      <c r="AK92" s="171" t="s">
        <v>145</v>
      </c>
      <c r="AL92" s="177" t="s">
        <v>145</v>
      </c>
      <c r="AM92" s="180" t="s">
        <v>115</v>
      </c>
      <c r="AN92" s="178" t="s">
        <v>116</v>
      </c>
      <c r="AO92" s="178" t="s">
        <v>117</v>
      </c>
    </row>
    <row r="93" s="116" customFormat="1" ht="20" customHeight="1" spans="1:41">
      <c r="A93" s="171">
        <v>87</v>
      </c>
      <c r="B93" s="179"/>
      <c r="C93" s="179"/>
      <c r="D93" s="179"/>
      <c r="E93" s="171"/>
      <c r="F93" s="171" t="s">
        <v>73</v>
      </c>
      <c r="G93" s="171"/>
      <c r="H93" s="171"/>
      <c r="I93" s="171"/>
      <c r="J93" s="171"/>
      <c r="K93" s="173" t="s">
        <v>551</v>
      </c>
      <c r="L93" s="173" t="s">
        <v>598</v>
      </c>
      <c r="M93" s="173" t="s">
        <v>553</v>
      </c>
      <c r="N93" s="174" t="s">
        <v>77</v>
      </c>
      <c r="O93" s="174" t="s">
        <v>77</v>
      </c>
      <c r="P93" s="174" t="s">
        <v>96</v>
      </c>
      <c r="Q93" s="174" t="s">
        <v>77</v>
      </c>
      <c r="R93" s="174" t="str">
        <f>IF(OR(N93="严重Severe",O93="严重Severe",P93="严重Severe",Q93="严重Severe"),"严重Severe",IF(OR(N93="主要Major",O93="主要Major",P93="主要Major",Q93="主要Major"),"主要Major",IF(OR(N93="中等Medium",O93="中等Medium",P93="中等Medium",Q93="中等Medium"),"中等Medium",IF(OR(N93="可忽略不计Negligible",O93="可忽略不计Negligible",P93="可忽略不计Negligible",Q93="可忽略不计Negligible"),"可忽略不计Negligible","/"))))</f>
        <v>中等Medium</v>
      </c>
      <c r="S93" s="175" t="s">
        <v>96</v>
      </c>
      <c r="T93" s="175" t="s">
        <v>554</v>
      </c>
      <c r="U93" s="175" t="s">
        <v>555</v>
      </c>
      <c r="V93" s="171" t="s">
        <v>599</v>
      </c>
      <c r="W93" s="171" t="s">
        <v>111</v>
      </c>
      <c r="X93" s="176">
        <f t="shared" si="30"/>
        <v>1</v>
      </c>
      <c r="Y93" s="171" t="s">
        <v>83</v>
      </c>
      <c r="Z93" s="176">
        <f t="shared" si="31"/>
        <v>6</v>
      </c>
      <c r="AA93" s="171" t="s">
        <v>557</v>
      </c>
      <c r="AB93" s="176">
        <f t="shared" si="32"/>
        <v>0</v>
      </c>
      <c r="AC93" s="171" t="s">
        <v>558</v>
      </c>
      <c r="AD93" s="176">
        <f t="shared" si="33"/>
        <v>10</v>
      </c>
      <c r="AE93" s="171" t="s">
        <v>86</v>
      </c>
      <c r="AF93" s="176" cm="1">
        <f t="array" ref="AF93">IF(OR(AE93="/",AE93=""),"/",IF(ISNUMBER(SEARCH("普通",AE93)),0,IF(ISNUMBER(SEARCH("专用",AE93)),4,IF(ISNUMBER(SEARCH("定制",AE93)),7,IF(ISNUMBER(SEARCH("多个定制",AE93)),9,””)))))</f>
        <v>4</v>
      </c>
      <c r="AG93" s="176">
        <f t="shared" si="34"/>
        <v>21</v>
      </c>
      <c r="AH93" s="176" t="str">
        <f t="shared" si="35"/>
        <v>低Low</v>
      </c>
      <c r="AI93" s="176" t="s">
        <v>144</v>
      </c>
      <c r="AJ93" s="176" t="str">
        <f t="shared" si="16"/>
        <v>保留
Retaining</v>
      </c>
      <c r="AK93" s="171" t="s">
        <v>145</v>
      </c>
      <c r="AL93" s="177" t="s">
        <v>145</v>
      </c>
      <c r="AM93" s="171" t="s">
        <v>145</v>
      </c>
      <c r="AN93" s="178" t="s">
        <v>270</v>
      </c>
      <c r="AO93" s="178" t="s">
        <v>271</v>
      </c>
    </row>
    <row r="94" s="116" customFormat="1" ht="20" customHeight="1" spans="1:41">
      <c r="A94" s="171">
        <v>88</v>
      </c>
      <c r="B94" s="179"/>
      <c r="C94" s="179"/>
      <c r="D94" s="179"/>
      <c r="E94" s="171"/>
      <c r="F94" s="171" t="s">
        <v>73</v>
      </c>
      <c r="G94" s="171"/>
      <c r="H94" s="171"/>
      <c r="I94" s="171"/>
      <c r="J94" s="171"/>
      <c r="K94" s="173" t="s">
        <v>582</v>
      </c>
      <c r="L94" s="173" t="s">
        <v>600</v>
      </c>
      <c r="M94" s="173" t="s">
        <v>120</v>
      </c>
      <c r="N94" s="174" t="s">
        <v>77</v>
      </c>
      <c r="O94" s="174" t="s">
        <v>77</v>
      </c>
      <c r="P94" s="174" t="s">
        <v>96</v>
      </c>
      <c r="Q94" s="174" t="s">
        <v>77</v>
      </c>
      <c r="R94" s="174" t="str">
        <f>IF(OR(N94="严重Severe",O94="严重Severe",P94="严重Severe",Q94="严重Severe"),"严重Severe",IF(OR(N94="主要Major",O94="主要Major",P94="主要Major",Q94="主要Major"),"主要Major",IF(OR(N94="中等Medium",O94="中等Medium",P94="中等Medium",Q94="中等Medium"),"中等Medium",IF(OR(N94="可忽略不计Negligible",O94="可忽略不计Negligible",P94="可忽略不计Negligible",Q94="可忽略不计Negligible"),"可忽略不计Negligible","/"))))</f>
        <v>中等Medium</v>
      </c>
      <c r="S94" s="171" t="s">
        <v>96</v>
      </c>
      <c r="T94" s="175" t="s">
        <v>584</v>
      </c>
      <c r="U94" s="175" t="s">
        <v>601</v>
      </c>
      <c r="V94" s="171" t="s">
        <v>599</v>
      </c>
      <c r="W94" s="171" t="s">
        <v>111</v>
      </c>
      <c r="X94" s="176">
        <f t="shared" si="30"/>
        <v>1</v>
      </c>
      <c r="Y94" s="171" t="s">
        <v>83</v>
      </c>
      <c r="Z94" s="176">
        <f t="shared" si="31"/>
        <v>6</v>
      </c>
      <c r="AA94" s="171" t="s">
        <v>84</v>
      </c>
      <c r="AB94" s="176">
        <f t="shared" si="32"/>
        <v>3</v>
      </c>
      <c r="AC94" s="171" t="s">
        <v>85</v>
      </c>
      <c r="AD94" s="176">
        <f t="shared" si="33"/>
        <v>4</v>
      </c>
      <c r="AE94" s="171" t="s">
        <v>86</v>
      </c>
      <c r="AF94" s="176" cm="1">
        <f t="array" ref="AF94">IF(OR(AE94="/",AE94=""),"/",IF(ISNUMBER(SEARCH("普通",AE94)),0,IF(ISNUMBER(SEARCH("专用",AE94)),4,IF(ISNUMBER(SEARCH("定制",AE94)),7,IF(ISNUMBER(SEARCH("多个定制",AE94)),9,””)))))</f>
        <v>4</v>
      </c>
      <c r="AG94" s="176">
        <f t="shared" si="34"/>
        <v>18</v>
      </c>
      <c r="AH94" s="176" t="str">
        <f t="shared" si="35"/>
        <v>中Medium</v>
      </c>
      <c r="AI94" s="176" t="s">
        <v>144</v>
      </c>
      <c r="AJ94" s="176" t="str">
        <f t="shared" si="16"/>
        <v>保留
Retaining</v>
      </c>
      <c r="AK94" s="171" t="s">
        <v>145</v>
      </c>
      <c r="AL94" s="177" t="s">
        <v>145</v>
      </c>
      <c r="AM94" s="180" t="s">
        <v>134</v>
      </c>
      <c r="AN94" s="178" t="s">
        <v>135</v>
      </c>
      <c r="AO94" s="178" t="s">
        <v>136</v>
      </c>
    </row>
    <row r="95" s="116" customFormat="1" ht="20" customHeight="1" spans="1:41">
      <c r="A95" s="171">
        <v>89</v>
      </c>
      <c r="B95" s="179"/>
      <c r="C95" s="179"/>
      <c r="D95" s="179"/>
      <c r="E95" s="171"/>
      <c r="F95" s="171"/>
      <c r="G95" s="171" t="s">
        <v>559</v>
      </c>
      <c r="H95" s="171"/>
      <c r="I95" s="171"/>
      <c r="J95" s="171"/>
      <c r="K95" s="173" t="s">
        <v>560</v>
      </c>
      <c r="L95" s="173" t="s">
        <v>602</v>
      </c>
      <c r="M95" s="173" t="s">
        <v>145</v>
      </c>
      <c r="N95" s="174" t="s">
        <v>145</v>
      </c>
      <c r="O95" s="174" t="s">
        <v>145</v>
      </c>
      <c r="P95" s="174" t="s">
        <v>145</v>
      </c>
      <c r="Q95" s="174" t="s">
        <v>145</v>
      </c>
      <c r="R95" s="174" t="str">
        <f>IF(OR(N95="严重Severe",O95="严重Severe",P95="严重Severe",Q95="严重Severe"),"严重Severe",IF(OR(N95="主要Major",O95="主要Major",P95="主要Major",Q95="主要Major"),"主要Major",IF(OR(N95="中等Medium",O95="中等Medium",P95="中等Medium",Q95="中等Medium"),"中等Medium",IF(OR(N95="可忽略不计Negligible",O95="可忽略不计Negligible",P95="可忽略不计Negligible",Q95="可忽略不计Negligible"),"可忽略不计Negligible","/"))))</f>
        <v>/</v>
      </c>
      <c r="S95" s="175" t="s">
        <v>145</v>
      </c>
      <c r="T95" s="175" t="s">
        <v>145</v>
      </c>
      <c r="U95" s="175" t="s">
        <v>145</v>
      </c>
      <c r="V95" s="171" t="s">
        <v>145</v>
      </c>
      <c r="W95" s="171" t="s">
        <v>145</v>
      </c>
      <c r="X95" s="176" t="str">
        <f t="shared" si="30"/>
        <v>/</v>
      </c>
      <c r="Y95" s="171" t="s">
        <v>145</v>
      </c>
      <c r="Z95" s="176" t="str">
        <f t="shared" si="31"/>
        <v>/</v>
      </c>
      <c r="AA95" s="171" t="s">
        <v>145</v>
      </c>
      <c r="AB95" s="176" t="str">
        <f t="shared" si="32"/>
        <v>/</v>
      </c>
      <c r="AC95" s="171" t="s">
        <v>145</v>
      </c>
      <c r="AD95" s="176" t="str">
        <f t="shared" si="33"/>
        <v>/</v>
      </c>
      <c r="AE95" s="171" t="s">
        <v>145</v>
      </c>
      <c r="AF95" s="176" t="str" cm="1">
        <f t="array" ref="AF95">IF(OR(AE95="/",AE95=""),"/",IF(ISNUMBER(SEARCH("普通",AE95)),0,IF(ISNUMBER(SEARCH("专用",AE95)),4,IF(ISNUMBER(SEARCH("定制",AE95)),7,IF(ISNUMBER(SEARCH("多个定制",AE95)),9,””)))))</f>
        <v>/</v>
      </c>
      <c r="AG95" s="176" t="str">
        <f t="shared" si="34"/>
        <v>/</v>
      </c>
      <c r="AH95" s="176" t="str">
        <f t="shared" si="35"/>
        <v/>
      </c>
      <c r="AI95" s="176" t="s">
        <v>145</v>
      </c>
      <c r="AJ95" s="176" t="str">
        <f t="shared" si="16"/>
        <v>/</v>
      </c>
      <c r="AK95" s="171" t="s">
        <v>145</v>
      </c>
      <c r="AL95" s="177" t="s">
        <v>145</v>
      </c>
      <c r="AM95" s="177" t="s">
        <v>145</v>
      </c>
      <c r="AN95" s="177" t="s">
        <v>145</v>
      </c>
      <c r="AO95" s="177" t="s">
        <v>145</v>
      </c>
    </row>
    <row r="96" s="116" customFormat="1" ht="20" customHeight="1" spans="1:41">
      <c r="A96" s="171">
        <v>90</v>
      </c>
      <c r="B96" s="179"/>
      <c r="C96" s="179"/>
      <c r="D96" s="179"/>
      <c r="E96" s="171"/>
      <c r="F96" s="171"/>
      <c r="G96" s="171"/>
      <c r="H96" s="171" t="s">
        <v>73</v>
      </c>
      <c r="I96" s="171"/>
      <c r="J96" s="171"/>
      <c r="K96" s="173" t="s">
        <v>587</v>
      </c>
      <c r="L96" s="173" t="s">
        <v>603</v>
      </c>
      <c r="M96" s="173" t="s">
        <v>589</v>
      </c>
      <c r="N96" s="174" t="s">
        <v>77</v>
      </c>
      <c r="O96" s="174" t="s">
        <v>77</v>
      </c>
      <c r="P96" s="174" t="s">
        <v>96</v>
      </c>
      <c r="Q96" s="174" t="s">
        <v>77</v>
      </c>
      <c r="R96" s="174" t="str">
        <f>IF(OR(N96="严重Severe",O96="严重Severe",P96="严重Severe",Q96="严重Severe"),"严重Severe",IF(OR(N96="主要Major",O96="主要Major",P96="主要Major",Q96="主要Major"),"主要Major",IF(OR(N96="中等Medium",O96="中等Medium",P96="中等Medium",Q96="中等Medium"),"中等Medium",IF(OR(N96="可忽略不计Negligible",O96="可忽略不计Negligible",P96="可忽略不计Negligible",Q96="可忽略不计Negligible"),"可忽略不计Negligible","/"))))</f>
        <v>中等Medium</v>
      </c>
      <c r="S96" s="171" t="s">
        <v>96</v>
      </c>
      <c r="T96" s="175" t="s">
        <v>590</v>
      </c>
      <c r="U96" s="175" t="s">
        <v>591</v>
      </c>
      <c r="V96" s="171" t="s">
        <v>599</v>
      </c>
      <c r="W96" s="171" t="s">
        <v>82</v>
      </c>
      <c r="X96" s="176">
        <f t="shared" si="30"/>
        <v>0</v>
      </c>
      <c r="Y96" s="171" t="s">
        <v>83</v>
      </c>
      <c r="Z96" s="176">
        <f t="shared" si="31"/>
        <v>6</v>
      </c>
      <c r="AA96" s="171" t="s">
        <v>84</v>
      </c>
      <c r="AB96" s="176">
        <f t="shared" si="32"/>
        <v>3</v>
      </c>
      <c r="AC96" s="171" t="s">
        <v>85</v>
      </c>
      <c r="AD96" s="176">
        <f t="shared" si="33"/>
        <v>4</v>
      </c>
      <c r="AE96" s="171" t="s">
        <v>86</v>
      </c>
      <c r="AF96" s="176" cm="1">
        <f t="array" ref="AF96">IF(OR(AE96="/",AE96=""),"/",IF(ISNUMBER(SEARCH("普通",AE96)),0,IF(ISNUMBER(SEARCH("专用",AE96)),4,IF(ISNUMBER(SEARCH("定制",AE96)),7,IF(ISNUMBER(SEARCH("多个定制",AE96)),9,””)))))</f>
        <v>4</v>
      </c>
      <c r="AG96" s="176">
        <f t="shared" si="34"/>
        <v>17</v>
      </c>
      <c r="AH96" s="176" t="str">
        <f t="shared" si="35"/>
        <v>中Medium</v>
      </c>
      <c r="AI96" s="176" t="s">
        <v>144</v>
      </c>
      <c r="AJ96" s="176" t="str">
        <f t="shared" si="16"/>
        <v>保留
Retaining</v>
      </c>
      <c r="AK96" s="171" t="s">
        <v>145</v>
      </c>
      <c r="AL96" s="177" t="s">
        <v>145</v>
      </c>
      <c r="AM96" s="180" t="s">
        <v>101</v>
      </c>
      <c r="AN96" s="178" t="s">
        <v>592</v>
      </c>
      <c r="AO96" s="178" t="s">
        <v>593</v>
      </c>
    </row>
    <row r="97" s="116" customFormat="1" ht="20" customHeight="1" spans="1:1024 1025:16383">
      <c r="A97" s="171">
        <v>91</v>
      </c>
      <c r="B97" s="179"/>
      <c r="C97" s="179"/>
      <c r="D97" s="179"/>
      <c r="E97" s="171"/>
      <c r="F97" s="171"/>
      <c r="G97" s="171"/>
      <c r="H97" s="171"/>
      <c r="I97" s="171" t="s">
        <v>183</v>
      </c>
      <c r="J97" s="171"/>
      <c r="K97" s="173" t="s">
        <v>145</v>
      </c>
      <c r="L97" s="173" t="s">
        <v>145</v>
      </c>
      <c r="M97" s="173" t="s">
        <v>145</v>
      </c>
      <c r="N97" s="174" t="s">
        <v>145</v>
      </c>
      <c r="O97" s="174" t="s">
        <v>145</v>
      </c>
      <c r="P97" s="174" t="s">
        <v>145</v>
      </c>
      <c r="Q97" s="174" t="s">
        <v>145</v>
      </c>
      <c r="R97" s="174" t="s">
        <v>145</v>
      </c>
      <c r="S97" s="175" t="s">
        <v>145</v>
      </c>
      <c r="T97" s="175" t="s">
        <v>145</v>
      </c>
      <c r="U97" s="175" t="s">
        <v>145</v>
      </c>
      <c r="V97" s="171" t="s">
        <v>145</v>
      </c>
      <c r="W97" s="171" t="s">
        <v>145</v>
      </c>
      <c r="X97" s="176" t="s">
        <v>145</v>
      </c>
      <c r="Y97" s="171" t="s">
        <v>145</v>
      </c>
      <c r="Z97" s="176" t="s">
        <v>145</v>
      </c>
      <c r="AA97" s="171" t="s">
        <v>145</v>
      </c>
      <c r="AB97" s="176" t="s">
        <v>145</v>
      </c>
      <c r="AC97" s="171" t="s">
        <v>145</v>
      </c>
      <c r="AD97" s="176" t="s">
        <v>145</v>
      </c>
      <c r="AE97" s="171" t="s">
        <v>145</v>
      </c>
      <c r="AF97" s="176" t="str" cm="1">
        <f t="array" ref="AF97">IF(OR(AE97="/",AE97=""),"/",IF(ISNUMBER(SEARCH("普通",AE97)),0,IF(ISNUMBER(SEARCH("专用",AE97)),4,IF(ISNUMBER(SEARCH("定制",AE97)),7,IF(ISNUMBER(SEARCH("多个定制",AE97)),9,””)))))</f>
        <v>/</v>
      </c>
      <c r="AG97" s="176" t="s">
        <v>145</v>
      </c>
      <c r="AH97" s="176" t="s">
        <v>145</v>
      </c>
      <c r="AI97" s="176" t="s">
        <v>145</v>
      </c>
      <c r="AJ97" s="176" t="str">
        <f t="shared" si="16"/>
        <v>/</v>
      </c>
      <c r="AK97" s="171" t="s">
        <v>145</v>
      </c>
      <c r="AL97" s="177" t="s">
        <v>145</v>
      </c>
      <c r="AM97" s="177" t="s">
        <v>145</v>
      </c>
      <c r="AN97" s="177" t="s">
        <v>145</v>
      </c>
      <c r="AO97" s="177" t="s">
        <v>145</v>
      </c>
    </row>
    <row r="98" s="116" customFormat="1" ht="20" customHeight="1" spans="1:1024 1025:16383">
      <c r="A98" s="171">
        <v>92</v>
      </c>
      <c r="B98" s="181"/>
      <c r="C98" s="181"/>
      <c r="D98" s="181"/>
      <c r="E98" s="171"/>
      <c r="F98" s="171"/>
      <c r="G98" s="171"/>
      <c r="H98" s="171"/>
      <c r="I98" s="171"/>
      <c r="J98" s="171" t="s">
        <v>183</v>
      </c>
      <c r="K98" s="173" t="s">
        <v>145</v>
      </c>
      <c r="L98" s="173" t="s">
        <v>145</v>
      </c>
      <c r="M98" s="173" t="s">
        <v>145</v>
      </c>
      <c r="N98" s="174" t="s">
        <v>145</v>
      </c>
      <c r="O98" s="174" t="s">
        <v>145</v>
      </c>
      <c r="P98" s="174" t="s">
        <v>145</v>
      </c>
      <c r="Q98" s="174" t="s">
        <v>145</v>
      </c>
      <c r="R98" s="174" t="s">
        <v>145</v>
      </c>
      <c r="S98" s="175" t="s">
        <v>145</v>
      </c>
      <c r="T98" s="175" t="s">
        <v>145</v>
      </c>
      <c r="U98" s="175" t="s">
        <v>145</v>
      </c>
      <c r="V98" s="171" t="s">
        <v>145</v>
      </c>
      <c r="W98" s="171" t="s">
        <v>145</v>
      </c>
      <c r="X98" s="176" t="s">
        <v>145</v>
      </c>
      <c r="Y98" s="171" t="s">
        <v>145</v>
      </c>
      <c r="Z98" s="176" t="s">
        <v>145</v>
      </c>
      <c r="AA98" s="171" t="s">
        <v>145</v>
      </c>
      <c r="AB98" s="176" t="s">
        <v>145</v>
      </c>
      <c r="AC98" s="171" t="s">
        <v>145</v>
      </c>
      <c r="AD98" s="176" t="s">
        <v>145</v>
      </c>
      <c r="AE98" s="171" t="s">
        <v>145</v>
      </c>
      <c r="AF98" s="176" t="str" cm="1">
        <f t="array" ref="AF98">IF(OR(AE98="/",AE98=""),"/",IF(ISNUMBER(SEARCH("普通",AE98)),0,IF(ISNUMBER(SEARCH("专用",AE98)),4,IF(ISNUMBER(SEARCH("定制",AE98)),7,IF(ISNUMBER(SEARCH("多个定制",AE98)),9,””)))))</f>
        <v>/</v>
      </c>
      <c r="AG98" s="176" t="s">
        <v>145</v>
      </c>
      <c r="AH98" s="176" t="s">
        <v>145</v>
      </c>
      <c r="AI98" s="176" t="s">
        <v>145</v>
      </c>
      <c r="AJ98" s="176" t="str">
        <f t="shared" si="16"/>
        <v>/</v>
      </c>
      <c r="AK98" s="171" t="s">
        <v>145</v>
      </c>
      <c r="AL98" s="177" t="s">
        <v>145</v>
      </c>
      <c r="AM98" s="177" t="s">
        <v>145</v>
      </c>
      <c r="AN98" s="177" t="s">
        <v>145</v>
      </c>
      <c r="AO98" s="177" t="s">
        <v>145</v>
      </c>
    </row>
    <row r="99" s="116" customFormat="1" ht="20" customHeight="1" spans="1:1024 1025:16383">
      <c r="A99" s="171">
        <v>93</v>
      </c>
      <c r="B99" s="172" t="s">
        <v>604</v>
      </c>
      <c r="C99" s="171" t="s">
        <v>71</v>
      </c>
      <c r="D99" s="173" t="s">
        <v>605</v>
      </c>
      <c r="E99" s="171" t="s">
        <v>73</v>
      </c>
      <c r="F99" s="171"/>
      <c r="G99" s="171"/>
      <c r="H99" s="171"/>
      <c r="I99" s="171"/>
      <c r="J99" s="171"/>
      <c r="K99" s="173" t="s">
        <v>509</v>
      </c>
      <c r="L99" s="173" t="s">
        <v>606</v>
      </c>
      <c r="M99" s="173" t="s">
        <v>76</v>
      </c>
      <c r="N99" s="174" t="s">
        <v>77</v>
      </c>
      <c r="O99" s="174" t="s">
        <v>77</v>
      </c>
      <c r="P99" s="174" t="s">
        <v>78</v>
      </c>
      <c r="Q99" s="174" t="s">
        <v>77</v>
      </c>
      <c r="R99" s="174" t="str">
        <f t="shared" ref="R99:R105" si="36">IF(OR(N99="严重Severe",O99="严重Severe",P99="严重Severe",Q99="严重Severe"),"严重Severe",IF(OR(N99="主要Major",O99="主要Major",P99="主要Major",Q99="主要Major"),"主要Major",IF(OR(N99="中等Medium",O99="中等Medium",P99="中等Medium",Q99="中等Medium"),"中等Medium",IF(OR(N99="可忽略不计Negligible",O99="可忽略不计Negligible",P99="可忽略不计Negligible",Q99="可忽略不计Negligible"),"可忽略不计Negligible","/"))))</f>
        <v>主要Major</v>
      </c>
      <c r="S99" s="175" t="s">
        <v>78</v>
      </c>
      <c r="T99" s="175" t="s">
        <v>511</v>
      </c>
      <c r="U99" s="175" t="s">
        <v>80</v>
      </c>
      <c r="V99" s="171" t="s">
        <v>607</v>
      </c>
      <c r="W99" s="171" t="s">
        <v>82</v>
      </c>
      <c r="X99" s="176">
        <f t="shared" ref="X99:X105" si="37">IF(OR(W99="/",W99=""),"/",IF(ISNUMBER(SEARCH("1天",W99)),0,IF(ISNUMBER(SEARCH("一周",W99)),1,IF(ISNUMBER(SEARCH("1个月",W99)),4,IF(ISNUMBER(SEARCH("超过",W99)),19,IF(ISNUMBER(SEARCH("6个月",W99)),17,""))))))</f>
        <v>0</v>
      </c>
      <c r="Y99" s="171" t="s">
        <v>83</v>
      </c>
      <c r="Z99" s="176">
        <f t="shared" ref="Z99:Z105" si="38">IF(OR(Y99="/",Y99=""),"/",IF(ISNUMBER(SEARCH("新手",Y99)),0,IF(ISNUMBER(SEARCH("熟练",Y99)),3,IF(ISNUMBER(SEARCH("多位",Y99)),17,IF(ISNUMBER(SEARCH("专家",Y99)),6,"")))))</f>
        <v>6</v>
      </c>
      <c r="AA99" s="171" t="s">
        <v>84</v>
      </c>
      <c r="AB99" s="176">
        <f t="shared" ref="AB99:AB105" si="39">IF(OR(AA99="/",AA99=""),"/",IF(ISNUMBER(SEARCH("公开",AA99)),0,IF(ISNUMBER(SEARCH("限制性信息",AA99)),3,IF(ISNUMBER(SEARCH("机密信息",AA99)),7,IF(ISNUMBER(SEARCH("严格保密",AA99)),11,"")))))</f>
        <v>3</v>
      </c>
      <c r="AC99" s="171" t="s">
        <v>85</v>
      </c>
      <c r="AD99" s="176">
        <f t="shared" ref="AD99:AD105" si="40">IF(OR(AC99="/",AC99=""),"/",IF(ISNUMBER(SEARCH("无限制",AC99)),0,IF(ISNUMBER(SEARCH("容易",AC99)),1,IF(ISNUMBER(SEARCH("一般",AC99)),4,IF(ISNUMBER(SEARCH("困难",AC99)),10,"")))))</f>
        <v>4</v>
      </c>
      <c r="AE99" s="171" t="s">
        <v>86</v>
      </c>
      <c r="AF99" s="176" cm="1">
        <f t="array" ref="AF99">IF(OR(AE99="/",AE99=""),"/",IF(ISNUMBER(SEARCH("普通",AE99)),0,IF(ISNUMBER(SEARCH("专用",AE99)),4,IF(ISNUMBER(SEARCH("定制",AE99)),7,IF(ISNUMBER(SEARCH("多个定制",AE99)),9,””)))))</f>
        <v>4</v>
      </c>
      <c r="AG99" s="176">
        <f t="shared" ref="AG99:AG105" si="41">IF(OR(X99="/",Z99="/",AB99="/",AD99="/",AF99="/"),"/",X99+Z99+AB99+AD99+AF99)</f>
        <v>17</v>
      </c>
      <c r="AH99" s="176" t="str">
        <f t="shared" ref="AH99:AH105" si="42">IF(AND(AG99&gt;=0,AG99&lt;14),"高High",IF(AND(AG99&gt;=14,AG99&lt;20),"中Medium",IF(AND(AG99&gt;=20,AG99&lt;25),"低Low",IF(AND(AG99&gt;=25,AG99&lt;57),"非常低Very low",""))))</f>
        <v>中Medium</v>
      </c>
      <c r="AI99" s="176" t="s">
        <v>87</v>
      </c>
      <c r="AJ99" s="176" t="str">
        <f t="shared" si="16"/>
        <v>降低
Reucing</v>
      </c>
      <c r="AK99" s="171" t="s">
        <v>513</v>
      </c>
      <c r="AL99" s="177" t="s">
        <v>514</v>
      </c>
      <c r="AM99" s="180" t="s">
        <v>90</v>
      </c>
      <c r="AN99" s="178" t="s">
        <v>91</v>
      </c>
      <c r="AO99" s="178" t="s">
        <v>92</v>
      </c>
    </row>
    <row r="100" s="116" customFormat="1" ht="20" customHeight="1" spans="1:1024 1025:16383">
      <c r="A100" s="171">
        <v>94</v>
      </c>
      <c r="B100" s="179"/>
      <c r="C100" s="179"/>
      <c r="D100" s="179"/>
      <c r="E100" s="171" t="s">
        <v>73</v>
      </c>
      <c r="F100" s="171"/>
      <c r="G100" s="171"/>
      <c r="H100" s="171"/>
      <c r="I100" s="171"/>
      <c r="J100" s="171"/>
      <c r="K100" s="173" t="s">
        <v>515</v>
      </c>
      <c r="L100" s="173" t="s">
        <v>608</v>
      </c>
      <c r="M100" s="173" t="s">
        <v>106</v>
      </c>
      <c r="N100" s="174" t="s">
        <v>77</v>
      </c>
      <c r="O100" s="174" t="s">
        <v>77</v>
      </c>
      <c r="P100" s="174" t="s">
        <v>96</v>
      </c>
      <c r="Q100" s="174" t="s">
        <v>78</v>
      </c>
      <c r="R100" s="174" t="str">
        <f t="shared" si="36"/>
        <v>主要Major</v>
      </c>
      <c r="S100" s="175" t="s">
        <v>107</v>
      </c>
      <c r="T100" s="175" t="s">
        <v>517</v>
      </c>
      <c r="U100" s="175" t="s">
        <v>109</v>
      </c>
      <c r="V100" s="171" t="s">
        <v>609</v>
      </c>
      <c r="W100" s="171" t="s">
        <v>111</v>
      </c>
      <c r="X100" s="176">
        <f t="shared" si="37"/>
        <v>1</v>
      </c>
      <c r="Y100" s="171" t="s">
        <v>83</v>
      </c>
      <c r="Z100" s="176">
        <f t="shared" si="38"/>
        <v>6</v>
      </c>
      <c r="AA100" s="171" t="s">
        <v>84</v>
      </c>
      <c r="AB100" s="176">
        <f t="shared" si="39"/>
        <v>3</v>
      </c>
      <c r="AC100" s="171" t="s">
        <v>85</v>
      </c>
      <c r="AD100" s="176">
        <f t="shared" si="40"/>
        <v>4</v>
      </c>
      <c r="AE100" s="171" t="s">
        <v>143</v>
      </c>
      <c r="AF100" s="176" cm="1">
        <f t="array" ref="AF100">IF(OR(AE100="/",AE100=""),"/",IF(ISNUMBER(SEARCH("普通",AE100)),0,IF(ISNUMBER(SEARCH("专用",AE100)),4,IF(ISNUMBER(SEARCH("定制",AE100)),7,IF(ISNUMBER(SEARCH("多个定制",AE100)),9,””)))))</f>
        <v>7</v>
      </c>
      <c r="AG100" s="176">
        <f t="shared" si="41"/>
        <v>21</v>
      </c>
      <c r="AH100" s="176" t="str">
        <f t="shared" si="42"/>
        <v>低Low</v>
      </c>
      <c r="AI100" s="176" t="s">
        <v>112</v>
      </c>
      <c r="AJ100" s="176" t="str">
        <f t="shared" si="16"/>
        <v>消除
Avoiding</v>
      </c>
      <c r="AK100" s="171" t="s">
        <v>519</v>
      </c>
      <c r="AL100" s="177" t="s">
        <v>520</v>
      </c>
      <c r="AM100" s="180" t="s">
        <v>115</v>
      </c>
      <c r="AN100" s="178" t="s">
        <v>116</v>
      </c>
      <c r="AO100" s="178" t="s">
        <v>117</v>
      </c>
    </row>
    <row r="101" s="116" customFormat="1" ht="20" customHeight="1" spans="1:1024 1025:16383">
      <c r="A101" s="171">
        <v>95</v>
      </c>
      <c r="B101" s="179"/>
      <c r="C101" s="179"/>
      <c r="D101" s="179"/>
      <c r="E101" s="171"/>
      <c r="F101" s="171" t="s">
        <v>73</v>
      </c>
      <c r="G101" s="171"/>
      <c r="H101" s="171"/>
      <c r="I101" s="171"/>
      <c r="J101" s="171"/>
      <c r="K101" s="173" t="s">
        <v>521</v>
      </c>
      <c r="L101" s="173" t="s">
        <v>610</v>
      </c>
      <c r="M101" s="173" t="s">
        <v>120</v>
      </c>
      <c r="N101" s="174" t="s">
        <v>77</v>
      </c>
      <c r="O101" s="174" t="s">
        <v>96</v>
      </c>
      <c r="P101" s="174" t="s">
        <v>78</v>
      </c>
      <c r="Q101" s="174" t="s">
        <v>77</v>
      </c>
      <c r="R101" s="174" t="str">
        <f t="shared" si="36"/>
        <v>主要Major</v>
      </c>
      <c r="S101" s="175" t="s">
        <v>78</v>
      </c>
      <c r="T101" s="175" t="s">
        <v>523</v>
      </c>
      <c r="U101" s="175" t="s">
        <v>611</v>
      </c>
      <c r="V101" s="171" t="s">
        <v>607</v>
      </c>
      <c r="W101" s="171" t="s">
        <v>82</v>
      </c>
      <c r="X101" s="176">
        <f t="shared" si="37"/>
        <v>0</v>
      </c>
      <c r="Y101" s="171" t="s">
        <v>83</v>
      </c>
      <c r="Z101" s="176">
        <f t="shared" si="38"/>
        <v>6</v>
      </c>
      <c r="AA101" s="171" t="s">
        <v>84</v>
      </c>
      <c r="AB101" s="176">
        <f t="shared" si="39"/>
        <v>3</v>
      </c>
      <c r="AC101" s="171" t="s">
        <v>85</v>
      </c>
      <c r="AD101" s="176">
        <f t="shared" si="40"/>
        <v>4</v>
      </c>
      <c r="AE101" s="171" t="s">
        <v>86</v>
      </c>
      <c r="AF101" s="176" cm="1">
        <f t="array" ref="AF101">IF(OR(AE101="/",AE101=""),"/",IF(ISNUMBER(SEARCH("普通",AE101)),0,IF(ISNUMBER(SEARCH("专用",AE101)),4,IF(ISNUMBER(SEARCH("定制",AE101)),7,IF(ISNUMBER(SEARCH("多个定制",AE101)),9,””)))))</f>
        <v>4</v>
      </c>
      <c r="AG101" s="176">
        <f t="shared" si="41"/>
        <v>17</v>
      </c>
      <c r="AH101" s="176" t="str">
        <f t="shared" si="42"/>
        <v>中Medium</v>
      </c>
      <c r="AI101" s="176" t="s">
        <v>87</v>
      </c>
      <c r="AJ101" s="176" t="str">
        <f t="shared" si="16"/>
        <v>降低
Reucing</v>
      </c>
      <c r="AK101" s="171" t="s">
        <v>525</v>
      </c>
      <c r="AL101" s="177" t="s">
        <v>526</v>
      </c>
      <c r="AM101" s="180" t="s">
        <v>125</v>
      </c>
      <c r="AN101" s="178" t="s">
        <v>126</v>
      </c>
      <c r="AO101" s="178" t="s">
        <v>127</v>
      </c>
    </row>
    <row r="102" s="116" customFormat="1" ht="20" customHeight="1" spans="1:1024 1025:16383">
      <c r="A102" s="171">
        <v>96</v>
      </c>
      <c r="B102" s="179"/>
      <c r="C102" s="179"/>
      <c r="D102" s="179"/>
      <c r="E102" s="171"/>
      <c r="F102" s="171" t="s">
        <v>73</v>
      </c>
      <c r="G102" s="171"/>
      <c r="H102" s="171"/>
      <c r="I102" s="171"/>
      <c r="J102" s="171"/>
      <c r="K102" s="173" t="s">
        <v>527</v>
      </c>
      <c r="L102" s="173" t="s">
        <v>612</v>
      </c>
      <c r="M102" s="173" t="s">
        <v>120</v>
      </c>
      <c r="N102" s="174" t="s">
        <v>96</v>
      </c>
      <c r="O102" s="174" t="s">
        <v>96</v>
      </c>
      <c r="P102" s="174" t="s">
        <v>78</v>
      </c>
      <c r="Q102" s="174" t="s">
        <v>77</v>
      </c>
      <c r="R102" s="174" t="str">
        <f t="shared" si="36"/>
        <v>主要Major</v>
      </c>
      <c r="S102" s="175" t="s">
        <v>78</v>
      </c>
      <c r="T102" s="175" t="s">
        <v>529</v>
      </c>
      <c r="U102" s="175" t="s">
        <v>613</v>
      </c>
      <c r="V102" s="171" t="s">
        <v>607</v>
      </c>
      <c r="W102" s="171" t="s">
        <v>111</v>
      </c>
      <c r="X102" s="176">
        <f t="shared" si="37"/>
        <v>1</v>
      </c>
      <c r="Y102" s="171" t="s">
        <v>83</v>
      </c>
      <c r="Z102" s="176">
        <f t="shared" si="38"/>
        <v>6</v>
      </c>
      <c r="AA102" s="171" t="s">
        <v>84</v>
      </c>
      <c r="AB102" s="176">
        <f t="shared" si="39"/>
        <v>3</v>
      </c>
      <c r="AC102" s="171" t="s">
        <v>85</v>
      </c>
      <c r="AD102" s="176">
        <f t="shared" si="40"/>
        <v>4</v>
      </c>
      <c r="AE102" s="171" t="s">
        <v>86</v>
      </c>
      <c r="AF102" s="176" cm="1">
        <f t="array" ref="AF102">IF(OR(AE102="/",AE102=""),"/",IF(ISNUMBER(SEARCH("普通",AE102)),0,IF(ISNUMBER(SEARCH("专用",AE102)),4,IF(ISNUMBER(SEARCH("定制",AE102)),7,IF(ISNUMBER(SEARCH("多个定制",AE102)),9,””)))))</f>
        <v>4</v>
      </c>
      <c r="AG102" s="176">
        <f t="shared" si="41"/>
        <v>18</v>
      </c>
      <c r="AH102" s="176" t="str">
        <f t="shared" si="42"/>
        <v>中Medium</v>
      </c>
      <c r="AI102" s="176" t="s">
        <v>87</v>
      </c>
      <c r="AJ102" s="176" t="str">
        <f t="shared" si="16"/>
        <v>降低
Reucing</v>
      </c>
      <c r="AK102" s="171" t="s">
        <v>531</v>
      </c>
      <c r="AL102" s="177" t="s">
        <v>532</v>
      </c>
      <c r="AM102" s="180" t="s">
        <v>134</v>
      </c>
      <c r="AN102" s="178" t="s">
        <v>135</v>
      </c>
      <c r="AO102" s="178" t="s">
        <v>136</v>
      </c>
    </row>
    <row r="103" s="116" customFormat="1" ht="20" customHeight="1" spans="1:1024 1025:16383">
      <c r="A103" s="171">
        <v>97</v>
      </c>
      <c r="B103" s="179"/>
      <c r="C103" s="179"/>
      <c r="D103" s="179"/>
      <c r="E103" s="171"/>
      <c r="F103" s="171"/>
      <c r="G103" s="171" t="s">
        <v>73</v>
      </c>
      <c r="H103" s="171"/>
      <c r="I103" s="171"/>
      <c r="J103" s="171"/>
      <c r="K103" s="173" t="s">
        <v>533</v>
      </c>
      <c r="L103" s="173" t="s">
        <v>614</v>
      </c>
      <c r="M103" s="173" t="s">
        <v>150</v>
      </c>
      <c r="N103" s="174" t="s">
        <v>96</v>
      </c>
      <c r="O103" s="174" t="s">
        <v>96</v>
      </c>
      <c r="P103" s="174" t="s">
        <v>96</v>
      </c>
      <c r="Q103" s="174" t="s">
        <v>77</v>
      </c>
      <c r="R103" s="174" t="str">
        <f t="shared" si="36"/>
        <v>中等Medium</v>
      </c>
      <c r="S103" s="175" t="s">
        <v>96</v>
      </c>
      <c r="T103" s="175" t="s">
        <v>535</v>
      </c>
      <c r="U103" s="175" t="s">
        <v>152</v>
      </c>
      <c r="V103" s="171" t="s">
        <v>607</v>
      </c>
      <c r="W103" s="171" t="s">
        <v>82</v>
      </c>
      <c r="X103" s="176">
        <f t="shared" si="37"/>
        <v>0</v>
      </c>
      <c r="Y103" s="171" t="s">
        <v>83</v>
      </c>
      <c r="Z103" s="176">
        <f t="shared" si="38"/>
        <v>6</v>
      </c>
      <c r="AA103" s="171" t="s">
        <v>153</v>
      </c>
      <c r="AB103" s="176">
        <f t="shared" si="39"/>
        <v>0</v>
      </c>
      <c r="AC103" s="171" t="s">
        <v>85</v>
      </c>
      <c r="AD103" s="176">
        <f t="shared" si="40"/>
        <v>4</v>
      </c>
      <c r="AE103" s="171" t="s">
        <v>143</v>
      </c>
      <c r="AF103" s="176" cm="1">
        <f t="array" ref="AF103">IF(OR(AE103="/",AE103=""),"/",IF(ISNUMBER(SEARCH("普通",AE103)),0,IF(ISNUMBER(SEARCH("专用",AE103)),4,IF(ISNUMBER(SEARCH("定制",AE103)),7,IF(ISNUMBER(SEARCH("多个定制",AE103)),9,””)))))</f>
        <v>7</v>
      </c>
      <c r="AG103" s="176">
        <f t="shared" si="41"/>
        <v>17</v>
      </c>
      <c r="AH103" s="176" t="str">
        <f t="shared" si="42"/>
        <v>中Medium</v>
      </c>
      <c r="AI103" s="176" t="s">
        <v>144</v>
      </c>
      <c r="AJ103" s="176" t="str">
        <f t="shared" si="16"/>
        <v>保留
Retaining</v>
      </c>
      <c r="AK103" s="171" t="s">
        <v>145</v>
      </c>
      <c r="AL103" s="177" t="s">
        <v>145</v>
      </c>
      <c r="AM103" s="171" t="s">
        <v>145</v>
      </c>
      <c r="AN103" s="178" t="s">
        <v>280</v>
      </c>
      <c r="AO103" s="178" t="s">
        <v>281</v>
      </c>
    </row>
    <row r="104" s="116" customFormat="1" ht="20" customHeight="1" spans="1:1024 1025:16383">
      <c r="A104" s="171">
        <v>98</v>
      </c>
      <c r="B104" s="179"/>
      <c r="C104" s="179"/>
      <c r="D104" s="179"/>
      <c r="E104" s="171"/>
      <c r="F104" s="171"/>
      <c r="G104" s="171"/>
      <c r="H104" s="171" t="s">
        <v>73</v>
      </c>
      <c r="I104" s="171"/>
      <c r="J104" s="171"/>
      <c r="K104" s="173" t="s">
        <v>536</v>
      </c>
      <c r="L104" s="173" t="s">
        <v>615</v>
      </c>
      <c r="M104" s="173" t="s">
        <v>166</v>
      </c>
      <c r="N104" s="174" t="s">
        <v>96</v>
      </c>
      <c r="O104" s="174" t="s">
        <v>96</v>
      </c>
      <c r="P104" s="174" t="s">
        <v>96</v>
      </c>
      <c r="Q104" s="174" t="s">
        <v>77</v>
      </c>
      <c r="R104" s="174" t="str">
        <f t="shared" si="36"/>
        <v>中等Medium</v>
      </c>
      <c r="S104" s="171" t="s">
        <v>96</v>
      </c>
      <c r="T104" s="175" t="s">
        <v>538</v>
      </c>
      <c r="U104" s="175" t="s">
        <v>616</v>
      </c>
      <c r="V104" s="171" t="s">
        <v>607</v>
      </c>
      <c r="W104" s="171" t="s">
        <v>82</v>
      </c>
      <c r="X104" s="176">
        <f t="shared" si="37"/>
        <v>0</v>
      </c>
      <c r="Y104" s="171" t="s">
        <v>83</v>
      </c>
      <c r="Z104" s="176">
        <f t="shared" si="38"/>
        <v>6</v>
      </c>
      <c r="AA104" s="171" t="s">
        <v>84</v>
      </c>
      <c r="AB104" s="176">
        <f t="shared" si="39"/>
        <v>3</v>
      </c>
      <c r="AC104" s="171" t="s">
        <v>85</v>
      </c>
      <c r="AD104" s="176">
        <f t="shared" si="40"/>
        <v>4</v>
      </c>
      <c r="AE104" s="171" t="s">
        <v>86</v>
      </c>
      <c r="AF104" s="176" cm="1">
        <f t="array" ref="AF104">IF(OR(AE104="/",AE104=""),"/",IF(ISNUMBER(SEARCH("普通",AE104)),0,IF(ISNUMBER(SEARCH("专用",AE104)),4,IF(ISNUMBER(SEARCH("定制",AE104)),7,IF(ISNUMBER(SEARCH("多个定制",AE104)),9,””)))))</f>
        <v>4</v>
      </c>
      <c r="AG104" s="176">
        <f t="shared" si="41"/>
        <v>17</v>
      </c>
      <c r="AH104" s="176" t="str">
        <f t="shared" si="42"/>
        <v>中Medium</v>
      </c>
      <c r="AI104" s="176" t="s">
        <v>144</v>
      </c>
      <c r="AJ104" s="176" t="str">
        <f t="shared" si="16"/>
        <v>保留
Retaining</v>
      </c>
      <c r="AK104" s="171" t="s">
        <v>145</v>
      </c>
      <c r="AL104" s="177" t="s">
        <v>145</v>
      </c>
      <c r="AM104" s="180" t="s">
        <v>316</v>
      </c>
      <c r="AN104" s="178" t="s">
        <v>317</v>
      </c>
      <c r="AO104" s="178" t="s">
        <v>318</v>
      </c>
    </row>
    <row r="105" s="116" customFormat="1" ht="20" customHeight="1" spans="1:1024 1025:16383">
      <c r="A105" s="171">
        <v>99</v>
      </c>
      <c r="B105" s="179"/>
      <c r="C105" s="179"/>
      <c r="D105" s="179"/>
      <c r="E105" s="171"/>
      <c r="F105" s="171"/>
      <c r="G105" s="171"/>
      <c r="H105" s="171"/>
      <c r="I105" s="171" t="s">
        <v>73</v>
      </c>
      <c r="J105" s="171"/>
      <c r="K105" s="173" t="s">
        <v>540</v>
      </c>
      <c r="L105" s="173" t="s">
        <v>617</v>
      </c>
      <c r="M105" s="173" t="s">
        <v>174</v>
      </c>
      <c r="N105" s="174" t="s">
        <v>96</v>
      </c>
      <c r="O105" s="174" t="s">
        <v>96</v>
      </c>
      <c r="P105" s="174" t="s">
        <v>96</v>
      </c>
      <c r="Q105" s="174" t="s">
        <v>77</v>
      </c>
      <c r="R105" s="174" t="str">
        <f t="shared" si="36"/>
        <v>中等Medium</v>
      </c>
      <c r="S105" s="175" t="s">
        <v>96</v>
      </c>
      <c r="T105" s="175" t="s">
        <v>542</v>
      </c>
      <c r="U105" s="175" t="s">
        <v>176</v>
      </c>
      <c r="V105" s="171" t="s">
        <v>607</v>
      </c>
      <c r="W105" s="171" t="s">
        <v>82</v>
      </c>
      <c r="X105" s="176">
        <f t="shared" si="37"/>
        <v>0</v>
      </c>
      <c r="Y105" s="171" t="s">
        <v>177</v>
      </c>
      <c r="Z105" s="176">
        <f t="shared" si="38"/>
        <v>3</v>
      </c>
      <c r="AA105" s="171" t="s">
        <v>153</v>
      </c>
      <c r="AB105" s="176">
        <f t="shared" si="39"/>
        <v>0</v>
      </c>
      <c r="AC105" s="171" t="s">
        <v>85</v>
      </c>
      <c r="AD105" s="176">
        <f t="shared" si="40"/>
        <v>4</v>
      </c>
      <c r="AE105" s="171" t="s">
        <v>86</v>
      </c>
      <c r="AF105" s="176" cm="1">
        <f t="array" ref="AF105">IF(OR(AE105="/",AE105=""),"/",IF(ISNUMBER(SEARCH("普通",AE105)),0,IF(ISNUMBER(SEARCH("专用",AE105)),4,IF(ISNUMBER(SEARCH("定制",AE105)),7,IF(ISNUMBER(SEARCH("多个定制",AE105)),9,””)))))</f>
        <v>4</v>
      </c>
      <c r="AG105" s="176">
        <f t="shared" si="41"/>
        <v>11</v>
      </c>
      <c r="AH105" s="176" t="str">
        <f t="shared" si="42"/>
        <v>高High</v>
      </c>
      <c r="AI105" s="176" t="s">
        <v>87</v>
      </c>
      <c r="AJ105" s="176" t="str">
        <f t="shared" si="16"/>
        <v>降低
Reucing</v>
      </c>
      <c r="AK105" s="171" t="s">
        <v>543</v>
      </c>
      <c r="AL105" s="177" t="s">
        <v>544</v>
      </c>
      <c r="AM105" s="180" t="s">
        <v>329</v>
      </c>
      <c r="AN105" s="178" t="s">
        <v>181</v>
      </c>
      <c r="AO105" s="178" t="s">
        <v>182</v>
      </c>
    </row>
    <row r="106" s="116" customFormat="1" ht="20" customHeight="1" spans="1:1024 1025:16383">
      <c r="A106" s="171">
        <v>100</v>
      </c>
      <c r="B106" s="181"/>
      <c r="C106" s="181"/>
      <c r="D106" s="181"/>
      <c r="E106" s="171"/>
      <c r="F106" s="171"/>
      <c r="G106" s="171"/>
      <c r="H106" s="171"/>
      <c r="I106" s="171"/>
      <c r="J106" s="171" t="s">
        <v>183</v>
      </c>
      <c r="K106" s="173" t="s">
        <v>145</v>
      </c>
      <c r="L106" s="173" t="s">
        <v>145</v>
      </c>
      <c r="M106" s="173" t="s">
        <v>145</v>
      </c>
      <c r="N106" s="174" t="s">
        <v>145</v>
      </c>
      <c r="O106" s="174" t="s">
        <v>145</v>
      </c>
      <c r="P106" s="174" t="s">
        <v>145</v>
      </c>
      <c r="Q106" s="174" t="s">
        <v>145</v>
      </c>
      <c r="R106" s="174" t="s">
        <v>145</v>
      </c>
      <c r="S106" s="175" t="s">
        <v>145</v>
      </c>
      <c r="T106" s="175" t="s">
        <v>145</v>
      </c>
      <c r="U106" s="175" t="s">
        <v>145</v>
      </c>
      <c r="V106" s="171" t="s">
        <v>145</v>
      </c>
      <c r="W106" s="171" t="s">
        <v>145</v>
      </c>
      <c r="X106" s="176" t="s">
        <v>145</v>
      </c>
      <c r="Y106" s="171" t="s">
        <v>145</v>
      </c>
      <c r="Z106" s="176" t="s">
        <v>145</v>
      </c>
      <c r="AA106" s="171" t="s">
        <v>145</v>
      </c>
      <c r="AB106" s="176" t="s">
        <v>145</v>
      </c>
      <c r="AC106" s="171" t="s">
        <v>145</v>
      </c>
      <c r="AD106" s="176" t="s">
        <v>145</v>
      </c>
      <c r="AE106" s="171" t="s">
        <v>145</v>
      </c>
      <c r="AF106" s="176" t="str" cm="1">
        <f t="array" ref="AF106">IF(OR(AE106="/",AE106=""),"/",IF(ISNUMBER(SEARCH("普通",AE106)),0,IF(ISNUMBER(SEARCH("专用",AE106)),4,IF(ISNUMBER(SEARCH("定制",AE106)),7,IF(ISNUMBER(SEARCH("多个定制",AE106)),9,””)))))</f>
        <v>/</v>
      </c>
      <c r="AG106" s="176" t="s">
        <v>145</v>
      </c>
      <c r="AH106" s="176" t="s">
        <v>145</v>
      </c>
      <c r="AI106" s="176" t="s">
        <v>145</v>
      </c>
      <c r="AJ106" s="176" t="str">
        <f t="shared" si="16"/>
        <v>/</v>
      </c>
      <c r="AK106" s="171" t="s">
        <v>145</v>
      </c>
      <c r="AL106" s="177" t="s">
        <v>145</v>
      </c>
      <c r="AM106" s="177" t="s">
        <v>145</v>
      </c>
      <c r="AN106" s="177" t="s">
        <v>145</v>
      </c>
      <c r="AO106" s="177" t="s">
        <v>145</v>
      </c>
    </row>
    <row r="107" s="116" customFormat="1" ht="20" customHeight="1" spans="1:1024 1025:16383">
      <c r="A107" s="171">
        <v>101</v>
      </c>
      <c r="B107" s="172" t="s">
        <v>618</v>
      </c>
      <c r="C107" s="171" t="s">
        <v>71</v>
      </c>
      <c r="D107" s="173" t="s">
        <v>619</v>
      </c>
      <c r="E107" s="171" t="s">
        <v>73</v>
      </c>
      <c r="F107" s="171"/>
      <c r="G107" s="171"/>
      <c r="H107" s="171"/>
      <c r="I107" s="171"/>
      <c r="J107" s="171"/>
      <c r="K107" s="173" t="s">
        <v>509</v>
      </c>
      <c r="L107" s="173" t="s">
        <v>620</v>
      </c>
      <c r="M107" s="173" t="s">
        <v>621</v>
      </c>
      <c r="N107" s="174" t="s">
        <v>96</v>
      </c>
      <c r="O107" s="174" t="s">
        <v>77</v>
      </c>
      <c r="P107" s="174" t="s">
        <v>78</v>
      </c>
      <c r="Q107" s="174" t="s">
        <v>96</v>
      </c>
      <c r="R107" s="174" t="str">
        <f t="shared" ref="R107:R113" si="43">IF(OR(N107="严重Severe",O107="严重Severe",P107="严重Severe",Q107="严重Severe"),"严重Severe",IF(OR(N107="主要Major",O107="主要Major",P107="主要Major",Q107="主要Major"),"主要Major",IF(OR(N107="中等Medium",O107="中等Medium",P107="中等Medium",Q107="中等Medium"),"中等Medium",IF(OR(N107="可忽略不计Negligible",O107="可忽略不计Negligible",P107="可忽略不计Negligible",Q107="可忽略不计Negligible"),"可忽略不计Negligible","/"))))</f>
        <v>主要Major</v>
      </c>
      <c r="S107" s="175" t="s">
        <v>78</v>
      </c>
      <c r="T107" s="175" t="s">
        <v>511</v>
      </c>
      <c r="U107" s="175" t="s">
        <v>622</v>
      </c>
      <c r="V107" s="171" t="s">
        <v>623</v>
      </c>
      <c r="W107" s="171" t="s">
        <v>82</v>
      </c>
      <c r="X107" s="176">
        <f t="shared" ref="X107:X113" si="44">IF(OR(W107="/",W107=""),"/",IF(ISNUMBER(SEARCH("1天",W107)),0,IF(ISNUMBER(SEARCH("一周",W107)),1,IF(ISNUMBER(SEARCH("1个月",W107)),4,IF(ISNUMBER(SEARCH("超过",W107)),19,IF(ISNUMBER(SEARCH("6个月",W107)),17,""))))))</f>
        <v>0</v>
      </c>
      <c r="Y107" s="171" t="s">
        <v>83</v>
      </c>
      <c r="Z107" s="176">
        <f t="shared" ref="Z107:Z113" si="45">IF(OR(Y107="/",Y107=""),"/",IF(ISNUMBER(SEARCH("新手",Y107)),0,IF(ISNUMBER(SEARCH("熟练",Y107)),3,IF(ISNUMBER(SEARCH("多位",Y107)),17,IF(ISNUMBER(SEARCH("专家",Y107)),6,"")))))</f>
        <v>6</v>
      </c>
      <c r="AA107" s="171" t="s">
        <v>84</v>
      </c>
      <c r="AB107" s="176">
        <f t="shared" ref="AB107:AB113" si="46">IF(OR(AA107="/",AA107=""),"/",IF(ISNUMBER(SEARCH("公开",AA107)),0,IF(ISNUMBER(SEARCH("限制性信息",AA107)),3,IF(ISNUMBER(SEARCH("机密信息",AA107)),7,IF(ISNUMBER(SEARCH("严格保密",AA107)),11,"")))))</f>
        <v>3</v>
      </c>
      <c r="AC107" s="171" t="s">
        <v>558</v>
      </c>
      <c r="AD107" s="176">
        <f t="shared" ref="AD107:AD113" si="47">IF(OR(AC107="/",AC107=""),"/",IF(ISNUMBER(SEARCH("无限制",AC107)),0,IF(ISNUMBER(SEARCH("容易",AC107)),1,IF(ISNUMBER(SEARCH("一般",AC107)),4,IF(ISNUMBER(SEARCH("困难",AC107)),10,"")))))</f>
        <v>10</v>
      </c>
      <c r="AE107" s="171" t="s">
        <v>210</v>
      </c>
      <c r="AF107" s="176" cm="1">
        <f t="array" ref="AF107">IF(OR(AE107="/",AE107=""),"/",IF(ISNUMBER(SEARCH("普通",AE107)),0,IF(ISNUMBER(SEARCH("专用",AE107)),4,IF(ISNUMBER(SEARCH("定制",AE107)),7,IF(ISNUMBER(SEARCH("多个定制",AE107)),9,””)))))</f>
        <v>0</v>
      </c>
      <c r="AG107" s="176">
        <f t="shared" ref="AG107:AG113" si="48">IF(OR(X107="/",Z107="/",AB107="/",AD107="/",AF107="/"),"/",X107+Z107+AB107+AD107+AF107)</f>
        <v>19</v>
      </c>
      <c r="AH107" s="176" t="str">
        <f t="shared" ref="AH107:AH111" si="49">IF(AND(AG107&gt;=0,AG107&lt;14),"高High",IF(AND(AG107&gt;=14,AG107&lt;20),"中Medium",IF(AND(AG107&gt;=20,AG107&lt;25),"低Low",IF(AND(AG107&gt;=25,AG107&lt;57),"非常低Very low",""))))</f>
        <v>中Medium</v>
      </c>
      <c r="AI107" s="176" t="s">
        <v>87</v>
      </c>
      <c r="AJ107" s="176" t="str">
        <f t="shared" si="16"/>
        <v>降低
Reucing</v>
      </c>
      <c r="AK107" s="171" t="s">
        <v>513</v>
      </c>
      <c r="AL107" s="177" t="s">
        <v>624</v>
      </c>
      <c r="AM107" s="180" t="s">
        <v>213</v>
      </c>
      <c r="AN107" s="178" t="s">
        <v>347</v>
      </c>
      <c r="AO107" s="178" t="s">
        <v>625</v>
      </c>
    </row>
    <row r="108" s="117" customFormat="1" ht="20" customHeight="1" spans="1:1024 1025:16383">
      <c r="A108" s="182">
        <v>102</v>
      </c>
      <c r="B108" s="183"/>
      <c r="C108" s="183"/>
      <c r="D108" s="183"/>
      <c r="E108" s="182" t="s">
        <v>73</v>
      </c>
      <c r="F108" s="182"/>
      <c r="G108" s="182"/>
      <c r="H108" s="182"/>
      <c r="I108" s="182"/>
      <c r="J108" s="182"/>
      <c r="K108" s="184" t="s">
        <v>515</v>
      </c>
      <c r="L108" s="184" t="s">
        <v>626</v>
      </c>
      <c r="M108" s="184" t="s">
        <v>106</v>
      </c>
      <c r="N108" s="185" t="s">
        <v>77</v>
      </c>
      <c r="O108" s="185" t="s">
        <v>77</v>
      </c>
      <c r="P108" s="185" t="s">
        <v>96</v>
      </c>
      <c r="Q108" s="185" t="s">
        <v>78</v>
      </c>
      <c r="R108" s="185" t="str">
        <f t="shared" si="43"/>
        <v>主要Major</v>
      </c>
      <c r="S108" s="186" t="s">
        <v>107</v>
      </c>
      <c r="T108" s="186" t="s">
        <v>517</v>
      </c>
      <c r="U108" s="186" t="s">
        <v>109</v>
      </c>
      <c r="V108" s="182" t="s">
        <v>627</v>
      </c>
      <c r="W108" s="182" t="s">
        <v>111</v>
      </c>
      <c r="X108" s="187">
        <f t="shared" si="44"/>
        <v>1</v>
      </c>
      <c r="Y108" s="182" t="s">
        <v>83</v>
      </c>
      <c r="Z108" s="187">
        <f t="shared" si="45"/>
        <v>6</v>
      </c>
      <c r="AA108" s="182" t="s">
        <v>84</v>
      </c>
      <c r="AB108" s="187">
        <f t="shared" si="46"/>
        <v>3</v>
      </c>
      <c r="AC108" s="182" t="s">
        <v>85</v>
      </c>
      <c r="AD108" s="187">
        <f t="shared" si="47"/>
        <v>4</v>
      </c>
      <c r="AE108" s="182" t="s">
        <v>143</v>
      </c>
      <c r="AF108" s="176" cm="1">
        <f t="array" ref="AF108">IF(OR(AE108="/",AE108=""),"/",IF(ISNUMBER(SEARCH("普通",AE108)),0,IF(ISNUMBER(SEARCH("专用",AE108)),4,IF(ISNUMBER(SEARCH("定制",AE108)),7,IF(ISNUMBER(SEARCH("多个定制",AE108)),9,””)))))</f>
        <v>7</v>
      </c>
      <c r="AG108" s="187">
        <f t="shared" si="48"/>
        <v>21</v>
      </c>
      <c r="AH108" s="187" t="str">
        <f t="shared" si="49"/>
        <v>低Low</v>
      </c>
      <c r="AI108" s="176" t="s">
        <v>87</v>
      </c>
      <c r="AJ108" s="187" t="str">
        <f t="shared" si="16"/>
        <v>降低
Reucing</v>
      </c>
      <c r="AK108" s="182" t="s">
        <v>519</v>
      </c>
      <c r="AL108" s="188" t="s">
        <v>628</v>
      </c>
      <c r="AM108" s="189" t="s">
        <v>115</v>
      </c>
      <c r="AN108" s="190" t="s">
        <v>116</v>
      </c>
      <c r="AO108" s="190" t="s">
        <v>117</v>
      </c>
      <c r="AP108" s="116"/>
      <c r="AQ108" s="116"/>
      <c r="AR108" s="116"/>
      <c r="AS108" s="116"/>
      <c r="AT108" s="116"/>
      <c r="AU108" s="116"/>
      <c r="AV108" s="116"/>
      <c r="AW108" s="116"/>
      <c r="AX108" s="116"/>
      <c r="AY108" s="116"/>
      <c r="AZ108" s="116"/>
      <c r="BA108" s="116"/>
      <c r="BB108" s="116"/>
      <c r="BC108" s="116"/>
      <c r="BD108" s="116"/>
      <c r="BE108" s="116"/>
      <c r="BF108" s="116"/>
      <c r="BG108" s="116"/>
      <c r="BH108" s="116"/>
      <c r="BI108" s="116"/>
      <c r="BJ108" s="116"/>
      <c r="BK108" s="116"/>
      <c r="BL108" s="116"/>
      <c r="BM108" s="116"/>
      <c r="BN108" s="116"/>
      <c r="BO108" s="116"/>
      <c r="BP108" s="116"/>
      <c r="BQ108" s="116"/>
      <c r="BR108" s="116"/>
      <c r="BS108" s="116"/>
      <c r="BT108" s="116"/>
      <c r="BU108" s="116"/>
      <c r="BV108" s="116"/>
      <c r="BW108" s="116"/>
      <c r="BX108" s="116"/>
      <c r="BY108" s="116"/>
      <c r="BZ108" s="116"/>
      <c r="CA108" s="116"/>
      <c r="CB108" s="116"/>
      <c r="CC108" s="116"/>
      <c r="CD108" s="116"/>
      <c r="CE108" s="116"/>
      <c r="CF108" s="116"/>
      <c r="CG108" s="116"/>
      <c r="CH108" s="116"/>
      <c r="CI108" s="116"/>
      <c r="CJ108" s="116"/>
      <c r="CK108" s="116"/>
      <c r="CL108" s="116"/>
      <c r="CM108" s="116"/>
      <c r="CN108" s="116"/>
      <c r="CO108" s="116"/>
      <c r="CP108" s="116"/>
      <c r="CQ108" s="116"/>
      <c r="CR108" s="116"/>
      <c r="CS108" s="116"/>
      <c r="CT108" s="116"/>
      <c r="CU108" s="116"/>
      <c r="CV108" s="116"/>
      <c r="CW108" s="116"/>
      <c r="CX108" s="116"/>
      <c r="CY108" s="116"/>
      <c r="CZ108" s="116"/>
      <c r="DA108" s="116"/>
      <c r="DB108" s="116"/>
      <c r="DC108" s="116"/>
      <c r="DD108" s="116"/>
      <c r="DE108" s="116"/>
      <c r="DF108" s="116"/>
      <c r="DG108" s="116"/>
      <c r="DH108" s="116"/>
      <c r="DI108" s="116"/>
      <c r="DJ108" s="116"/>
      <c r="DK108" s="116"/>
      <c r="DL108" s="116"/>
      <c r="DM108" s="116"/>
      <c r="DN108" s="116"/>
      <c r="DO108" s="116"/>
      <c r="DP108" s="116"/>
      <c r="DQ108" s="116"/>
      <c r="DR108" s="116"/>
      <c r="DS108" s="116"/>
      <c r="DT108" s="116"/>
      <c r="DU108" s="116"/>
      <c r="DV108" s="116"/>
      <c r="DW108" s="116"/>
      <c r="DX108" s="116"/>
      <c r="DY108" s="116"/>
      <c r="DZ108" s="116"/>
      <c r="EA108" s="116"/>
      <c r="EB108" s="116"/>
      <c r="EC108" s="116"/>
      <c r="ED108" s="116"/>
      <c r="EE108" s="116"/>
      <c r="EF108" s="116"/>
      <c r="EG108" s="116"/>
      <c r="EH108" s="116"/>
      <c r="EI108" s="116"/>
      <c r="EJ108" s="116"/>
      <c r="EK108" s="116"/>
      <c r="EL108" s="116"/>
      <c r="EM108" s="116"/>
      <c r="EN108" s="116"/>
      <c r="EO108" s="116"/>
      <c r="EP108" s="116"/>
      <c r="EQ108" s="116"/>
      <c r="ER108" s="116"/>
      <c r="ES108" s="116"/>
      <c r="ET108" s="116"/>
      <c r="EU108" s="116"/>
      <c r="EV108" s="116"/>
      <c r="EW108" s="116"/>
      <c r="EX108" s="116"/>
      <c r="EY108" s="116"/>
      <c r="EZ108" s="116"/>
      <c r="FA108" s="116"/>
      <c r="FB108" s="116"/>
      <c r="FC108" s="116"/>
      <c r="FD108" s="116"/>
      <c r="FE108" s="116"/>
      <c r="FF108" s="116"/>
      <c r="FG108" s="116"/>
      <c r="FH108" s="116"/>
      <c r="FI108" s="116"/>
      <c r="FJ108" s="116"/>
      <c r="FK108" s="116"/>
      <c r="FL108" s="116"/>
      <c r="FM108" s="116"/>
      <c r="FN108" s="116"/>
      <c r="FO108" s="116"/>
      <c r="FP108" s="116"/>
      <c r="FQ108" s="116"/>
      <c r="FR108" s="116"/>
      <c r="FS108" s="116"/>
      <c r="FT108" s="116"/>
      <c r="FU108" s="116"/>
      <c r="FV108" s="116"/>
      <c r="FW108" s="116"/>
      <c r="FX108" s="116"/>
      <c r="FY108" s="116"/>
      <c r="FZ108" s="116"/>
      <c r="GA108" s="116"/>
      <c r="GB108" s="116"/>
      <c r="GC108" s="116"/>
      <c r="GD108" s="116"/>
      <c r="GE108" s="116"/>
      <c r="GF108" s="116"/>
      <c r="GG108" s="116"/>
      <c r="GH108" s="116"/>
      <c r="GI108" s="116"/>
      <c r="GJ108" s="116"/>
      <c r="GK108" s="116"/>
      <c r="GL108" s="116"/>
      <c r="GM108" s="116"/>
      <c r="GN108" s="116"/>
      <c r="GO108" s="116"/>
      <c r="GP108" s="116"/>
      <c r="GQ108" s="116"/>
      <c r="GR108" s="116"/>
      <c r="GS108" s="116"/>
      <c r="GT108" s="116"/>
      <c r="GU108" s="116"/>
      <c r="GV108" s="116"/>
      <c r="GW108" s="116"/>
      <c r="GX108" s="116"/>
      <c r="GY108" s="116"/>
      <c r="GZ108" s="116"/>
      <c r="HA108" s="116"/>
      <c r="HB108" s="116"/>
      <c r="HC108" s="116"/>
      <c r="HD108" s="116"/>
      <c r="HE108" s="116"/>
      <c r="HF108" s="116"/>
      <c r="HG108" s="116"/>
      <c r="HH108" s="116"/>
      <c r="HI108" s="116"/>
      <c r="HJ108" s="116"/>
      <c r="HK108" s="116"/>
      <c r="HL108" s="116"/>
      <c r="HM108" s="116"/>
      <c r="HN108" s="116"/>
      <c r="HO108" s="116"/>
      <c r="HP108" s="116"/>
      <c r="HQ108" s="116"/>
      <c r="HR108" s="116"/>
      <c r="HS108" s="116"/>
      <c r="HT108" s="116"/>
      <c r="HU108" s="116"/>
      <c r="HV108" s="116"/>
      <c r="HW108" s="116"/>
      <c r="HX108" s="116"/>
      <c r="HY108" s="116"/>
      <c r="HZ108" s="116"/>
      <c r="IA108" s="116"/>
      <c r="IB108" s="116"/>
      <c r="IC108" s="116"/>
      <c r="ID108" s="116"/>
      <c r="IE108" s="116"/>
      <c r="IF108" s="116"/>
      <c r="IG108" s="116"/>
      <c r="IH108" s="116"/>
      <c r="II108" s="116"/>
      <c r="IJ108" s="116"/>
      <c r="IK108" s="116"/>
      <c r="IL108" s="116"/>
      <c r="IM108" s="116"/>
      <c r="IN108" s="116"/>
      <c r="IO108" s="116"/>
      <c r="IP108" s="116"/>
      <c r="IQ108" s="116"/>
      <c r="IR108" s="116"/>
      <c r="IS108" s="116"/>
      <c r="IT108" s="116"/>
      <c r="IU108" s="116"/>
      <c r="IV108" s="116"/>
      <c r="IW108" s="116"/>
      <c r="IX108" s="116"/>
      <c r="IY108" s="116"/>
      <c r="IZ108" s="116"/>
      <c r="JA108" s="116"/>
      <c r="JB108" s="116"/>
      <c r="JC108" s="116"/>
      <c r="JD108" s="116"/>
      <c r="JE108" s="116"/>
      <c r="JF108" s="116"/>
      <c r="JG108" s="116"/>
      <c r="JH108" s="116"/>
      <c r="JI108" s="116"/>
      <c r="JJ108" s="116"/>
      <c r="JK108" s="116"/>
      <c r="JL108" s="116"/>
      <c r="JM108" s="116"/>
      <c r="JN108" s="116"/>
      <c r="JO108" s="116"/>
      <c r="JP108" s="116"/>
      <c r="JQ108" s="116"/>
      <c r="JR108" s="116"/>
      <c r="JS108" s="116"/>
      <c r="JT108" s="116"/>
      <c r="JU108" s="116"/>
      <c r="JV108" s="116"/>
      <c r="JW108" s="116"/>
      <c r="JX108" s="116"/>
      <c r="JY108" s="116"/>
      <c r="JZ108" s="116"/>
      <c r="KA108" s="116"/>
      <c r="KB108" s="116"/>
      <c r="KC108" s="116"/>
      <c r="KD108" s="116"/>
      <c r="KE108" s="116"/>
      <c r="KF108" s="116"/>
      <c r="KG108" s="116"/>
      <c r="KH108" s="116"/>
      <c r="KI108" s="116"/>
      <c r="KJ108" s="116"/>
      <c r="KK108" s="116"/>
      <c r="KL108" s="116"/>
      <c r="KM108" s="116"/>
      <c r="KN108" s="116"/>
      <c r="KO108" s="116"/>
      <c r="KP108" s="116"/>
      <c r="KQ108" s="116"/>
      <c r="KR108" s="116"/>
      <c r="KS108" s="116"/>
      <c r="KT108" s="116"/>
      <c r="KU108" s="116"/>
      <c r="KV108" s="116"/>
      <c r="KW108" s="116"/>
      <c r="KX108" s="116"/>
      <c r="KY108" s="116"/>
      <c r="KZ108" s="116"/>
      <c r="LA108" s="116"/>
      <c r="LB108" s="116"/>
      <c r="LC108" s="116"/>
      <c r="LD108" s="116"/>
      <c r="LE108" s="116"/>
      <c r="LF108" s="116"/>
      <c r="LG108" s="116"/>
      <c r="LH108" s="116"/>
      <c r="LI108" s="116"/>
      <c r="LJ108" s="116"/>
      <c r="LK108" s="116"/>
      <c r="LL108" s="116"/>
      <c r="LM108" s="116"/>
      <c r="LN108" s="116"/>
      <c r="LO108" s="116"/>
      <c r="LP108" s="116"/>
      <c r="LQ108" s="116"/>
      <c r="LR108" s="116"/>
      <c r="LS108" s="116"/>
      <c r="LT108" s="116"/>
      <c r="LU108" s="116"/>
      <c r="LV108" s="116"/>
      <c r="LW108" s="116"/>
      <c r="LX108" s="116"/>
      <c r="LY108" s="116"/>
      <c r="LZ108" s="116"/>
      <c r="MA108" s="116"/>
      <c r="MB108" s="116"/>
      <c r="MC108" s="116"/>
      <c r="MD108" s="116"/>
      <c r="ME108" s="116"/>
      <c r="MF108" s="116"/>
      <c r="MG108" s="116"/>
      <c r="MH108" s="116"/>
      <c r="MI108" s="116"/>
      <c r="MJ108" s="116"/>
      <c r="MK108" s="116"/>
      <c r="ML108" s="116"/>
      <c r="MM108" s="116"/>
      <c r="MN108" s="116"/>
      <c r="MO108" s="116"/>
      <c r="MP108" s="116"/>
      <c r="MQ108" s="116"/>
      <c r="MR108" s="116"/>
      <c r="MS108" s="116"/>
      <c r="MT108" s="116"/>
      <c r="MU108" s="116"/>
      <c r="MV108" s="116"/>
      <c r="MW108" s="116"/>
      <c r="MX108" s="116"/>
      <c r="MY108" s="116"/>
      <c r="MZ108" s="116"/>
      <c r="NA108" s="116"/>
      <c r="NB108" s="116"/>
      <c r="NC108" s="116"/>
      <c r="ND108" s="116"/>
      <c r="NE108" s="116"/>
      <c r="NF108" s="116"/>
      <c r="NG108" s="116"/>
      <c r="NH108" s="116"/>
      <c r="NI108" s="116"/>
      <c r="NJ108" s="116"/>
      <c r="NK108" s="116"/>
      <c r="NL108" s="116"/>
      <c r="NM108" s="116"/>
      <c r="NN108" s="116"/>
      <c r="NO108" s="116"/>
      <c r="NP108" s="116"/>
      <c r="NQ108" s="116"/>
      <c r="NR108" s="116"/>
      <c r="NS108" s="116"/>
      <c r="NT108" s="116"/>
      <c r="NU108" s="116"/>
      <c r="NV108" s="116"/>
      <c r="NW108" s="116"/>
      <c r="NX108" s="116"/>
      <c r="NY108" s="116"/>
      <c r="NZ108" s="116"/>
      <c r="OA108" s="116"/>
      <c r="OB108" s="116"/>
      <c r="OC108" s="116"/>
      <c r="OD108" s="116"/>
      <c r="OE108" s="116"/>
      <c r="OF108" s="116"/>
      <c r="OG108" s="116"/>
      <c r="OH108" s="116"/>
      <c r="OI108" s="116"/>
      <c r="OJ108" s="116"/>
      <c r="OK108" s="116"/>
      <c r="OL108" s="116"/>
      <c r="OM108" s="116"/>
      <c r="ON108" s="116"/>
      <c r="OO108" s="116"/>
      <c r="OP108" s="116"/>
      <c r="OQ108" s="116"/>
      <c r="OR108" s="116"/>
      <c r="OS108" s="116"/>
      <c r="OT108" s="116"/>
      <c r="OU108" s="116"/>
      <c r="OV108" s="116"/>
      <c r="OW108" s="116"/>
      <c r="OX108" s="116"/>
      <c r="OY108" s="116"/>
      <c r="OZ108" s="116"/>
      <c r="PA108" s="116"/>
      <c r="PB108" s="116"/>
      <c r="PC108" s="116"/>
      <c r="PD108" s="116"/>
      <c r="PE108" s="116"/>
      <c r="PF108" s="116"/>
      <c r="PG108" s="116"/>
      <c r="PH108" s="116"/>
      <c r="PI108" s="116"/>
      <c r="PJ108" s="116"/>
      <c r="PK108" s="116"/>
      <c r="PL108" s="116"/>
      <c r="PM108" s="116"/>
      <c r="PN108" s="116"/>
      <c r="PO108" s="116"/>
      <c r="PP108" s="116"/>
      <c r="PQ108" s="116"/>
      <c r="PR108" s="116"/>
      <c r="PS108" s="116"/>
      <c r="PT108" s="116"/>
      <c r="PU108" s="116"/>
      <c r="PV108" s="116"/>
      <c r="PW108" s="116"/>
      <c r="PX108" s="116"/>
      <c r="PY108" s="116"/>
      <c r="PZ108" s="116"/>
      <c r="QA108" s="116"/>
      <c r="QB108" s="116"/>
      <c r="QC108" s="116"/>
      <c r="QD108" s="116"/>
      <c r="QE108" s="116"/>
      <c r="QF108" s="116"/>
      <c r="QG108" s="116"/>
      <c r="QH108" s="116"/>
      <c r="QI108" s="116"/>
      <c r="QJ108" s="116"/>
      <c r="QK108" s="116"/>
      <c r="QL108" s="116"/>
      <c r="QM108" s="116"/>
      <c r="QN108" s="116"/>
      <c r="QO108" s="116"/>
      <c r="QP108" s="116"/>
      <c r="QQ108" s="116"/>
      <c r="QR108" s="116"/>
      <c r="QS108" s="116"/>
      <c r="QT108" s="116"/>
      <c r="QU108" s="116"/>
      <c r="QV108" s="116"/>
      <c r="QW108" s="116"/>
      <c r="QX108" s="116"/>
      <c r="QY108" s="116"/>
      <c r="QZ108" s="116"/>
      <c r="RA108" s="116"/>
      <c r="RB108" s="116"/>
      <c r="RC108" s="116"/>
      <c r="RD108" s="116"/>
      <c r="RE108" s="116"/>
      <c r="RF108" s="116"/>
      <c r="RG108" s="116"/>
      <c r="RH108" s="116"/>
      <c r="RI108" s="116"/>
      <c r="RJ108" s="116"/>
      <c r="RK108" s="116"/>
      <c r="RL108" s="116"/>
      <c r="RM108" s="116"/>
      <c r="RN108" s="116"/>
      <c r="RO108" s="116"/>
      <c r="RP108" s="116"/>
      <c r="RQ108" s="116"/>
      <c r="RR108" s="116"/>
      <c r="RS108" s="116"/>
      <c r="RT108" s="116"/>
      <c r="RU108" s="116"/>
      <c r="RV108" s="116"/>
      <c r="RW108" s="116"/>
      <c r="RX108" s="116"/>
      <c r="RY108" s="116"/>
      <c r="RZ108" s="116"/>
      <c r="SA108" s="116"/>
      <c r="SB108" s="116"/>
      <c r="SC108" s="116"/>
      <c r="SD108" s="116"/>
      <c r="SE108" s="116"/>
      <c r="SF108" s="116"/>
      <c r="SG108" s="116"/>
      <c r="SH108" s="116"/>
      <c r="SI108" s="116"/>
      <c r="SJ108" s="116"/>
      <c r="SK108" s="116"/>
      <c r="SL108" s="116"/>
      <c r="SM108" s="116"/>
      <c r="SN108" s="116"/>
      <c r="SO108" s="116"/>
      <c r="SP108" s="116"/>
      <c r="SQ108" s="116"/>
      <c r="SR108" s="116"/>
      <c r="SS108" s="116"/>
      <c r="ST108" s="116"/>
      <c r="SU108" s="116"/>
      <c r="SV108" s="116"/>
      <c r="SW108" s="116"/>
      <c r="SX108" s="116"/>
      <c r="SY108" s="116"/>
      <c r="SZ108" s="116"/>
      <c r="TA108" s="116"/>
      <c r="TB108" s="116"/>
      <c r="TC108" s="116"/>
      <c r="TD108" s="116"/>
      <c r="TE108" s="116"/>
      <c r="TF108" s="116"/>
      <c r="TG108" s="116"/>
      <c r="TH108" s="116"/>
      <c r="TI108" s="116"/>
      <c r="TJ108" s="116"/>
      <c r="TK108" s="116"/>
      <c r="TL108" s="116"/>
      <c r="TM108" s="116"/>
      <c r="TN108" s="116"/>
      <c r="TO108" s="116"/>
      <c r="TP108" s="116"/>
      <c r="TQ108" s="116"/>
      <c r="TR108" s="116"/>
      <c r="TS108" s="116"/>
      <c r="TT108" s="116"/>
      <c r="TU108" s="116"/>
      <c r="TV108" s="116"/>
      <c r="TW108" s="116"/>
      <c r="TX108" s="116"/>
      <c r="TY108" s="116"/>
      <c r="TZ108" s="116"/>
      <c r="UA108" s="116"/>
      <c r="UB108" s="116"/>
      <c r="UC108" s="116"/>
      <c r="UD108" s="116"/>
      <c r="UE108" s="116"/>
      <c r="UF108" s="116"/>
      <c r="UG108" s="116"/>
      <c r="UH108" s="116"/>
      <c r="UI108" s="116"/>
      <c r="UJ108" s="116"/>
      <c r="UK108" s="116"/>
      <c r="UL108" s="116"/>
      <c r="UM108" s="116"/>
      <c r="UN108" s="116"/>
      <c r="UO108" s="116"/>
      <c r="UP108" s="116"/>
      <c r="UQ108" s="116"/>
      <c r="UR108" s="116"/>
      <c r="US108" s="116"/>
      <c r="UT108" s="116"/>
      <c r="UU108" s="116"/>
      <c r="UV108" s="116"/>
      <c r="UW108" s="116"/>
      <c r="UX108" s="116"/>
      <c r="UY108" s="116"/>
      <c r="UZ108" s="116"/>
      <c r="VA108" s="116"/>
      <c r="VB108" s="116"/>
      <c r="VC108" s="116"/>
      <c r="VD108" s="116"/>
      <c r="VE108" s="116"/>
      <c r="VF108" s="116"/>
      <c r="VG108" s="116"/>
      <c r="VH108" s="116"/>
      <c r="VI108" s="116"/>
      <c r="VJ108" s="116"/>
      <c r="VK108" s="116"/>
      <c r="VL108" s="116"/>
      <c r="VM108" s="116"/>
      <c r="VN108" s="116"/>
      <c r="VO108" s="116"/>
      <c r="VP108" s="116"/>
      <c r="VQ108" s="116"/>
      <c r="VR108" s="116"/>
      <c r="VS108" s="116"/>
      <c r="VT108" s="116"/>
      <c r="VU108" s="116"/>
      <c r="VV108" s="116"/>
      <c r="VW108" s="116"/>
      <c r="VX108" s="116"/>
      <c r="VY108" s="116"/>
      <c r="VZ108" s="116"/>
      <c r="WA108" s="116"/>
      <c r="WB108" s="116"/>
      <c r="WC108" s="116"/>
      <c r="WD108" s="116"/>
      <c r="WE108" s="116"/>
      <c r="WF108" s="116"/>
      <c r="WG108" s="116"/>
      <c r="WH108" s="116"/>
      <c r="WI108" s="116"/>
      <c r="WJ108" s="116"/>
      <c r="WK108" s="116"/>
      <c r="WL108" s="116"/>
      <c r="WM108" s="116"/>
      <c r="WN108" s="116"/>
      <c r="WO108" s="116"/>
      <c r="WP108" s="116"/>
      <c r="WQ108" s="116"/>
      <c r="WR108" s="116"/>
      <c r="WS108" s="116"/>
      <c r="WT108" s="116"/>
      <c r="WU108" s="116"/>
      <c r="WV108" s="116"/>
      <c r="WW108" s="116"/>
      <c r="WX108" s="116"/>
      <c r="WY108" s="116"/>
      <c r="WZ108" s="116"/>
      <c r="XA108" s="116"/>
      <c r="XB108" s="116"/>
      <c r="XC108" s="116"/>
      <c r="XD108" s="116"/>
      <c r="XE108" s="116"/>
      <c r="XF108" s="116"/>
      <c r="XG108" s="116"/>
      <c r="XH108" s="116"/>
      <c r="XI108" s="116"/>
      <c r="XJ108" s="116"/>
      <c r="XK108" s="116"/>
      <c r="XL108" s="116"/>
      <c r="XM108" s="116"/>
      <c r="XN108" s="116"/>
      <c r="XO108" s="116"/>
      <c r="XP108" s="116"/>
      <c r="XQ108" s="116"/>
      <c r="XR108" s="116"/>
      <c r="XS108" s="116"/>
      <c r="XT108" s="116"/>
      <c r="XU108" s="116"/>
      <c r="XV108" s="116"/>
      <c r="XW108" s="116"/>
      <c r="XX108" s="116"/>
      <c r="XY108" s="116"/>
      <c r="XZ108" s="116"/>
      <c r="YA108" s="116"/>
      <c r="YB108" s="116"/>
      <c r="YC108" s="116"/>
      <c r="YD108" s="116"/>
      <c r="YE108" s="116"/>
      <c r="YF108" s="116"/>
      <c r="YG108" s="116"/>
      <c r="YH108" s="116"/>
      <c r="YI108" s="116"/>
      <c r="YJ108" s="116"/>
      <c r="YK108" s="116"/>
      <c r="YL108" s="116"/>
      <c r="YM108" s="116"/>
      <c r="YN108" s="116"/>
      <c r="YO108" s="116"/>
      <c r="YP108" s="116"/>
      <c r="YQ108" s="116"/>
      <c r="YR108" s="116"/>
      <c r="YS108" s="116"/>
      <c r="YT108" s="116"/>
      <c r="YU108" s="116"/>
      <c r="YV108" s="116"/>
      <c r="YW108" s="116"/>
      <c r="YX108" s="116"/>
      <c r="YY108" s="116"/>
      <c r="YZ108" s="116"/>
      <c r="ZA108" s="116"/>
      <c r="ZB108" s="116"/>
      <c r="ZC108" s="116"/>
      <c r="ZD108" s="116"/>
      <c r="ZE108" s="116"/>
      <c r="ZF108" s="116"/>
      <c r="ZG108" s="116"/>
      <c r="ZH108" s="116"/>
      <c r="ZI108" s="116"/>
      <c r="ZJ108" s="116"/>
      <c r="ZK108" s="116"/>
      <c r="ZL108" s="116"/>
      <c r="ZM108" s="116"/>
      <c r="ZN108" s="116"/>
      <c r="ZO108" s="116"/>
      <c r="ZP108" s="116"/>
      <c r="ZQ108" s="116"/>
      <c r="ZR108" s="116"/>
      <c r="ZS108" s="116"/>
      <c r="ZT108" s="116"/>
      <c r="ZU108" s="116"/>
      <c r="ZV108" s="116"/>
      <c r="ZW108" s="116"/>
      <c r="ZX108" s="116"/>
      <c r="ZY108" s="116"/>
      <c r="ZZ108" s="116"/>
      <c r="AAA108" s="116"/>
      <c r="AAB108" s="116"/>
      <c r="AAC108" s="116"/>
      <c r="AAD108" s="116"/>
      <c r="AAE108" s="116"/>
      <c r="AAF108" s="116"/>
      <c r="AAG108" s="116"/>
      <c r="AAH108" s="116"/>
      <c r="AAI108" s="116"/>
      <c r="AAJ108" s="116"/>
      <c r="AAK108" s="116"/>
      <c r="AAL108" s="116"/>
      <c r="AAM108" s="116"/>
      <c r="AAN108" s="116"/>
      <c r="AAO108" s="116"/>
      <c r="AAP108" s="116"/>
      <c r="AAQ108" s="116"/>
      <c r="AAR108" s="116"/>
      <c r="AAS108" s="116"/>
      <c r="AAT108" s="116"/>
      <c r="AAU108" s="116"/>
      <c r="AAV108" s="116"/>
      <c r="AAW108" s="116"/>
      <c r="AAX108" s="116"/>
      <c r="AAY108" s="116"/>
      <c r="AAZ108" s="116"/>
      <c r="ABA108" s="116"/>
      <c r="ABB108" s="116"/>
      <c r="ABC108" s="116"/>
      <c r="ABD108" s="116"/>
      <c r="ABE108" s="116"/>
      <c r="ABF108" s="116"/>
      <c r="ABG108" s="116"/>
      <c r="ABH108" s="116"/>
      <c r="ABI108" s="116"/>
      <c r="ABJ108" s="116"/>
      <c r="ABK108" s="116"/>
      <c r="ABL108" s="116"/>
      <c r="ABM108" s="116"/>
      <c r="ABN108" s="116"/>
      <c r="ABO108" s="116"/>
      <c r="ABP108" s="116"/>
      <c r="ABQ108" s="116"/>
      <c r="ABR108" s="116"/>
      <c r="ABS108" s="116"/>
      <c r="ABT108" s="116"/>
      <c r="ABU108" s="116"/>
      <c r="ABV108" s="116"/>
      <c r="ABW108" s="116"/>
      <c r="ABX108" s="116"/>
      <c r="ABY108" s="116"/>
      <c r="ABZ108" s="116"/>
      <c r="ACA108" s="116"/>
      <c r="ACB108" s="116"/>
      <c r="ACC108" s="116"/>
      <c r="ACD108" s="116"/>
      <c r="ACE108" s="116"/>
      <c r="ACF108" s="116"/>
      <c r="ACG108" s="116"/>
      <c r="ACH108" s="116"/>
      <c r="ACI108" s="116"/>
      <c r="ACJ108" s="116"/>
      <c r="ACK108" s="116"/>
      <c r="ACL108" s="116"/>
      <c r="ACM108" s="116"/>
      <c r="ACN108" s="116"/>
      <c r="ACO108" s="116"/>
      <c r="ACP108" s="116"/>
      <c r="ACQ108" s="116"/>
      <c r="ACR108" s="116"/>
      <c r="ACS108" s="116"/>
      <c r="ACT108" s="116"/>
      <c r="ACU108" s="116"/>
      <c r="ACV108" s="116"/>
      <c r="ACW108" s="116"/>
      <c r="ACX108" s="116"/>
      <c r="ACY108" s="116"/>
      <c r="ACZ108" s="116"/>
      <c r="ADA108" s="116"/>
      <c r="ADB108" s="116"/>
      <c r="ADC108" s="116"/>
      <c r="ADD108" s="116"/>
      <c r="ADE108" s="116"/>
      <c r="ADF108" s="116"/>
      <c r="ADG108" s="116"/>
      <c r="ADH108" s="116"/>
      <c r="ADI108" s="116"/>
      <c r="ADJ108" s="116"/>
      <c r="ADK108" s="116"/>
      <c r="ADL108" s="116"/>
      <c r="ADM108" s="116"/>
      <c r="ADN108" s="116"/>
      <c r="ADO108" s="116"/>
      <c r="ADP108" s="116"/>
      <c r="ADQ108" s="116"/>
      <c r="ADR108" s="116"/>
      <c r="ADS108" s="116"/>
      <c r="ADT108" s="116"/>
      <c r="ADU108" s="116"/>
      <c r="ADV108" s="116"/>
      <c r="ADW108" s="116"/>
      <c r="ADX108" s="116"/>
      <c r="ADY108" s="116"/>
      <c r="ADZ108" s="116"/>
      <c r="AEA108" s="116"/>
      <c r="AEB108" s="116"/>
      <c r="AEC108" s="116"/>
      <c r="AED108" s="116"/>
      <c r="AEE108" s="116"/>
      <c r="AEF108" s="116"/>
      <c r="AEG108" s="116"/>
      <c r="AEH108" s="116"/>
      <c r="AEI108" s="116"/>
      <c r="AEJ108" s="116"/>
      <c r="AEK108" s="116"/>
      <c r="AEL108" s="116"/>
      <c r="AEM108" s="116"/>
      <c r="AEN108" s="116"/>
      <c r="AEO108" s="116"/>
      <c r="AEP108" s="116"/>
      <c r="AEQ108" s="116"/>
      <c r="AER108" s="116"/>
      <c r="AES108" s="116"/>
      <c r="AET108" s="116"/>
      <c r="AEU108" s="116"/>
      <c r="AEV108" s="116"/>
      <c r="AEW108" s="116"/>
      <c r="AEX108" s="116"/>
      <c r="AEY108" s="116"/>
      <c r="AEZ108" s="116"/>
      <c r="AFA108" s="116"/>
      <c r="AFB108" s="116"/>
      <c r="AFC108" s="116"/>
      <c r="AFD108" s="116"/>
      <c r="AFE108" s="116"/>
      <c r="AFF108" s="116"/>
      <c r="AFG108" s="116"/>
      <c r="AFH108" s="116"/>
      <c r="AFI108" s="116"/>
      <c r="AFJ108" s="116"/>
      <c r="AFK108" s="116"/>
      <c r="AFL108" s="116"/>
      <c r="AFM108" s="116"/>
      <c r="AFN108" s="116"/>
      <c r="AFO108" s="116"/>
      <c r="AFP108" s="116"/>
      <c r="AFQ108" s="116"/>
      <c r="AFR108" s="116"/>
      <c r="AFS108" s="116"/>
      <c r="AFT108" s="116"/>
      <c r="AFU108" s="116"/>
      <c r="AFV108" s="116"/>
      <c r="AFW108" s="116"/>
      <c r="AFX108" s="116"/>
      <c r="AFY108" s="116"/>
      <c r="AFZ108" s="116"/>
      <c r="AGA108" s="116"/>
      <c r="AGB108" s="116"/>
      <c r="AGC108" s="116"/>
      <c r="AGD108" s="116"/>
      <c r="AGE108" s="116"/>
      <c r="AGF108" s="116"/>
      <c r="AGG108" s="116"/>
      <c r="AGH108" s="116"/>
      <c r="AGI108" s="116"/>
      <c r="AGJ108" s="116"/>
      <c r="AGK108" s="116"/>
      <c r="AGL108" s="116"/>
      <c r="AGM108" s="116"/>
      <c r="AGN108" s="116"/>
      <c r="AGO108" s="116"/>
      <c r="AGP108" s="116"/>
      <c r="AGQ108" s="116"/>
      <c r="AGR108" s="116"/>
      <c r="AGS108" s="116"/>
      <c r="AGT108" s="116"/>
      <c r="AGU108" s="116"/>
      <c r="AGV108" s="116"/>
      <c r="AGW108" s="116"/>
      <c r="AGX108" s="116"/>
      <c r="AGY108" s="116"/>
      <c r="AGZ108" s="116"/>
      <c r="AHA108" s="116"/>
      <c r="AHB108" s="116"/>
      <c r="AHC108" s="116"/>
      <c r="AHD108" s="116"/>
      <c r="AHE108" s="116"/>
      <c r="AHF108" s="116"/>
      <c r="AHG108" s="116"/>
      <c r="AHH108" s="116"/>
      <c r="AHI108" s="116"/>
      <c r="AHJ108" s="116"/>
      <c r="AHK108" s="116"/>
      <c r="AHL108" s="116"/>
      <c r="AHM108" s="116"/>
      <c r="AHN108" s="116"/>
      <c r="AHO108" s="116"/>
      <c r="AHP108" s="116"/>
      <c r="AHQ108" s="116"/>
      <c r="AHR108" s="116"/>
      <c r="AHS108" s="116"/>
      <c r="AHT108" s="116"/>
      <c r="AHU108" s="116"/>
      <c r="AHV108" s="116"/>
      <c r="AHW108" s="116"/>
      <c r="AHX108" s="116"/>
      <c r="AHY108" s="116"/>
      <c r="AHZ108" s="116"/>
      <c r="AIA108" s="116"/>
      <c r="AIB108" s="116"/>
      <c r="AIC108" s="116"/>
      <c r="AID108" s="116"/>
      <c r="AIE108" s="116"/>
      <c r="AIF108" s="116"/>
      <c r="AIG108" s="116"/>
      <c r="AIH108" s="116"/>
      <c r="AII108" s="116"/>
      <c r="AIJ108" s="116"/>
      <c r="AIK108" s="116"/>
      <c r="AIL108" s="116"/>
      <c r="AIM108" s="116"/>
      <c r="AIN108" s="116"/>
      <c r="AIO108" s="116"/>
      <c r="AIP108" s="116"/>
      <c r="AIQ108" s="116"/>
      <c r="AIR108" s="116"/>
      <c r="AIS108" s="116"/>
      <c r="AIT108" s="116"/>
      <c r="AIU108" s="116"/>
      <c r="AIV108" s="116"/>
      <c r="AIW108" s="116"/>
      <c r="AIX108" s="116"/>
      <c r="AIY108" s="116"/>
      <c r="AIZ108" s="116"/>
      <c r="AJA108" s="116"/>
      <c r="AJB108" s="116"/>
      <c r="AJC108" s="116"/>
      <c r="AJD108" s="116"/>
      <c r="AJE108" s="116"/>
      <c r="AJF108" s="116"/>
      <c r="AJG108" s="116"/>
      <c r="AJH108" s="116"/>
      <c r="AJI108" s="116"/>
      <c r="AJJ108" s="116"/>
      <c r="AJK108" s="116"/>
      <c r="AJL108" s="116"/>
      <c r="AJM108" s="116"/>
      <c r="AJN108" s="116"/>
      <c r="AJO108" s="116"/>
      <c r="AJP108" s="116"/>
      <c r="AJQ108" s="116"/>
      <c r="AJR108" s="116"/>
      <c r="AJS108" s="116"/>
      <c r="AJT108" s="116"/>
      <c r="AJU108" s="116"/>
      <c r="AJV108" s="116"/>
      <c r="AJW108" s="116"/>
      <c r="AJX108" s="116"/>
      <c r="AJY108" s="116"/>
      <c r="AJZ108" s="116"/>
      <c r="AKA108" s="116"/>
      <c r="AKB108" s="116"/>
      <c r="AKC108" s="116"/>
      <c r="AKD108" s="116"/>
      <c r="AKE108" s="116"/>
      <c r="AKF108" s="116"/>
      <c r="AKG108" s="116"/>
      <c r="AKH108" s="116"/>
      <c r="AKI108" s="116"/>
      <c r="AKJ108" s="116"/>
      <c r="AKK108" s="116"/>
      <c r="AKL108" s="116"/>
      <c r="AKM108" s="116"/>
      <c r="AKN108" s="116"/>
      <c r="AKO108" s="116"/>
      <c r="AKP108" s="116"/>
      <c r="AKQ108" s="116"/>
      <c r="AKR108" s="116"/>
      <c r="AKS108" s="116"/>
      <c r="AKT108" s="116"/>
      <c r="AKU108" s="116"/>
      <c r="AKV108" s="116"/>
      <c r="AKW108" s="116"/>
      <c r="AKX108" s="116"/>
      <c r="AKY108" s="116"/>
      <c r="AKZ108" s="116"/>
      <c r="ALA108" s="116"/>
      <c r="ALB108" s="116"/>
      <c r="ALC108" s="116"/>
      <c r="ALD108" s="116"/>
      <c r="ALE108" s="116"/>
      <c r="ALF108" s="116"/>
      <c r="ALG108" s="116"/>
      <c r="ALH108" s="116"/>
      <c r="ALI108" s="116"/>
      <c r="ALJ108" s="116"/>
      <c r="ALK108" s="116"/>
      <c r="ALL108" s="116"/>
      <c r="ALM108" s="116"/>
      <c r="ALN108" s="116"/>
      <c r="ALO108" s="116"/>
      <c r="ALP108" s="116"/>
      <c r="ALQ108" s="116"/>
      <c r="ALR108" s="116"/>
      <c r="ALS108" s="116"/>
      <c r="ALT108" s="116"/>
      <c r="ALU108" s="116"/>
      <c r="ALV108" s="116"/>
      <c r="ALW108" s="116"/>
      <c r="ALX108" s="116"/>
      <c r="ALY108" s="116"/>
      <c r="ALZ108" s="116"/>
      <c r="AMA108" s="116"/>
      <c r="AMB108" s="116"/>
      <c r="AMC108" s="116"/>
      <c r="AMD108" s="116"/>
      <c r="AME108" s="116"/>
      <c r="AMF108" s="116"/>
      <c r="AMG108" s="116"/>
      <c r="AMH108" s="116"/>
      <c r="AMI108" s="116"/>
      <c r="AMJ108" s="116"/>
      <c r="AMK108" s="116"/>
      <c r="AML108" s="116"/>
      <c r="AMM108" s="116"/>
      <c r="AMN108" s="116"/>
      <c r="AMO108" s="116"/>
      <c r="AMP108" s="116"/>
      <c r="AMQ108" s="116"/>
      <c r="AMR108" s="116"/>
      <c r="AMS108" s="116"/>
      <c r="AMT108" s="116"/>
      <c r="AMU108" s="116"/>
      <c r="AMV108" s="116"/>
      <c r="AMW108" s="116"/>
      <c r="AMX108" s="116"/>
      <c r="AMY108" s="116"/>
      <c r="AMZ108" s="116"/>
      <c r="ANA108" s="116"/>
      <c r="ANB108" s="116"/>
      <c r="ANC108" s="116"/>
      <c r="AND108" s="116"/>
      <c r="ANE108" s="116"/>
      <c r="ANF108" s="116"/>
      <c r="ANG108" s="116"/>
      <c r="ANH108" s="116"/>
      <c r="ANI108" s="116"/>
      <c r="ANJ108" s="116"/>
      <c r="ANK108" s="116"/>
      <c r="ANL108" s="116"/>
      <c r="ANM108" s="116"/>
      <c r="ANN108" s="116"/>
      <c r="ANO108" s="116"/>
      <c r="ANP108" s="116"/>
      <c r="ANQ108" s="116"/>
      <c r="ANR108" s="116"/>
      <c r="ANS108" s="116"/>
      <c r="ANT108" s="116"/>
      <c r="ANU108" s="116"/>
      <c r="ANV108" s="116"/>
      <c r="ANW108" s="116"/>
      <c r="ANX108" s="116"/>
      <c r="ANY108" s="116"/>
      <c r="ANZ108" s="116"/>
      <c r="AOA108" s="116"/>
      <c r="AOB108" s="116"/>
      <c r="AOC108" s="116"/>
      <c r="AOD108" s="116"/>
      <c r="AOE108" s="116"/>
      <c r="AOF108" s="116"/>
      <c r="AOG108" s="116"/>
      <c r="AOH108" s="116"/>
      <c r="AOI108" s="116"/>
      <c r="AOJ108" s="116"/>
      <c r="AOK108" s="116"/>
      <c r="AOL108" s="116"/>
      <c r="AOM108" s="116"/>
      <c r="AON108" s="116"/>
      <c r="AOO108" s="116"/>
      <c r="AOP108" s="116"/>
      <c r="AOQ108" s="116"/>
      <c r="AOR108" s="116"/>
      <c r="AOS108" s="116"/>
      <c r="AOT108" s="116"/>
      <c r="AOU108" s="116"/>
      <c r="AOV108" s="116"/>
      <c r="AOW108" s="116"/>
      <c r="AOX108" s="116"/>
      <c r="AOY108" s="116"/>
      <c r="AOZ108" s="116"/>
      <c r="APA108" s="116"/>
      <c r="APB108" s="116"/>
      <c r="APC108" s="116"/>
      <c r="APD108" s="116"/>
      <c r="APE108" s="116"/>
      <c r="APF108" s="116"/>
      <c r="APG108" s="116"/>
      <c r="APH108" s="116"/>
      <c r="API108" s="116"/>
      <c r="APJ108" s="116"/>
      <c r="APK108" s="116"/>
      <c r="APL108" s="116"/>
      <c r="APM108" s="116"/>
      <c r="APN108" s="116"/>
      <c r="APO108" s="116"/>
      <c r="APP108" s="116"/>
      <c r="APQ108" s="116"/>
      <c r="APR108" s="116"/>
      <c r="APS108" s="116"/>
      <c r="APT108" s="116"/>
      <c r="APU108" s="116"/>
      <c r="APV108" s="116"/>
      <c r="APW108" s="116"/>
      <c r="APX108" s="116"/>
      <c r="APY108" s="116"/>
      <c r="APZ108" s="116"/>
      <c r="AQA108" s="116"/>
      <c r="AQB108" s="116"/>
      <c r="AQC108" s="116"/>
      <c r="AQD108" s="116"/>
      <c r="AQE108" s="116"/>
      <c r="AQF108" s="116"/>
      <c r="AQG108" s="116"/>
      <c r="AQH108" s="116"/>
      <c r="AQI108" s="116"/>
      <c r="AQJ108" s="116"/>
      <c r="AQK108" s="116"/>
      <c r="AQL108" s="116"/>
      <c r="AQM108" s="116"/>
      <c r="AQN108" s="116"/>
      <c r="AQO108" s="116"/>
      <c r="AQP108" s="116"/>
      <c r="AQQ108" s="116"/>
      <c r="AQR108" s="116"/>
      <c r="AQS108" s="116"/>
      <c r="AQT108" s="116"/>
      <c r="AQU108" s="116"/>
      <c r="AQV108" s="116"/>
      <c r="AQW108" s="116"/>
      <c r="AQX108" s="116"/>
      <c r="AQY108" s="116"/>
      <c r="AQZ108" s="116"/>
      <c r="ARA108" s="116"/>
      <c r="ARB108" s="116"/>
      <c r="ARC108" s="116"/>
      <c r="ARD108" s="116"/>
      <c r="ARE108" s="116"/>
      <c r="ARF108" s="116"/>
      <c r="ARG108" s="116"/>
      <c r="ARH108" s="116"/>
      <c r="ARI108" s="116"/>
      <c r="ARJ108" s="116"/>
      <c r="ARK108" s="116"/>
      <c r="ARL108" s="116"/>
      <c r="ARM108" s="116"/>
      <c r="ARN108" s="116"/>
      <c r="ARO108" s="116"/>
      <c r="ARP108" s="116"/>
      <c r="ARQ108" s="116"/>
      <c r="ARR108" s="116"/>
      <c r="ARS108" s="116"/>
      <c r="ART108" s="116"/>
      <c r="ARU108" s="116"/>
      <c r="ARV108" s="116"/>
      <c r="ARW108" s="116"/>
      <c r="ARX108" s="116"/>
      <c r="ARY108" s="116"/>
      <c r="ARZ108" s="116"/>
      <c r="ASA108" s="116"/>
      <c r="ASB108" s="116"/>
      <c r="ASC108" s="116"/>
      <c r="ASD108" s="116"/>
      <c r="ASE108" s="116"/>
      <c r="ASF108" s="116"/>
      <c r="ASG108" s="116"/>
      <c r="ASH108" s="116"/>
      <c r="ASI108" s="116"/>
      <c r="ASJ108" s="116"/>
      <c r="ASK108" s="116"/>
      <c r="ASL108" s="116"/>
      <c r="ASM108" s="116"/>
      <c r="ASN108" s="116"/>
      <c r="ASO108" s="116"/>
      <c r="ASP108" s="116"/>
      <c r="ASQ108" s="116"/>
      <c r="ASR108" s="116"/>
      <c r="ASS108" s="116"/>
      <c r="AST108" s="116"/>
      <c r="ASU108" s="116"/>
      <c r="ASV108" s="116"/>
      <c r="ASW108" s="116"/>
      <c r="ASX108" s="116"/>
      <c r="ASY108" s="116"/>
      <c r="ASZ108" s="116"/>
      <c r="ATA108" s="116"/>
      <c r="ATB108" s="116"/>
      <c r="ATC108" s="116"/>
      <c r="ATD108" s="116"/>
      <c r="ATE108" s="116"/>
      <c r="ATF108" s="116"/>
      <c r="ATG108" s="116"/>
      <c r="ATH108" s="116"/>
      <c r="ATI108" s="116"/>
      <c r="ATJ108" s="116"/>
      <c r="ATK108" s="116"/>
      <c r="ATL108" s="116"/>
      <c r="ATM108" s="116"/>
      <c r="ATN108" s="116"/>
      <c r="ATO108" s="116"/>
      <c r="ATP108" s="116"/>
      <c r="ATQ108" s="116"/>
      <c r="ATR108" s="116"/>
      <c r="ATS108" s="116"/>
      <c r="ATT108" s="116"/>
      <c r="ATU108" s="116"/>
      <c r="ATV108" s="116"/>
      <c r="ATW108" s="116"/>
      <c r="ATX108" s="116"/>
      <c r="ATY108" s="116"/>
      <c r="ATZ108" s="116"/>
      <c r="AUA108" s="116"/>
      <c r="AUB108" s="116"/>
      <c r="AUC108" s="116"/>
      <c r="AUD108" s="116"/>
      <c r="AUE108" s="116"/>
      <c r="AUF108" s="116"/>
      <c r="AUG108" s="116"/>
      <c r="AUH108" s="116"/>
      <c r="AUI108" s="116"/>
      <c r="AUJ108" s="116"/>
      <c r="AUK108" s="116"/>
      <c r="AUL108" s="116"/>
      <c r="AUM108" s="116"/>
      <c r="AUN108" s="116"/>
      <c r="AUO108" s="116"/>
      <c r="AUP108" s="116"/>
      <c r="AUQ108" s="116"/>
      <c r="AUR108" s="116"/>
      <c r="AUS108" s="116"/>
      <c r="AUT108" s="116"/>
      <c r="AUU108" s="116"/>
      <c r="AUV108" s="116"/>
      <c r="AUW108" s="116"/>
      <c r="AUX108" s="116"/>
      <c r="AUY108" s="116"/>
      <c r="AUZ108" s="116"/>
      <c r="AVA108" s="116"/>
      <c r="AVB108" s="116"/>
      <c r="AVC108" s="116"/>
      <c r="AVD108" s="116"/>
      <c r="AVE108" s="116"/>
      <c r="AVF108" s="116"/>
      <c r="AVG108" s="116"/>
      <c r="AVH108" s="116"/>
      <c r="AVI108" s="116"/>
      <c r="AVJ108" s="116"/>
      <c r="AVK108" s="116"/>
      <c r="AVL108" s="116"/>
      <c r="AVM108" s="116"/>
      <c r="AVN108" s="116"/>
      <c r="AVO108" s="116"/>
      <c r="AVP108" s="116"/>
      <c r="AVQ108" s="116"/>
      <c r="AVR108" s="116"/>
      <c r="AVS108" s="116"/>
      <c r="AVT108" s="116"/>
      <c r="AVU108" s="116"/>
      <c r="AVV108" s="116"/>
      <c r="AVW108" s="116"/>
      <c r="AVX108" s="116"/>
      <c r="AVY108" s="116"/>
      <c r="AVZ108" s="116"/>
      <c r="AWA108" s="116"/>
      <c r="AWB108" s="116"/>
      <c r="AWC108" s="116"/>
      <c r="AWD108" s="116"/>
      <c r="AWE108" s="116"/>
      <c r="AWF108" s="116"/>
      <c r="AWG108" s="116"/>
      <c r="AWH108" s="116"/>
      <c r="AWI108" s="116"/>
      <c r="AWJ108" s="116"/>
      <c r="AWK108" s="116"/>
      <c r="AWL108" s="116"/>
      <c r="AWM108" s="116"/>
      <c r="AWN108" s="116"/>
      <c r="AWO108" s="116"/>
      <c r="AWP108" s="116"/>
      <c r="AWQ108" s="116"/>
      <c r="AWR108" s="116"/>
      <c r="AWS108" s="116"/>
      <c r="AWT108" s="116"/>
      <c r="AWU108" s="116"/>
      <c r="AWV108" s="116"/>
      <c r="AWW108" s="116"/>
      <c r="AWX108" s="116"/>
      <c r="AWY108" s="116"/>
      <c r="AWZ108" s="116"/>
      <c r="AXA108" s="116"/>
      <c r="AXB108" s="116"/>
      <c r="AXC108" s="116"/>
      <c r="AXD108" s="116"/>
      <c r="AXE108" s="116"/>
      <c r="AXF108" s="116"/>
      <c r="AXG108" s="116"/>
      <c r="AXH108" s="116"/>
      <c r="AXI108" s="116"/>
      <c r="AXJ108" s="116"/>
      <c r="AXK108" s="116"/>
      <c r="AXL108" s="116"/>
      <c r="AXM108" s="116"/>
      <c r="AXN108" s="116"/>
      <c r="AXO108" s="116"/>
      <c r="AXP108" s="116"/>
      <c r="AXQ108" s="116"/>
      <c r="AXR108" s="116"/>
      <c r="AXS108" s="116"/>
      <c r="AXT108" s="116"/>
      <c r="AXU108" s="116"/>
      <c r="AXV108" s="116"/>
      <c r="AXW108" s="116"/>
      <c r="AXX108" s="116"/>
      <c r="AXY108" s="116"/>
      <c r="AXZ108" s="116"/>
      <c r="AYA108" s="116"/>
      <c r="AYB108" s="116"/>
      <c r="AYC108" s="116"/>
      <c r="AYD108" s="116"/>
      <c r="AYE108" s="116"/>
      <c r="AYF108" s="116"/>
      <c r="AYG108" s="116"/>
      <c r="AYH108" s="116"/>
      <c r="AYI108" s="116"/>
      <c r="AYJ108" s="116"/>
      <c r="AYK108" s="116"/>
      <c r="AYL108" s="116"/>
      <c r="AYM108" s="116"/>
      <c r="AYN108" s="116"/>
      <c r="AYO108" s="116"/>
      <c r="AYP108" s="116"/>
      <c r="AYQ108" s="116"/>
      <c r="AYR108" s="116"/>
      <c r="AYS108" s="116"/>
      <c r="AYT108" s="116"/>
      <c r="AYU108" s="116"/>
      <c r="AYV108" s="116"/>
      <c r="AYW108" s="116"/>
      <c r="AYX108" s="116"/>
      <c r="AYY108" s="116"/>
      <c r="AYZ108" s="116"/>
      <c r="AZA108" s="116"/>
      <c r="AZB108" s="116"/>
      <c r="AZC108" s="116"/>
      <c r="AZD108" s="116"/>
      <c r="AZE108" s="116"/>
      <c r="AZF108" s="116"/>
      <c r="AZG108" s="116"/>
      <c r="AZH108" s="116"/>
      <c r="AZI108" s="116"/>
      <c r="AZJ108" s="116"/>
      <c r="AZK108" s="116"/>
      <c r="AZL108" s="116"/>
      <c r="AZM108" s="116"/>
      <c r="AZN108" s="116"/>
      <c r="AZO108" s="116"/>
      <c r="AZP108" s="116"/>
      <c r="AZQ108" s="116"/>
      <c r="AZR108" s="116"/>
      <c r="AZS108" s="116"/>
      <c r="AZT108" s="116"/>
      <c r="AZU108" s="116"/>
      <c r="AZV108" s="116"/>
      <c r="AZW108" s="116"/>
      <c r="AZX108" s="116"/>
      <c r="AZY108" s="116"/>
      <c r="AZZ108" s="116"/>
      <c r="BAA108" s="116"/>
      <c r="BAB108" s="116"/>
      <c r="BAC108" s="116"/>
      <c r="BAD108" s="116"/>
      <c r="BAE108" s="116"/>
      <c r="BAF108" s="116"/>
      <c r="BAG108" s="116"/>
      <c r="BAH108" s="116"/>
      <c r="BAI108" s="116"/>
      <c r="BAJ108" s="116"/>
      <c r="BAK108" s="116"/>
      <c r="BAL108" s="116"/>
      <c r="BAM108" s="116"/>
      <c r="BAN108" s="116"/>
      <c r="BAO108" s="116"/>
      <c r="BAP108" s="116"/>
      <c r="BAQ108" s="116"/>
      <c r="BAR108" s="116"/>
      <c r="BAS108" s="116"/>
      <c r="BAT108" s="116"/>
      <c r="BAU108" s="116"/>
      <c r="BAV108" s="116"/>
      <c r="BAW108" s="116"/>
      <c r="BAX108" s="116"/>
      <c r="BAY108" s="116"/>
      <c r="BAZ108" s="116"/>
      <c r="BBA108" s="116"/>
      <c r="BBB108" s="116"/>
      <c r="BBC108" s="116"/>
      <c r="BBD108" s="116"/>
      <c r="BBE108" s="116"/>
      <c r="BBF108" s="116"/>
      <c r="BBG108" s="116"/>
      <c r="BBH108" s="116"/>
      <c r="BBI108" s="116"/>
      <c r="BBJ108" s="116"/>
      <c r="BBK108" s="116"/>
      <c r="BBL108" s="116"/>
      <c r="BBM108" s="116"/>
      <c r="BBN108" s="116"/>
      <c r="BBO108" s="116"/>
      <c r="BBP108" s="116"/>
      <c r="BBQ108" s="116"/>
      <c r="BBR108" s="116"/>
      <c r="BBS108" s="116"/>
      <c r="BBT108" s="116"/>
      <c r="BBU108" s="116"/>
      <c r="BBV108" s="116"/>
      <c r="BBW108" s="116"/>
      <c r="BBX108" s="116"/>
      <c r="BBY108" s="116"/>
      <c r="BBZ108" s="116"/>
      <c r="BCA108" s="116"/>
      <c r="BCB108" s="116"/>
      <c r="BCC108" s="116"/>
      <c r="BCD108" s="116"/>
      <c r="BCE108" s="116"/>
      <c r="BCF108" s="116"/>
      <c r="BCG108" s="116"/>
      <c r="BCH108" s="116"/>
      <c r="BCI108" s="116"/>
      <c r="BCJ108" s="116"/>
      <c r="BCK108" s="116"/>
      <c r="BCL108" s="116"/>
      <c r="BCM108" s="116"/>
      <c r="BCN108" s="116"/>
      <c r="BCO108" s="116"/>
      <c r="BCP108" s="116"/>
      <c r="BCQ108" s="116"/>
      <c r="BCR108" s="116"/>
      <c r="BCS108" s="116"/>
      <c r="BCT108" s="116"/>
      <c r="BCU108" s="116"/>
      <c r="BCV108" s="116"/>
      <c r="BCW108" s="116"/>
      <c r="BCX108" s="116"/>
      <c r="BCY108" s="116"/>
      <c r="BCZ108" s="116"/>
      <c r="BDA108" s="116"/>
      <c r="BDB108" s="116"/>
      <c r="BDC108" s="116"/>
      <c r="BDD108" s="116"/>
      <c r="BDE108" s="116"/>
      <c r="BDF108" s="116"/>
      <c r="BDG108" s="116"/>
      <c r="BDH108" s="116"/>
      <c r="BDI108" s="116"/>
      <c r="BDJ108" s="116"/>
      <c r="BDK108" s="116"/>
      <c r="BDL108" s="116"/>
      <c r="BDM108" s="116"/>
      <c r="BDN108" s="116"/>
      <c r="BDO108" s="116"/>
      <c r="BDP108" s="116"/>
      <c r="BDQ108" s="116"/>
      <c r="BDR108" s="116"/>
      <c r="BDS108" s="116"/>
      <c r="BDT108" s="116"/>
      <c r="BDU108" s="116"/>
      <c r="BDV108" s="116"/>
      <c r="BDW108" s="116"/>
      <c r="BDX108" s="116"/>
      <c r="BDY108" s="116"/>
      <c r="BDZ108" s="116"/>
      <c r="BEA108" s="116"/>
      <c r="BEB108" s="116"/>
      <c r="BEC108" s="116"/>
      <c r="BED108" s="116"/>
      <c r="BEE108" s="116"/>
      <c r="BEF108" s="116"/>
      <c r="BEG108" s="116"/>
      <c r="BEH108" s="116"/>
      <c r="BEI108" s="116"/>
      <c r="BEJ108" s="116"/>
      <c r="BEK108" s="116"/>
      <c r="BEL108" s="116"/>
      <c r="BEM108" s="116"/>
      <c r="BEN108" s="116"/>
      <c r="BEO108" s="116"/>
      <c r="BEP108" s="116"/>
      <c r="BEQ108" s="116"/>
      <c r="BER108" s="116"/>
      <c r="BES108" s="116"/>
      <c r="BET108" s="116"/>
      <c r="BEU108" s="116"/>
      <c r="BEV108" s="116"/>
      <c r="BEW108" s="116"/>
      <c r="BEX108" s="116"/>
      <c r="BEY108" s="116"/>
      <c r="BEZ108" s="116"/>
      <c r="BFA108" s="116"/>
      <c r="BFB108" s="116"/>
      <c r="BFC108" s="116"/>
      <c r="BFD108" s="116"/>
      <c r="BFE108" s="116"/>
      <c r="BFF108" s="116"/>
      <c r="BFG108" s="116"/>
      <c r="BFH108" s="116"/>
      <c r="BFI108" s="116"/>
      <c r="BFJ108" s="116"/>
      <c r="BFK108" s="116"/>
      <c r="BFL108" s="116"/>
      <c r="BFM108" s="116"/>
      <c r="BFN108" s="116"/>
      <c r="BFO108" s="116"/>
      <c r="BFP108" s="116"/>
      <c r="BFQ108" s="116"/>
      <c r="BFR108" s="116"/>
      <c r="BFS108" s="116"/>
      <c r="BFT108" s="116"/>
      <c r="BFU108" s="116"/>
      <c r="BFV108" s="116"/>
      <c r="BFW108" s="116"/>
      <c r="BFX108" s="116"/>
      <c r="BFY108" s="116"/>
      <c r="BFZ108" s="116"/>
      <c r="BGA108" s="116"/>
      <c r="BGB108" s="116"/>
      <c r="BGC108" s="116"/>
      <c r="BGD108" s="116"/>
      <c r="BGE108" s="116"/>
      <c r="BGF108" s="116"/>
      <c r="BGG108" s="116"/>
      <c r="BGH108" s="116"/>
      <c r="BGI108" s="116"/>
      <c r="BGJ108" s="116"/>
      <c r="BGK108" s="116"/>
      <c r="BGL108" s="116"/>
      <c r="BGM108" s="116"/>
      <c r="BGN108" s="116"/>
      <c r="BGO108" s="116"/>
      <c r="BGP108" s="116"/>
      <c r="BGQ108" s="116"/>
      <c r="BGR108" s="116"/>
      <c r="BGS108" s="116"/>
      <c r="BGT108" s="116"/>
      <c r="BGU108" s="116"/>
      <c r="BGV108" s="116"/>
      <c r="BGW108" s="116"/>
      <c r="BGX108" s="116"/>
      <c r="BGY108" s="116"/>
      <c r="BGZ108" s="116"/>
      <c r="BHA108" s="116"/>
      <c r="BHB108" s="116"/>
      <c r="BHC108" s="116"/>
      <c r="BHD108" s="116"/>
      <c r="BHE108" s="116"/>
      <c r="BHF108" s="116"/>
      <c r="BHG108" s="116"/>
      <c r="BHH108" s="116"/>
      <c r="BHI108" s="116"/>
      <c r="BHJ108" s="116"/>
      <c r="BHK108" s="116"/>
      <c r="BHL108" s="116"/>
      <c r="BHM108" s="116"/>
      <c r="BHN108" s="116"/>
      <c r="BHO108" s="116"/>
      <c r="BHP108" s="116"/>
      <c r="BHQ108" s="116"/>
      <c r="BHR108" s="116"/>
      <c r="BHS108" s="116"/>
      <c r="BHT108" s="116"/>
      <c r="BHU108" s="116"/>
      <c r="BHV108" s="116"/>
      <c r="BHW108" s="116"/>
      <c r="BHX108" s="116"/>
      <c r="BHY108" s="116"/>
      <c r="BHZ108" s="116"/>
      <c r="BIA108" s="116"/>
      <c r="BIB108" s="116"/>
      <c r="BIC108" s="116"/>
      <c r="BID108" s="116"/>
      <c r="BIE108" s="116"/>
      <c r="BIF108" s="116"/>
      <c r="BIG108" s="116"/>
      <c r="BIH108" s="116"/>
      <c r="BII108" s="116"/>
      <c r="BIJ108" s="116"/>
      <c r="BIK108" s="116"/>
      <c r="BIL108" s="116"/>
      <c r="BIM108" s="116"/>
      <c r="BIN108" s="116"/>
      <c r="BIO108" s="116"/>
      <c r="BIP108" s="116"/>
      <c r="BIQ108" s="116"/>
      <c r="BIR108" s="116"/>
      <c r="BIS108" s="116"/>
      <c r="BIT108" s="116"/>
      <c r="BIU108" s="116"/>
      <c r="BIV108" s="116"/>
      <c r="BIW108" s="116"/>
      <c r="BIX108" s="116"/>
      <c r="BIY108" s="116"/>
      <c r="BIZ108" s="116"/>
      <c r="BJA108" s="116"/>
      <c r="BJB108" s="116"/>
      <c r="BJC108" s="116"/>
      <c r="BJD108" s="116"/>
      <c r="BJE108" s="116"/>
      <c r="BJF108" s="116"/>
      <c r="BJG108" s="116"/>
      <c r="BJH108" s="116"/>
      <c r="BJI108" s="116"/>
      <c r="BJJ108" s="116"/>
      <c r="BJK108" s="116"/>
      <c r="BJL108" s="116"/>
      <c r="BJM108" s="116"/>
      <c r="BJN108" s="116"/>
      <c r="BJO108" s="116"/>
      <c r="BJP108" s="116"/>
      <c r="BJQ108" s="116"/>
      <c r="BJR108" s="116"/>
      <c r="BJS108" s="116"/>
      <c r="BJT108" s="116"/>
      <c r="BJU108" s="116"/>
      <c r="BJV108" s="116"/>
      <c r="BJW108" s="116"/>
      <c r="BJX108" s="116"/>
      <c r="BJY108" s="116"/>
      <c r="BJZ108" s="116"/>
      <c r="BKA108" s="116"/>
      <c r="BKB108" s="116"/>
      <c r="BKC108" s="116"/>
      <c r="BKD108" s="116"/>
      <c r="BKE108" s="116"/>
      <c r="BKF108" s="116"/>
      <c r="BKG108" s="116"/>
      <c r="BKH108" s="116"/>
      <c r="BKI108" s="116"/>
      <c r="BKJ108" s="116"/>
      <c r="BKK108" s="116"/>
      <c r="BKL108" s="116"/>
      <c r="BKM108" s="116"/>
      <c r="BKN108" s="116"/>
      <c r="BKO108" s="116"/>
      <c r="BKP108" s="116"/>
      <c r="BKQ108" s="116"/>
      <c r="BKR108" s="116"/>
      <c r="BKS108" s="116"/>
      <c r="BKT108" s="116"/>
      <c r="BKU108" s="116"/>
      <c r="BKV108" s="116"/>
      <c r="BKW108" s="116"/>
      <c r="BKX108" s="116"/>
      <c r="BKY108" s="116"/>
      <c r="BKZ108" s="116"/>
      <c r="BLA108" s="116"/>
      <c r="BLB108" s="116"/>
      <c r="BLC108" s="116"/>
      <c r="BLD108" s="116"/>
      <c r="BLE108" s="116"/>
      <c r="BLF108" s="116"/>
      <c r="BLG108" s="116"/>
      <c r="BLH108" s="116"/>
      <c r="BLI108" s="116"/>
      <c r="BLJ108" s="116"/>
      <c r="BLK108" s="116"/>
      <c r="BLL108" s="116"/>
      <c r="BLM108" s="116"/>
      <c r="BLN108" s="116"/>
      <c r="BLO108" s="116"/>
      <c r="BLP108" s="116"/>
      <c r="BLQ108" s="116"/>
      <c r="BLR108" s="116"/>
      <c r="BLS108" s="116"/>
      <c r="BLT108" s="116"/>
      <c r="BLU108" s="116"/>
      <c r="BLV108" s="116"/>
      <c r="BLW108" s="116"/>
      <c r="BLX108" s="116"/>
      <c r="BLY108" s="116"/>
      <c r="BLZ108" s="116"/>
      <c r="BMA108" s="116"/>
      <c r="BMB108" s="116"/>
      <c r="BMC108" s="116"/>
      <c r="BMD108" s="116"/>
      <c r="BME108" s="116"/>
      <c r="BMF108" s="116"/>
      <c r="BMG108" s="116"/>
      <c r="BMH108" s="116"/>
      <c r="BMI108" s="116"/>
      <c r="BMJ108" s="116"/>
      <c r="BMK108" s="116"/>
      <c r="BML108" s="116"/>
      <c r="BMM108" s="116"/>
      <c r="BMN108" s="116"/>
      <c r="BMO108" s="116"/>
      <c r="BMP108" s="116"/>
      <c r="BMQ108" s="116"/>
      <c r="BMR108" s="116"/>
      <c r="BMS108" s="116"/>
      <c r="BMT108" s="116"/>
      <c r="BMU108" s="116"/>
      <c r="BMV108" s="116"/>
      <c r="BMW108" s="116"/>
      <c r="BMX108" s="116"/>
      <c r="BMY108" s="116"/>
      <c r="BMZ108" s="116"/>
      <c r="BNA108" s="116"/>
      <c r="BNB108" s="116"/>
      <c r="BNC108" s="116"/>
      <c r="BND108" s="116"/>
      <c r="BNE108" s="116"/>
      <c r="BNF108" s="116"/>
      <c r="BNG108" s="116"/>
      <c r="BNH108" s="116"/>
      <c r="BNI108" s="116"/>
      <c r="BNJ108" s="116"/>
      <c r="BNK108" s="116"/>
      <c r="BNL108" s="116"/>
      <c r="BNM108" s="116"/>
      <c r="BNN108" s="116"/>
      <c r="BNO108" s="116"/>
      <c r="BNP108" s="116"/>
      <c r="BNQ108" s="116"/>
      <c r="BNR108" s="116"/>
      <c r="BNS108" s="116"/>
      <c r="BNT108" s="116"/>
      <c r="BNU108" s="116"/>
      <c r="BNV108" s="116"/>
      <c r="BNW108" s="116"/>
      <c r="BNX108" s="116"/>
      <c r="BNY108" s="116"/>
      <c r="BNZ108" s="116"/>
      <c r="BOA108" s="116"/>
      <c r="BOB108" s="116"/>
      <c r="BOC108" s="116"/>
      <c r="BOD108" s="116"/>
      <c r="BOE108" s="116"/>
      <c r="BOF108" s="116"/>
      <c r="BOG108" s="116"/>
      <c r="BOH108" s="116"/>
      <c r="BOI108" s="116"/>
      <c r="BOJ108" s="116"/>
      <c r="BOK108" s="116"/>
      <c r="BOL108" s="116"/>
      <c r="BOM108" s="116"/>
      <c r="BON108" s="116"/>
      <c r="BOO108" s="116"/>
      <c r="BOP108" s="116"/>
      <c r="BOQ108" s="116"/>
      <c r="BOR108" s="116"/>
      <c r="BOS108" s="116"/>
      <c r="BOT108" s="116"/>
      <c r="BOU108" s="116"/>
      <c r="BOV108" s="116"/>
      <c r="BOW108" s="116"/>
      <c r="BOX108" s="116"/>
      <c r="BOY108" s="116"/>
      <c r="BOZ108" s="116"/>
      <c r="BPA108" s="116"/>
      <c r="BPB108" s="116"/>
      <c r="BPC108" s="116"/>
      <c r="BPD108" s="116"/>
      <c r="BPE108" s="116"/>
      <c r="BPF108" s="116"/>
      <c r="BPG108" s="116"/>
      <c r="BPH108" s="116"/>
      <c r="BPI108" s="116"/>
      <c r="BPJ108" s="116"/>
      <c r="BPK108" s="116"/>
      <c r="BPL108" s="116"/>
      <c r="BPM108" s="116"/>
      <c r="BPN108" s="116"/>
      <c r="BPO108" s="116"/>
      <c r="BPP108" s="116"/>
      <c r="BPQ108" s="116"/>
      <c r="BPR108" s="116"/>
      <c r="BPS108" s="116"/>
      <c r="BPT108" s="116"/>
      <c r="BPU108" s="116"/>
      <c r="BPV108" s="116"/>
      <c r="BPW108" s="116"/>
      <c r="BPX108" s="116"/>
      <c r="BPY108" s="116"/>
      <c r="BPZ108" s="116"/>
      <c r="BQA108" s="116"/>
      <c r="BQB108" s="116"/>
      <c r="BQC108" s="116"/>
      <c r="BQD108" s="116"/>
      <c r="BQE108" s="116"/>
      <c r="BQF108" s="116"/>
      <c r="BQG108" s="116"/>
      <c r="BQH108" s="116"/>
      <c r="BQI108" s="116"/>
      <c r="BQJ108" s="116"/>
      <c r="BQK108" s="116"/>
      <c r="BQL108" s="116"/>
      <c r="BQM108" s="116"/>
      <c r="BQN108" s="116"/>
      <c r="BQO108" s="116"/>
      <c r="BQP108" s="116"/>
      <c r="BQQ108" s="116"/>
      <c r="BQR108" s="116"/>
      <c r="BQS108" s="116"/>
      <c r="BQT108" s="116"/>
      <c r="BQU108" s="116"/>
      <c r="BQV108" s="116"/>
      <c r="BQW108" s="116"/>
      <c r="BQX108" s="116"/>
      <c r="BQY108" s="116"/>
      <c r="BQZ108" s="116"/>
      <c r="BRA108" s="116"/>
      <c r="BRB108" s="116"/>
      <c r="BRC108" s="116"/>
      <c r="BRD108" s="116"/>
      <c r="BRE108" s="116"/>
      <c r="BRF108" s="116"/>
      <c r="BRG108" s="116"/>
      <c r="BRH108" s="116"/>
      <c r="BRI108" s="116"/>
      <c r="BRJ108" s="116"/>
      <c r="BRK108" s="116"/>
      <c r="BRL108" s="116"/>
      <c r="BRM108" s="116"/>
      <c r="BRN108" s="116"/>
      <c r="BRO108" s="116"/>
      <c r="BRP108" s="116"/>
      <c r="BRQ108" s="116"/>
      <c r="BRR108" s="116"/>
      <c r="BRS108" s="116"/>
      <c r="BRT108" s="116"/>
      <c r="BRU108" s="116"/>
      <c r="BRV108" s="116"/>
      <c r="BRW108" s="116"/>
      <c r="BRX108" s="116"/>
      <c r="BRY108" s="116"/>
      <c r="BRZ108" s="116"/>
      <c r="BSA108" s="116"/>
      <c r="BSB108" s="116"/>
      <c r="BSC108" s="116"/>
      <c r="BSD108" s="116"/>
      <c r="BSE108" s="116"/>
      <c r="BSF108" s="116"/>
      <c r="BSG108" s="116"/>
      <c r="BSH108" s="116"/>
      <c r="BSI108" s="116"/>
      <c r="BSJ108" s="116"/>
      <c r="BSK108" s="116"/>
      <c r="BSL108" s="116"/>
      <c r="BSM108" s="116"/>
      <c r="BSN108" s="116"/>
      <c r="BSO108" s="116"/>
      <c r="BSP108" s="116"/>
      <c r="BSQ108" s="116"/>
      <c r="BSR108" s="116"/>
      <c r="BSS108" s="116"/>
      <c r="BST108" s="116"/>
      <c r="BSU108" s="116"/>
      <c r="BSV108" s="116"/>
      <c r="BSW108" s="116"/>
      <c r="BSX108" s="116"/>
      <c r="BSY108" s="116"/>
      <c r="BSZ108" s="116"/>
      <c r="BTA108" s="116"/>
      <c r="BTB108" s="116"/>
      <c r="BTC108" s="116"/>
      <c r="BTD108" s="116"/>
      <c r="BTE108" s="116"/>
      <c r="BTF108" s="116"/>
      <c r="BTG108" s="116"/>
      <c r="BTH108" s="116"/>
      <c r="BTI108" s="116"/>
      <c r="BTJ108" s="116"/>
      <c r="BTK108" s="116"/>
      <c r="BTL108" s="116"/>
      <c r="BTM108" s="116"/>
      <c r="BTN108" s="116"/>
      <c r="BTO108" s="116"/>
      <c r="BTP108" s="116"/>
      <c r="BTQ108" s="116"/>
      <c r="BTR108" s="116"/>
      <c r="BTS108" s="116"/>
      <c r="BTT108" s="116"/>
      <c r="BTU108" s="116"/>
      <c r="BTV108" s="116"/>
      <c r="BTW108" s="116"/>
      <c r="BTX108" s="116"/>
      <c r="BTY108" s="116"/>
      <c r="BTZ108" s="116"/>
      <c r="BUA108" s="116"/>
      <c r="BUB108" s="116"/>
      <c r="BUC108" s="116"/>
      <c r="BUD108" s="116"/>
      <c r="BUE108" s="116"/>
      <c r="BUF108" s="116"/>
      <c r="BUG108" s="116"/>
      <c r="BUH108" s="116"/>
      <c r="BUI108" s="116"/>
      <c r="BUJ108" s="116"/>
      <c r="BUK108" s="116"/>
      <c r="BUL108" s="116"/>
      <c r="BUM108" s="116"/>
      <c r="BUN108" s="116"/>
      <c r="BUO108" s="116"/>
      <c r="BUP108" s="116"/>
      <c r="BUQ108" s="116"/>
      <c r="BUR108" s="116"/>
      <c r="BUS108" s="116"/>
      <c r="BUT108" s="116"/>
      <c r="BUU108" s="116"/>
      <c r="BUV108" s="116"/>
      <c r="BUW108" s="116"/>
      <c r="BUX108" s="116"/>
      <c r="BUY108" s="116"/>
      <c r="BUZ108" s="116"/>
      <c r="BVA108" s="116"/>
      <c r="BVB108" s="116"/>
      <c r="BVC108" s="116"/>
      <c r="BVD108" s="116"/>
      <c r="BVE108" s="116"/>
      <c r="BVF108" s="116"/>
      <c r="BVG108" s="116"/>
      <c r="BVH108" s="116"/>
      <c r="BVI108" s="116"/>
      <c r="BVJ108" s="116"/>
      <c r="BVK108" s="116"/>
      <c r="BVL108" s="116"/>
      <c r="BVM108" s="116"/>
      <c r="BVN108" s="116"/>
      <c r="BVO108" s="116"/>
      <c r="BVP108" s="116"/>
      <c r="BVQ108" s="116"/>
      <c r="BVR108" s="116"/>
      <c r="BVS108" s="116"/>
      <c r="BVT108" s="116"/>
      <c r="BVU108" s="116"/>
      <c r="BVV108" s="116"/>
      <c r="BVW108" s="116"/>
      <c r="BVX108" s="116"/>
      <c r="BVY108" s="116"/>
      <c r="BVZ108" s="116"/>
      <c r="BWA108" s="116"/>
      <c r="BWB108" s="116"/>
      <c r="BWC108" s="116"/>
      <c r="BWD108" s="116"/>
      <c r="BWE108" s="116"/>
      <c r="BWF108" s="116"/>
      <c r="BWG108" s="116"/>
      <c r="BWH108" s="116"/>
      <c r="BWI108" s="116"/>
      <c r="BWJ108" s="116"/>
      <c r="BWK108" s="116"/>
      <c r="BWL108" s="116"/>
      <c r="BWM108" s="116"/>
      <c r="BWN108" s="116"/>
      <c r="BWO108" s="116"/>
      <c r="BWP108" s="116"/>
      <c r="BWQ108" s="116"/>
      <c r="BWR108" s="116"/>
      <c r="BWS108" s="116"/>
      <c r="BWT108" s="116"/>
      <c r="BWU108" s="116"/>
      <c r="BWV108" s="116"/>
      <c r="BWW108" s="116"/>
      <c r="BWX108" s="116"/>
      <c r="BWY108" s="116"/>
      <c r="BWZ108" s="116"/>
      <c r="BXA108" s="116"/>
      <c r="BXB108" s="116"/>
      <c r="BXC108" s="116"/>
      <c r="BXD108" s="116"/>
      <c r="BXE108" s="116"/>
      <c r="BXF108" s="116"/>
      <c r="BXG108" s="116"/>
      <c r="BXH108" s="116"/>
      <c r="BXI108" s="116"/>
      <c r="BXJ108" s="116"/>
      <c r="BXK108" s="116"/>
      <c r="BXL108" s="116"/>
      <c r="BXM108" s="116"/>
      <c r="BXN108" s="116"/>
      <c r="BXO108" s="116"/>
      <c r="BXP108" s="116"/>
      <c r="BXQ108" s="116"/>
      <c r="BXR108" s="116"/>
      <c r="BXS108" s="116"/>
      <c r="BXT108" s="116"/>
      <c r="BXU108" s="116"/>
      <c r="BXV108" s="116"/>
      <c r="BXW108" s="116"/>
      <c r="BXX108" s="116"/>
      <c r="BXY108" s="116"/>
      <c r="BXZ108" s="116"/>
      <c r="BYA108" s="116"/>
      <c r="BYB108" s="116"/>
      <c r="BYC108" s="116"/>
      <c r="BYD108" s="116"/>
      <c r="BYE108" s="116"/>
      <c r="BYF108" s="116"/>
      <c r="BYG108" s="116"/>
      <c r="BYH108" s="116"/>
      <c r="BYI108" s="116"/>
      <c r="BYJ108" s="116"/>
      <c r="BYK108" s="116"/>
      <c r="BYL108" s="116"/>
      <c r="BYM108" s="116"/>
      <c r="BYN108" s="116"/>
      <c r="BYO108" s="116"/>
      <c r="BYP108" s="116"/>
      <c r="BYQ108" s="116"/>
      <c r="BYR108" s="116"/>
      <c r="BYS108" s="116"/>
      <c r="BYT108" s="116"/>
      <c r="BYU108" s="116"/>
      <c r="BYV108" s="116"/>
      <c r="BYW108" s="116"/>
      <c r="BYX108" s="116"/>
      <c r="BYY108" s="116"/>
      <c r="BYZ108" s="116"/>
      <c r="BZA108" s="116"/>
      <c r="BZB108" s="116"/>
      <c r="BZC108" s="116"/>
      <c r="BZD108" s="116"/>
      <c r="BZE108" s="116"/>
      <c r="BZF108" s="116"/>
      <c r="BZG108" s="116"/>
      <c r="BZH108" s="116"/>
      <c r="BZI108" s="116"/>
      <c r="BZJ108" s="116"/>
      <c r="BZK108" s="116"/>
      <c r="BZL108" s="116"/>
      <c r="BZM108" s="116"/>
      <c r="BZN108" s="116"/>
      <c r="BZO108" s="116"/>
      <c r="BZP108" s="116"/>
      <c r="BZQ108" s="116"/>
      <c r="BZR108" s="116"/>
      <c r="BZS108" s="116"/>
      <c r="BZT108" s="116"/>
      <c r="BZU108" s="116"/>
      <c r="BZV108" s="116"/>
      <c r="BZW108" s="116"/>
      <c r="BZX108" s="116"/>
      <c r="BZY108" s="116"/>
      <c r="BZZ108" s="116"/>
      <c r="CAA108" s="116"/>
      <c r="CAB108" s="116"/>
      <c r="CAC108" s="116"/>
      <c r="CAD108" s="116"/>
      <c r="CAE108" s="116"/>
      <c r="CAF108" s="116"/>
      <c r="CAG108" s="116"/>
      <c r="CAH108" s="116"/>
      <c r="CAI108" s="116"/>
      <c r="CAJ108" s="116"/>
      <c r="CAK108" s="116"/>
      <c r="CAL108" s="116"/>
      <c r="CAM108" s="116"/>
      <c r="CAN108" s="116"/>
      <c r="CAO108" s="116"/>
      <c r="CAP108" s="116"/>
      <c r="CAQ108" s="116"/>
      <c r="CAR108" s="116"/>
      <c r="CAS108" s="116"/>
      <c r="CAT108" s="116"/>
      <c r="CAU108" s="116"/>
      <c r="CAV108" s="116"/>
      <c r="CAW108" s="116"/>
      <c r="CAX108" s="116"/>
      <c r="CAY108" s="116"/>
      <c r="CAZ108" s="116"/>
      <c r="CBA108" s="116"/>
      <c r="CBB108" s="116"/>
      <c r="CBC108" s="116"/>
      <c r="CBD108" s="116"/>
      <c r="CBE108" s="116"/>
      <c r="CBF108" s="116"/>
      <c r="CBG108" s="116"/>
      <c r="CBH108" s="116"/>
      <c r="CBI108" s="116"/>
      <c r="CBJ108" s="116"/>
      <c r="CBK108" s="116"/>
      <c r="CBL108" s="116"/>
      <c r="CBM108" s="116"/>
      <c r="CBN108" s="116"/>
      <c r="CBO108" s="116"/>
      <c r="CBP108" s="116"/>
      <c r="CBQ108" s="116"/>
      <c r="CBR108" s="116"/>
      <c r="CBS108" s="116"/>
      <c r="CBT108" s="116"/>
      <c r="CBU108" s="116"/>
      <c r="CBV108" s="116"/>
      <c r="CBW108" s="116"/>
      <c r="CBX108" s="116"/>
      <c r="CBY108" s="116"/>
      <c r="CBZ108" s="116"/>
      <c r="CCA108" s="116"/>
      <c r="CCB108" s="116"/>
      <c r="CCC108" s="116"/>
      <c r="CCD108" s="116"/>
      <c r="CCE108" s="116"/>
      <c r="CCF108" s="116"/>
      <c r="CCG108" s="116"/>
      <c r="CCH108" s="116"/>
      <c r="CCI108" s="116"/>
      <c r="CCJ108" s="116"/>
      <c r="CCK108" s="116"/>
      <c r="CCL108" s="116"/>
      <c r="CCM108" s="116"/>
      <c r="CCN108" s="116"/>
      <c r="CCO108" s="116"/>
      <c r="CCP108" s="116"/>
      <c r="CCQ108" s="116"/>
      <c r="CCR108" s="116"/>
      <c r="CCS108" s="116"/>
      <c r="CCT108" s="116"/>
      <c r="CCU108" s="116"/>
      <c r="CCV108" s="116"/>
      <c r="CCW108" s="116"/>
      <c r="CCX108" s="116"/>
      <c r="CCY108" s="116"/>
      <c r="CCZ108" s="116"/>
      <c r="CDA108" s="116"/>
      <c r="CDB108" s="116"/>
      <c r="CDC108" s="116"/>
      <c r="CDD108" s="116"/>
      <c r="CDE108" s="116"/>
      <c r="CDF108" s="116"/>
      <c r="CDG108" s="116"/>
      <c r="CDH108" s="116"/>
      <c r="CDI108" s="116"/>
      <c r="CDJ108" s="116"/>
      <c r="CDK108" s="116"/>
      <c r="CDL108" s="116"/>
      <c r="CDM108" s="116"/>
      <c r="CDN108" s="116"/>
      <c r="CDO108" s="116"/>
      <c r="CDP108" s="116"/>
      <c r="CDQ108" s="116"/>
      <c r="CDR108" s="116"/>
      <c r="CDS108" s="116"/>
      <c r="CDT108" s="116"/>
      <c r="CDU108" s="116"/>
      <c r="CDV108" s="116"/>
      <c r="CDW108" s="116"/>
      <c r="CDX108" s="116"/>
      <c r="CDY108" s="116"/>
      <c r="CDZ108" s="116"/>
      <c r="CEA108" s="116"/>
      <c r="CEB108" s="116"/>
      <c r="CEC108" s="116"/>
      <c r="CED108" s="116"/>
      <c r="CEE108" s="116"/>
      <c r="CEF108" s="116"/>
      <c r="CEG108" s="116"/>
      <c r="CEH108" s="116"/>
      <c r="CEI108" s="116"/>
      <c r="CEJ108" s="116"/>
      <c r="CEK108" s="116"/>
      <c r="CEL108" s="116"/>
      <c r="CEM108" s="116"/>
      <c r="CEN108" s="116"/>
      <c r="CEO108" s="116"/>
      <c r="CEP108" s="116"/>
      <c r="CEQ108" s="116"/>
      <c r="CER108" s="116"/>
      <c r="CES108" s="116"/>
      <c r="CET108" s="116"/>
      <c r="CEU108" s="116"/>
      <c r="CEV108" s="116"/>
      <c r="CEW108" s="116"/>
      <c r="CEX108" s="116"/>
      <c r="CEY108" s="116"/>
      <c r="CEZ108" s="116"/>
      <c r="CFA108" s="116"/>
      <c r="CFB108" s="116"/>
      <c r="CFC108" s="116"/>
      <c r="CFD108" s="116"/>
      <c r="CFE108" s="116"/>
      <c r="CFF108" s="116"/>
      <c r="CFG108" s="116"/>
      <c r="CFH108" s="116"/>
      <c r="CFI108" s="116"/>
      <c r="CFJ108" s="116"/>
      <c r="CFK108" s="116"/>
      <c r="CFL108" s="116"/>
      <c r="CFM108" s="116"/>
      <c r="CFN108" s="116"/>
      <c r="CFO108" s="116"/>
      <c r="CFP108" s="116"/>
      <c r="CFQ108" s="116"/>
      <c r="CFR108" s="116"/>
      <c r="CFS108" s="116"/>
      <c r="CFT108" s="116"/>
      <c r="CFU108" s="116"/>
      <c r="CFV108" s="116"/>
      <c r="CFW108" s="116"/>
      <c r="CFX108" s="116"/>
      <c r="CFY108" s="116"/>
      <c r="CFZ108" s="116"/>
      <c r="CGA108" s="116"/>
      <c r="CGB108" s="116"/>
      <c r="CGC108" s="116"/>
      <c r="CGD108" s="116"/>
      <c r="CGE108" s="116"/>
      <c r="CGF108" s="116"/>
      <c r="CGG108" s="116"/>
      <c r="CGH108" s="116"/>
      <c r="CGI108" s="116"/>
      <c r="CGJ108" s="116"/>
      <c r="CGK108" s="116"/>
      <c r="CGL108" s="116"/>
      <c r="CGM108" s="116"/>
      <c r="CGN108" s="116"/>
      <c r="CGO108" s="116"/>
      <c r="CGP108" s="116"/>
      <c r="CGQ108" s="116"/>
      <c r="CGR108" s="116"/>
      <c r="CGS108" s="116"/>
      <c r="CGT108" s="116"/>
      <c r="CGU108" s="116"/>
      <c r="CGV108" s="116"/>
      <c r="CGW108" s="116"/>
      <c r="CGX108" s="116"/>
      <c r="CGY108" s="116"/>
      <c r="CGZ108" s="116"/>
      <c r="CHA108" s="116"/>
      <c r="CHB108" s="116"/>
      <c r="CHC108" s="116"/>
      <c r="CHD108" s="116"/>
      <c r="CHE108" s="116"/>
      <c r="CHF108" s="116"/>
      <c r="CHG108" s="116"/>
      <c r="CHH108" s="116"/>
      <c r="CHI108" s="116"/>
      <c r="CHJ108" s="116"/>
      <c r="CHK108" s="116"/>
      <c r="CHL108" s="116"/>
      <c r="CHM108" s="116"/>
      <c r="CHN108" s="116"/>
      <c r="CHO108" s="116"/>
      <c r="CHP108" s="116"/>
      <c r="CHQ108" s="116"/>
      <c r="CHR108" s="116"/>
      <c r="CHS108" s="116"/>
      <c r="CHT108" s="116"/>
      <c r="CHU108" s="116"/>
      <c r="CHV108" s="116"/>
      <c r="CHW108" s="116"/>
      <c r="CHX108" s="116"/>
      <c r="CHY108" s="116"/>
      <c r="CHZ108" s="116"/>
      <c r="CIA108" s="116"/>
      <c r="CIB108" s="116"/>
      <c r="CIC108" s="116"/>
      <c r="CID108" s="116"/>
      <c r="CIE108" s="116"/>
      <c r="CIF108" s="116"/>
      <c r="CIG108" s="116"/>
      <c r="CIH108" s="116"/>
      <c r="CII108" s="116"/>
      <c r="CIJ108" s="116"/>
      <c r="CIK108" s="116"/>
      <c r="CIL108" s="116"/>
      <c r="CIM108" s="116"/>
      <c r="CIN108" s="116"/>
      <c r="CIO108" s="116"/>
      <c r="CIP108" s="116"/>
      <c r="CIQ108" s="116"/>
      <c r="CIR108" s="116"/>
      <c r="CIS108" s="116"/>
      <c r="CIT108" s="116"/>
      <c r="CIU108" s="116"/>
      <c r="CIV108" s="116"/>
      <c r="CIW108" s="116"/>
      <c r="CIX108" s="116"/>
      <c r="CIY108" s="116"/>
      <c r="CIZ108" s="116"/>
      <c r="CJA108" s="116"/>
      <c r="CJB108" s="116"/>
      <c r="CJC108" s="116"/>
      <c r="CJD108" s="116"/>
      <c r="CJE108" s="116"/>
      <c r="CJF108" s="116"/>
      <c r="CJG108" s="116"/>
      <c r="CJH108" s="116"/>
      <c r="CJI108" s="116"/>
      <c r="CJJ108" s="116"/>
      <c r="CJK108" s="116"/>
      <c r="CJL108" s="116"/>
      <c r="CJM108" s="116"/>
      <c r="CJN108" s="116"/>
      <c r="CJO108" s="116"/>
      <c r="CJP108" s="116"/>
      <c r="CJQ108" s="116"/>
      <c r="CJR108" s="116"/>
      <c r="CJS108" s="116"/>
      <c r="CJT108" s="116"/>
      <c r="CJU108" s="116"/>
      <c r="CJV108" s="116"/>
      <c r="CJW108" s="116"/>
      <c r="CJX108" s="116"/>
      <c r="CJY108" s="116"/>
      <c r="CJZ108" s="116"/>
      <c r="CKA108" s="116"/>
      <c r="CKB108" s="116"/>
      <c r="CKC108" s="116"/>
      <c r="CKD108" s="116"/>
      <c r="CKE108" s="116"/>
      <c r="CKF108" s="116"/>
      <c r="CKG108" s="116"/>
      <c r="CKH108" s="116"/>
      <c r="CKI108" s="116"/>
      <c r="CKJ108" s="116"/>
      <c r="CKK108" s="116"/>
      <c r="CKL108" s="116"/>
      <c r="CKM108" s="116"/>
      <c r="CKN108" s="116"/>
      <c r="CKO108" s="116"/>
      <c r="CKP108" s="116"/>
      <c r="CKQ108" s="116"/>
      <c r="CKR108" s="116"/>
      <c r="CKS108" s="116"/>
      <c r="CKT108" s="116"/>
      <c r="CKU108" s="116"/>
      <c r="CKV108" s="116"/>
      <c r="CKW108" s="116"/>
      <c r="CKX108" s="116"/>
      <c r="CKY108" s="116"/>
      <c r="CKZ108" s="116"/>
      <c r="CLA108" s="116"/>
      <c r="CLB108" s="116"/>
      <c r="CLC108" s="116"/>
      <c r="CLD108" s="116"/>
      <c r="CLE108" s="116"/>
      <c r="CLF108" s="116"/>
      <c r="CLG108" s="116"/>
      <c r="CLH108" s="116"/>
      <c r="CLI108" s="116"/>
      <c r="CLJ108" s="116"/>
      <c r="CLK108" s="116"/>
      <c r="CLL108" s="116"/>
      <c r="CLM108" s="116"/>
      <c r="CLN108" s="116"/>
      <c r="CLO108" s="116"/>
      <c r="CLP108" s="116"/>
      <c r="CLQ108" s="116"/>
      <c r="CLR108" s="116"/>
      <c r="CLS108" s="116"/>
      <c r="CLT108" s="116"/>
      <c r="CLU108" s="116"/>
      <c r="CLV108" s="116"/>
      <c r="CLW108" s="116"/>
      <c r="CLX108" s="116"/>
      <c r="CLY108" s="116"/>
      <c r="CLZ108" s="116"/>
      <c r="CMA108" s="116"/>
      <c r="CMB108" s="116"/>
      <c r="CMC108" s="116"/>
      <c r="CMD108" s="116"/>
      <c r="CME108" s="116"/>
      <c r="CMF108" s="116"/>
      <c r="CMG108" s="116"/>
      <c r="CMH108" s="116"/>
      <c r="CMI108" s="116"/>
      <c r="CMJ108" s="116"/>
      <c r="CMK108" s="116"/>
      <c r="CML108" s="116"/>
      <c r="CMM108" s="116"/>
      <c r="CMN108" s="116"/>
      <c r="CMO108" s="116"/>
      <c r="CMP108" s="116"/>
      <c r="CMQ108" s="116"/>
      <c r="CMR108" s="116"/>
      <c r="CMS108" s="116"/>
      <c r="CMT108" s="116"/>
      <c r="CMU108" s="116"/>
      <c r="CMV108" s="116"/>
      <c r="CMW108" s="116"/>
      <c r="CMX108" s="116"/>
      <c r="CMY108" s="116"/>
      <c r="CMZ108" s="116"/>
      <c r="CNA108" s="116"/>
      <c r="CNB108" s="116"/>
      <c r="CNC108" s="116"/>
      <c r="CND108" s="116"/>
      <c r="CNE108" s="116"/>
      <c r="CNF108" s="116"/>
      <c r="CNG108" s="116"/>
      <c r="CNH108" s="116"/>
      <c r="CNI108" s="116"/>
      <c r="CNJ108" s="116"/>
      <c r="CNK108" s="116"/>
      <c r="CNL108" s="116"/>
      <c r="CNM108" s="116"/>
      <c r="CNN108" s="116"/>
      <c r="CNO108" s="116"/>
      <c r="CNP108" s="116"/>
      <c r="CNQ108" s="116"/>
      <c r="CNR108" s="116"/>
      <c r="CNS108" s="116"/>
      <c r="CNT108" s="116"/>
      <c r="CNU108" s="116"/>
      <c r="CNV108" s="116"/>
      <c r="CNW108" s="116"/>
      <c r="CNX108" s="116"/>
      <c r="CNY108" s="116"/>
      <c r="CNZ108" s="116"/>
      <c r="COA108" s="116"/>
      <c r="COB108" s="116"/>
      <c r="COC108" s="116"/>
      <c r="COD108" s="116"/>
      <c r="COE108" s="116"/>
      <c r="COF108" s="116"/>
      <c r="COG108" s="116"/>
      <c r="COH108" s="116"/>
      <c r="COI108" s="116"/>
      <c r="COJ108" s="116"/>
      <c r="COK108" s="116"/>
      <c r="COL108" s="116"/>
      <c r="COM108" s="116"/>
      <c r="CON108" s="116"/>
      <c r="COO108" s="116"/>
      <c r="COP108" s="116"/>
      <c r="COQ108" s="116"/>
      <c r="COR108" s="116"/>
      <c r="COS108" s="116"/>
      <c r="COT108" s="116"/>
      <c r="COU108" s="116"/>
      <c r="COV108" s="116"/>
      <c r="COW108" s="116"/>
      <c r="COX108" s="116"/>
      <c r="COY108" s="116"/>
      <c r="COZ108" s="116"/>
      <c r="CPA108" s="116"/>
      <c r="CPB108" s="116"/>
      <c r="CPC108" s="116"/>
      <c r="CPD108" s="116"/>
      <c r="CPE108" s="116"/>
      <c r="CPF108" s="116"/>
      <c r="CPG108" s="116"/>
      <c r="CPH108" s="116"/>
      <c r="CPI108" s="116"/>
      <c r="CPJ108" s="116"/>
      <c r="CPK108" s="116"/>
      <c r="CPL108" s="116"/>
      <c r="CPM108" s="116"/>
      <c r="CPN108" s="116"/>
      <c r="CPO108" s="116"/>
      <c r="CPP108" s="116"/>
      <c r="CPQ108" s="116"/>
      <c r="CPR108" s="116"/>
      <c r="CPS108" s="116"/>
      <c r="CPT108" s="116"/>
      <c r="CPU108" s="116"/>
      <c r="CPV108" s="116"/>
      <c r="CPW108" s="116"/>
      <c r="CPX108" s="116"/>
      <c r="CPY108" s="116"/>
      <c r="CPZ108" s="116"/>
      <c r="CQA108" s="116"/>
      <c r="CQB108" s="116"/>
      <c r="CQC108" s="116"/>
      <c r="CQD108" s="116"/>
      <c r="CQE108" s="116"/>
      <c r="CQF108" s="116"/>
      <c r="CQG108" s="116"/>
      <c r="CQH108" s="116"/>
      <c r="CQI108" s="116"/>
      <c r="CQJ108" s="116"/>
      <c r="CQK108" s="116"/>
      <c r="CQL108" s="116"/>
      <c r="CQM108" s="116"/>
      <c r="CQN108" s="116"/>
      <c r="CQO108" s="116"/>
      <c r="CQP108" s="116"/>
      <c r="CQQ108" s="116"/>
      <c r="CQR108" s="116"/>
      <c r="CQS108" s="116"/>
      <c r="CQT108" s="116"/>
      <c r="CQU108" s="116"/>
      <c r="CQV108" s="116"/>
      <c r="CQW108" s="116"/>
      <c r="CQX108" s="116"/>
      <c r="CQY108" s="116"/>
      <c r="CQZ108" s="116"/>
      <c r="CRA108" s="116"/>
      <c r="CRB108" s="116"/>
      <c r="CRC108" s="116"/>
      <c r="CRD108" s="116"/>
      <c r="CRE108" s="116"/>
      <c r="CRF108" s="116"/>
      <c r="CRG108" s="116"/>
      <c r="CRH108" s="116"/>
      <c r="CRI108" s="116"/>
      <c r="CRJ108" s="116"/>
      <c r="CRK108" s="116"/>
      <c r="CRL108" s="116"/>
      <c r="CRM108" s="116"/>
      <c r="CRN108" s="116"/>
      <c r="CRO108" s="116"/>
      <c r="CRP108" s="116"/>
      <c r="CRQ108" s="116"/>
      <c r="CRR108" s="116"/>
      <c r="CRS108" s="116"/>
      <c r="CRT108" s="116"/>
      <c r="CRU108" s="116"/>
      <c r="CRV108" s="116"/>
      <c r="CRW108" s="116"/>
      <c r="CRX108" s="116"/>
      <c r="CRY108" s="116"/>
      <c r="CRZ108" s="116"/>
      <c r="CSA108" s="116"/>
      <c r="CSB108" s="116"/>
      <c r="CSC108" s="116"/>
      <c r="CSD108" s="116"/>
      <c r="CSE108" s="116"/>
      <c r="CSF108" s="116"/>
      <c r="CSG108" s="116"/>
      <c r="CSH108" s="116"/>
      <c r="CSI108" s="116"/>
      <c r="CSJ108" s="116"/>
      <c r="CSK108" s="116"/>
      <c r="CSL108" s="116"/>
      <c r="CSM108" s="116"/>
      <c r="CSN108" s="116"/>
      <c r="CSO108" s="116"/>
      <c r="CSP108" s="116"/>
      <c r="CSQ108" s="116"/>
      <c r="CSR108" s="116"/>
      <c r="CSS108" s="116"/>
      <c r="CST108" s="116"/>
      <c r="CSU108" s="116"/>
      <c r="CSV108" s="116"/>
      <c r="CSW108" s="116"/>
      <c r="CSX108" s="116"/>
      <c r="CSY108" s="116"/>
      <c r="CSZ108" s="116"/>
      <c r="CTA108" s="116"/>
      <c r="CTB108" s="116"/>
      <c r="CTC108" s="116"/>
      <c r="CTD108" s="116"/>
      <c r="CTE108" s="116"/>
      <c r="CTF108" s="116"/>
      <c r="CTG108" s="116"/>
      <c r="CTH108" s="116"/>
      <c r="CTI108" s="116"/>
      <c r="CTJ108" s="116"/>
      <c r="CTK108" s="116"/>
      <c r="CTL108" s="116"/>
      <c r="CTM108" s="116"/>
      <c r="CTN108" s="116"/>
      <c r="CTO108" s="116"/>
      <c r="CTP108" s="116"/>
      <c r="CTQ108" s="116"/>
      <c r="CTR108" s="116"/>
      <c r="CTS108" s="116"/>
      <c r="CTT108" s="116"/>
      <c r="CTU108" s="116"/>
      <c r="CTV108" s="116"/>
      <c r="CTW108" s="116"/>
      <c r="CTX108" s="116"/>
      <c r="CTY108" s="116"/>
      <c r="CTZ108" s="116"/>
      <c r="CUA108" s="116"/>
      <c r="CUB108" s="116"/>
      <c r="CUC108" s="116"/>
      <c r="CUD108" s="116"/>
      <c r="CUE108" s="116"/>
      <c r="CUF108" s="116"/>
      <c r="CUG108" s="116"/>
      <c r="CUH108" s="116"/>
      <c r="CUI108" s="116"/>
      <c r="CUJ108" s="116"/>
      <c r="CUK108" s="116"/>
      <c r="CUL108" s="116"/>
      <c r="CUM108" s="116"/>
      <c r="CUN108" s="116"/>
      <c r="CUO108" s="116"/>
      <c r="CUP108" s="116"/>
      <c r="CUQ108" s="116"/>
      <c r="CUR108" s="116"/>
      <c r="CUS108" s="116"/>
      <c r="CUT108" s="116"/>
      <c r="CUU108" s="116"/>
      <c r="CUV108" s="116"/>
      <c r="CUW108" s="116"/>
      <c r="CUX108" s="116"/>
      <c r="CUY108" s="116"/>
      <c r="CUZ108" s="116"/>
      <c r="CVA108" s="116"/>
      <c r="CVB108" s="116"/>
      <c r="CVC108" s="116"/>
      <c r="CVD108" s="116"/>
      <c r="CVE108" s="116"/>
      <c r="CVF108" s="116"/>
      <c r="CVG108" s="116"/>
      <c r="CVH108" s="116"/>
      <c r="CVI108" s="116"/>
      <c r="CVJ108" s="116"/>
      <c r="CVK108" s="116"/>
      <c r="CVL108" s="116"/>
      <c r="CVM108" s="116"/>
      <c r="CVN108" s="116"/>
      <c r="CVO108" s="116"/>
      <c r="CVP108" s="116"/>
      <c r="CVQ108" s="116"/>
      <c r="CVR108" s="116"/>
      <c r="CVS108" s="116"/>
      <c r="CVT108" s="116"/>
      <c r="CVU108" s="116"/>
      <c r="CVV108" s="116"/>
      <c r="CVW108" s="116"/>
      <c r="CVX108" s="116"/>
      <c r="CVY108" s="116"/>
      <c r="CVZ108" s="116"/>
      <c r="CWA108" s="116"/>
      <c r="CWB108" s="116"/>
      <c r="CWC108" s="116"/>
      <c r="CWD108" s="116"/>
      <c r="CWE108" s="116"/>
      <c r="CWF108" s="116"/>
      <c r="CWG108" s="116"/>
      <c r="CWH108" s="116"/>
      <c r="CWI108" s="116"/>
      <c r="CWJ108" s="116"/>
      <c r="CWK108" s="116"/>
      <c r="CWL108" s="116"/>
      <c r="CWM108" s="116"/>
      <c r="CWN108" s="116"/>
      <c r="CWO108" s="116"/>
      <c r="CWP108" s="116"/>
      <c r="CWQ108" s="116"/>
      <c r="CWR108" s="116"/>
      <c r="CWS108" s="116"/>
      <c r="CWT108" s="116"/>
      <c r="CWU108" s="116"/>
      <c r="CWV108" s="116"/>
      <c r="CWW108" s="116"/>
      <c r="CWX108" s="116"/>
      <c r="CWY108" s="116"/>
      <c r="CWZ108" s="116"/>
      <c r="CXA108" s="116"/>
      <c r="CXB108" s="116"/>
      <c r="CXC108" s="116"/>
      <c r="CXD108" s="116"/>
      <c r="CXE108" s="116"/>
      <c r="CXF108" s="116"/>
      <c r="CXG108" s="116"/>
      <c r="CXH108" s="116"/>
      <c r="CXI108" s="116"/>
      <c r="CXJ108" s="116"/>
      <c r="CXK108" s="116"/>
      <c r="CXL108" s="116"/>
      <c r="CXM108" s="116"/>
      <c r="CXN108" s="116"/>
      <c r="CXO108" s="116"/>
      <c r="CXP108" s="116"/>
      <c r="CXQ108" s="116"/>
      <c r="CXR108" s="116"/>
      <c r="CXS108" s="116"/>
      <c r="CXT108" s="116"/>
      <c r="CXU108" s="116"/>
      <c r="CXV108" s="116"/>
      <c r="CXW108" s="116"/>
      <c r="CXX108" s="116"/>
      <c r="CXY108" s="116"/>
      <c r="CXZ108" s="116"/>
      <c r="CYA108" s="116"/>
      <c r="CYB108" s="116"/>
      <c r="CYC108" s="116"/>
      <c r="CYD108" s="116"/>
      <c r="CYE108" s="116"/>
      <c r="CYF108" s="116"/>
      <c r="CYG108" s="116"/>
      <c r="CYH108" s="116"/>
      <c r="CYI108" s="116"/>
      <c r="CYJ108" s="116"/>
      <c r="CYK108" s="116"/>
      <c r="CYL108" s="116"/>
      <c r="CYM108" s="116"/>
      <c r="CYN108" s="116"/>
      <c r="CYO108" s="116"/>
      <c r="CYP108" s="116"/>
      <c r="CYQ108" s="116"/>
      <c r="CYR108" s="116"/>
      <c r="CYS108" s="116"/>
      <c r="CYT108" s="116"/>
      <c r="CYU108" s="116"/>
      <c r="CYV108" s="116"/>
      <c r="CYW108" s="116"/>
      <c r="CYX108" s="116"/>
      <c r="CYY108" s="116"/>
      <c r="CYZ108" s="116"/>
      <c r="CZA108" s="116"/>
      <c r="CZB108" s="116"/>
      <c r="CZC108" s="116"/>
      <c r="CZD108" s="116"/>
      <c r="CZE108" s="116"/>
      <c r="CZF108" s="116"/>
      <c r="CZG108" s="116"/>
      <c r="CZH108" s="116"/>
      <c r="CZI108" s="116"/>
      <c r="CZJ108" s="116"/>
      <c r="CZK108" s="116"/>
      <c r="CZL108" s="116"/>
      <c r="CZM108" s="116"/>
      <c r="CZN108" s="116"/>
      <c r="CZO108" s="116"/>
      <c r="CZP108" s="116"/>
      <c r="CZQ108" s="116"/>
      <c r="CZR108" s="116"/>
      <c r="CZS108" s="116"/>
      <c r="CZT108" s="116"/>
      <c r="CZU108" s="116"/>
      <c r="CZV108" s="116"/>
      <c r="CZW108" s="116"/>
      <c r="CZX108" s="116"/>
      <c r="CZY108" s="116"/>
      <c r="CZZ108" s="116"/>
      <c r="DAA108" s="116"/>
      <c r="DAB108" s="116"/>
      <c r="DAC108" s="116"/>
      <c r="DAD108" s="116"/>
      <c r="DAE108" s="116"/>
      <c r="DAF108" s="116"/>
      <c r="DAG108" s="116"/>
      <c r="DAH108" s="116"/>
      <c r="DAI108" s="116"/>
      <c r="DAJ108" s="116"/>
      <c r="DAK108" s="116"/>
      <c r="DAL108" s="116"/>
      <c r="DAM108" s="116"/>
      <c r="DAN108" s="116"/>
      <c r="DAO108" s="116"/>
      <c r="DAP108" s="116"/>
      <c r="DAQ108" s="116"/>
      <c r="DAR108" s="116"/>
      <c r="DAS108" s="116"/>
      <c r="DAT108" s="116"/>
      <c r="DAU108" s="116"/>
      <c r="DAV108" s="116"/>
      <c r="DAW108" s="116"/>
      <c r="DAX108" s="116"/>
      <c r="DAY108" s="116"/>
      <c r="DAZ108" s="116"/>
      <c r="DBA108" s="116"/>
      <c r="DBB108" s="116"/>
      <c r="DBC108" s="116"/>
      <c r="DBD108" s="116"/>
      <c r="DBE108" s="116"/>
      <c r="DBF108" s="116"/>
      <c r="DBG108" s="116"/>
      <c r="DBH108" s="116"/>
      <c r="DBI108" s="116"/>
      <c r="DBJ108" s="116"/>
      <c r="DBK108" s="116"/>
      <c r="DBL108" s="116"/>
      <c r="DBM108" s="116"/>
      <c r="DBN108" s="116"/>
      <c r="DBO108" s="116"/>
      <c r="DBP108" s="116"/>
      <c r="DBQ108" s="116"/>
      <c r="DBR108" s="116"/>
      <c r="DBS108" s="116"/>
      <c r="DBT108" s="116"/>
      <c r="DBU108" s="116"/>
      <c r="DBV108" s="116"/>
      <c r="DBW108" s="116"/>
      <c r="DBX108" s="116"/>
      <c r="DBY108" s="116"/>
      <c r="DBZ108" s="116"/>
      <c r="DCA108" s="116"/>
      <c r="DCB108" s="116"/>
      <c r="DCC108" s="116"/>
      <c r="DCD108" s="116"/>
      <c r="DCE108" s="116"/>
      <c r="DCF108" s="116"/>
      <c r="DCG108" s="116"/>
      <c r="DCH108" s="116"/>
      <c r="DCI108" s="116"/>
      <c r="DCJ108" s="116"/>
      <c r="DCK108" s="116"/>
      <c r="DCL108" s="116"/>
      <c r="DCM108" s="116"/>
      <c r="DCN108" s="116"/>
      <c r="DCO108" s="116"/>
      <c r="DCP108" s="116"/>
      <c r="DCQ108" s="116"/>
      <c r="DCR108" s="116"/>
      <c r="DCS108" s="116"/>
      <c r="DCT108" s="116"/>
      <c r="DCU108" s="116"/>
      <c r="DCV108" s="116"/>
      <c r="DCW108" s="116"/>
      <c r="DCX108" s="116"/>
      <c r="DCY108" s="116"/>
      <c r="DCZ108" s="116"/>
      <c r="DDA108" s="116"/>
      <c r="DDB108" s="116"/>
      <c r="DDC108" s="116"/>
      <c r="DDD108" s="116"/>
      <c r="DDE108" s="116"/>
      <c r="DDF108" s="116"/>
      <c r="DDG108" s="116"/>
      <c r="DDH108" s="116"/>
      <c r="DDI108" s="116"/>
      <c r="DDJ108" s="116"/>
      <c r="DDK108" s="116"/>
      <c r="DDL108" s="116"/>
      <c r="DDM108" s="116"/>
      <c r="DDN108" s="116"/>
      <c r="DDO108" s="116"/>
      <c r="DDP108" s="116"/>
      <c r="DDQ108" s="116"/>
      <c r="DDR108" s="116"/>
      <c r="DDS108" s="116"/>
      <c r="DDT108" s="116"/>
      <c r="DDU108" s="116"/>
      <c r="DDV108" s="116"/>
      <c r="DDW108" s="116"/>
      <c r="DDX108" s="116"/>
      <c r="DDY108" s="116"/>
      <c r="DDZ108" s="116"/>
      <c r="DEA108" s="116"/>
      <c r="DEB108" s="116"/>
      <c r="DEC108" s="116"/>
      <c r="DED108" s="116"/>
      <c r="DEE108" s="116"/>
      <c r="DEF108" s="116"/>
      <c r="DEG108" s="116"/>
      <c r="DEH108" s="116"/>
      <c r="DEI108" s="116"/>
      <c r="DEJ108" s="116"/>
      <c r="DEK108" s="116"/>
      <c r="DEL108" s="116"/>
      <c r="DEM108" s="116"/>
      <c r="DEN108" s="116"/>
      <c r="DEO108" s="116"/>
      <c r="DEP108" s="116"/>
      <c r="DEQ108" s="116"/>
      <c r="DER108" s="116"/>
      <c r="DES108" s="116"/>
      <c r="DET108" s="116"/>
      <c r="DEU108" s="116"/>
      <c r="DEV108" s="116"/>
      <c r="DEW108" s="116"/>
      <c r="DEX108" s="116"/>
      <c r="DEY108" s="116"/>
      <c r="DEZ108" s="116"/>
      <c r="DFA108" s="116"/>
      <c r="DFB108" s="116"/>
      <c r="DFC108" s="116"/>
      <c r="DFD108" s="116"/>
      <c r="DFE108" s="116"/>
      <c r="DFF108" s="116"/>
      <c r="DFG108" s="116"/>
      <c r="DFH108" s="116"/>
      <c r="DFI108" s="116"/>
      <c r="DFJ108" s="116"/>
      <c r="DFK108" s="116"/>
      <c r="DFL108" s="116"/>
      <c r="DFM108" s="116"/>
      <c r="DFN108" s="116"/>
      <c r="DFO108" s="116"/>
      <c r="DFP108" s="116"/>
      <c r="DFQ108" s="116"/>
      <c r="DFR108" s="116"/>
      <c r="DFS108" s="116"/>
      <c r="DFT108" s="116"/>
      <c r="DFU108" s="116"/>
      <c r="DFV108" s="116"/>
      <c r="DFW108" s="116"/>
      <c r="DFX108" s="116"/>
      <c r="DFY108" s="116"/>
      <c r="DFZ108" s="116"/>
      <c r="DGA108" s="116"/>
      <c r="DGB108" s="116"/>
      <c r="DGC108" s="116"/>
      <c r="DGD108" s="116"/>
      <c r="DGE108" s="116"/>
      <c r="DGF108" s="116"/>
      <c r="DGG108" s="116"/>
      <c r="DGH108" s="116"/>
      <c r="DGI108" s="116"/>
      <c r="DGJ108" s="116"/>
      <c r="DGK108" s="116"/>
      <c r="DGL108" s="116"/>
      <c r="DGM108" s="116"/>
      <c r="DGN108" s="116"/>
      <c r="DGO108" s="116"/>
      <c r="DGP108" s="116"/>
      <c r="DGQ108" s="116"/>
      <c r="DGR108" s="116"/>
      <c r="DGS108" s="116"/>
      <c r="DGT108" s="116"/>
      <c r="DGU108" s="116"/>
      <c r="DGV108" s="116"/>
      <c r="DGW108" s="116"/>
      <c r="DGX108" s="116"/>
      <c r="DGY108" s="116"/>
      <c r="DGZ108" s="116"/>
      <c r="DHA108" s="116"/>
      <c r="DHB108" s="116"/>
      <c r="DHC108" s="116"/>
      <c r="DHD108" s="116"/>
      <c r="DHE108" s="116"/>
      <c r="DHF108" s="116"/>
      <c r="DHG108" s="116"/>
      <c r="DHH108" s="116"/>
      <c r="DHI108" s="116"/>
      <c r="DHJ108" s="116"/>
      <c r="DHK108" s="116"/>
      <c r="DHL108" s="116"/>
      <c r="DHM108" s="116"/>
      <c r="DHN108" s="116"/>
      <c r="DHO108" s="116"/>
      <c r="DHP108" s="116"/>
      <c r="DHQ108" s="116"/>
      <c r="DHR108" s="116"/>
      <c r="DHS108" s="116"/>
      <c r="DHT108" s="116"/>
      <c r="DHU108" s="116"/>
      <c r="DHV108" s="116"/>
      <c r="DHW108" s="116"/>
      <c r="DHX108" s="116"/>
      <c r="DHY108" s="116"/>
      <c r="DHZ108" s="116"/>
      <c r="DIA108" s="116"/>
      <c r="DIB108" s="116"/>
      <c r="DIC108" s="116"/>
      <c r="DID108" s="116"/>
      <c r="DIE108" s="116"/>
      <c r="DIF108" s="116"/>
      <c r="DIG108" s="116"/>
      <c r="DIH108" s="116"/>
      <c r="DII108" s="116"/>
      <c r="DIJ108" s="116"/>
      <c r="DIK108" s="116"/>
      <c r="DIL108" s="116"/>
      <c r="DIM108" s="116"/>
      <c r="DIN108" s="116"/>
      <c r="DIO108" s="116"/>
      <c r="DIP108" s="116"/>
      <c r="DIQ108" s="116"/>
      <c r="DIR108" s="116"/>
      <c r="DIS108" s="116"/>
      <c r="DIT108" s="116"/>
      <c r="DIU108" s="116"/>
      <c r="DIV108" s="116"/>
      <c r="DIW108" s="116"/>
      <c r="DIX108" s="116"/>
      <c r="DIY108" s="116"/>
      <c r="DIZ108" s="116"/>
      <c r="DJA108" s="116"/>
      <c r="DJB108" s="116"/>
      <c r="DJC108" s="116"/>
      <c r="DJD108" s="116"/>
      <c r="DJE108" s="116"/>
      <c r="DJF108" s="116"/>
      <c r="DJG108" s="116"/>
      <c r="DJH108" s="116"/>
      <c r="DJI108" s="116"/>
      <c r="DJJ108" s="116"/>
      <c r="DJK108" s="116"/>
      <c r="DJL108" s="116"/>
      <c r="DJM108" s="116"/>
      <c r="DJN108" s="116"/>
      <c r="DJO108" s="116"/>
      <c r="DJP108" s="116"/>
      <c r="DJQ108" s="116"/>
      <c r="DJR108" s="116"/>
      <c r="DJS108" s="116"/>
      <c r="DJT108" s="116"/>
      <c r="DJU108" s="116"/>
      <c r="DJV108" s="116"/>
      <c r="DJW108" s="116"/>
      <c r="DJX108" s="116"/>
      <c r="DJY108" s="116"/>
      <c r="DJZ108" s="116"/>
      <c r="DKA108" s="116"/>
      <c r="DKB108" s="116"/>
      <c r="DKC108" s="116"/>
      <c r="DKD108" s="116"/>
      <c r="DKE108" s="116"/>
      <c r="DKF108" s="116"/>
      <c r="DKG108" s="116"/>
      <c r="DKH108" s="116"/>
      <c r="DKI108" s="116"/>
      <c r="DKJ108" s="116"/>
      <c r="DKK108" s="116"/>
      <c r="DKL108" s="116"/>
      <c r="DKM108" s="116"/>
      <c r="DKN108" s="116"/>
      <c r="DKO108" s="116"/>
      <c r="DKP108" s="116"/>
      <c r="DKQ108" s="116"/>
      <c r="DKR108" s="116"/>
      <c r="DKS108" s="116"/>
      <c r="DKT108" s="116"/>
      <c r="DKU108" s="116"/>
      <c r="DKV108" s="116"/>
      <c r="DKW108" s="116"/>
      <c r="DKX108" s="116"/>
      <c r="DKY108" s="116"/>
      <c r="DKZ108" s="116"/>
      <c r="DLA108" s="116"/>
      <c r="DLB108" s="116"/>
      <c r="DLC108" s="116"/>
      <c r="DLD108" s="116"/>
      <c r="DLE108" s="116"/>
      <c r="DLF108" s="116"/>
      <c r="DLG108" s="116"/>
      <c r="DLH108" s="116"/>
      <c r="DLI108" s="116"/>
      <c r="DLJ108" s="116"/>
      <c r="DLK108" s="116"/>
      <c r="DLL108" s="116"/>
      <c r="DLM108" s="116"/>
      <c r="DLN108" s="116"/>
      <c r="DLO108" s="116"/>
      <c r="DLP108" s="116"/>
      <c r="DLQ108" s="116"/>
      <c r="DLR108" s="116"/>
      <c r="DLS108" s="116"/>
      <c r="DLT108" s="116"/>
      <c r="DLU108" s="116"/>
      <c r="DLV108" s="116"/>
      <c r="DLW108" s="116"/>
      <c r="DLX108" s="116"/>
      <c r="DLY108" s="116"/>
      <c r="DLZ108" s="116"/>
      <c r="DMA108" s="116"/>
      <c r="DMB108" s="116"/>
      <c r="DMC108" s="116"/>
      <c r="DMD108" s="116"/>
      <c r="DME108" s="116"/>
      <c r="DMF108" s="116"/>
      <c r="DMG108" s="116"/>
      <c r="DMH108" s="116"/>
      <c r="DMI108" s="116"/>
      <c r="DMJ108" s="116"/>
      <c r="DMK108" s="116"/>
      <c r="DML108" s="116"/>
      <c r="DMM108" s="116"/>
      <c r="DMN108" s="116"/>
      <c r="DMO108" s="116"/>
      <c r="DMP108" s="116"/>
      <c r="DMQ108" s="116"/>
      <c r="DMR108" s="116"/>
      <c r="DMS108" s="116"/>
      <c r="DMT108" s="116"/>
      <c r="DMU108" s="116"/>
      <c r="DMV108" s="116"/>
      <c r="DMW108" s="116"/>
      <c r="DMX108" s="116"/>
      <c r="DMY108" s="116"/>
      <c r="DMZ108" s="116"/>
      <c r="DNA108" s="116"/>
      <c r="DNB108" s="116"/>
      <c r="DNC108" s="116"/>
      <c r="DND108" s="116"/>
      <c r="DNE108" s="116"/>
      <c r="DNF108" s="116"/>
      <c r="DNG108" s="116"/>
      <c r="DNH108" s="116"/>
      <c r="DNI108" s="116"/>
      <c r="DNJ108" s="116"/>
      <c r="DNK108" s="116"/>
      <c r="DNL108" s="116"/>
      <c r="DNM108" s="116"/>
      <c r="DNN108" s="116"/>
      <c r="DNO108" s="116"/>
      <c r="DNP108" s="116"/>
      <c r="DNQ108" s="116"/>
      <c r="DNR108" s="116"/>
      <c r="DNS108" s="116"/>
      <c r="DNT108" s="116"/>
      <c r="DNU108" s="116"/>
      <c r="DNV108" s="116"/>
      <c r="DNW108" s="116"/>
      <c r="DNX108" s="116"/>
      <c r="DNY108" s="116"/>
      <c r="DNZ108" s="116"/>
      <c r="DOA108" s="116"/>
      <c r="DOB108" s="116"/>
      <c r="DOC108" s="116"/>
      <c r="DOD108" s="116"/>
      <c r="DOE108" s="116"/>
      <c r="DOF108" s="116"/>
      <c r="DOG108" s="116"/>
      <c r="DOH108" s="116"/>
      <c r="DOI108" s="116"/>
      <c r="DOJ108" s="116"/>
      <c r="DOK108" s="116"/>
      <c r="DOL108" s="116"/>
      <c r="DOM108" s="116"/>
      <c r="DON108" s="116"/>
      <c r="DOO108" s="116"/>
      <c r="DOP108" s="116"/>
      <c r="DOQ108" s="116"/>
      <c r="DOR108" s="116"/>
      <c r="DOS108" s="116"/>
      <c r="DOT108" s="116"/>
      <c r="DOU108" s="116"/>
      <c r="DOV108" s="116"/>
      <c r="DOW108" s="116"/>
      <c r="DOX108" s="116"/>
      <c r="DOY108" s="116"/>
      <c r="DOZ108" s="116"/>
      <c r="DPA108" s="116"/>
      <c r="DPB108" s="116"/>
      <c r="DPC108" s="116"/>
      <c r="DPD108" s="116"/>
      <c r="DPE108" s="116"/>
      <c r="DPF108" s="116"/>
      <c r="DPG108" s="116"/>
      <c r="DPH108" s="116"/>
      <c r="DPI108" s="116"/>
      <c r="DPJ108" s="116"/>
      <c r="DPK108" s="116"/>
      <c r="DPL108" s="116"/>
      <c r="DPM108" s="116"/>
      <c r="DPN108" s="116"/>
      <c r="DPO108" s="116"/>
      <c r="DPP108" s="116"/>
      <c r="DPQ108" s="116"/>
      <c r="DPR108" s="116"/>
      <c r="DPS108" s="116"/>
      <c r="DPT108" s="116"/>
      <c r="DPU108" s="116"/>
      <c r="DPV108" s="116"/>
      <c r="DPW108" s="116"/>
      <c r="DPX108" s="116"/>
      <c r="DPY108" s="116"/>
      <c r="DPZ108" s="116"/>
      <c r="DQA108" s="116"/>
      <c r="DQB108" s="116"/>
      <c r="DQC108" s="116"/>
      <c r="DQD108" s="116"/>
      <c r="DQE108" s="116"/>
      <c r="DQF108" s="116"/>
      <c r="DQG108" s="116"/>
      <c r="DQH108" s="116"/>
      <c r="DQI108" s="116"/>
      <c r="DQJ108" s="116"/>
      <c r="DQK108" s="116"/>
      <c r="DQL108" s="116"/>
      <c r="DQM108" s="116"/>
      <c r="DQN108" s="116"/>
      <c r="DQO108" s="116"/>
      <c r="DQP108" s="116"/>
      <c r="DQQ108" s="116"/>
      <c r="DQR108" s="116"/>
      <c r="DQS108" s="116"/>
      <c r="DQT108" s="116"/>
      <c r="DQU108" s="116"/>
      <c r="DQV108" s="116"/>
      <c r="DQW108" s="116"/>
      <c r="DQX108" s="116"/>
      <c r="DQY108" s="116"/>
      <c r="DQZ108" s="116"/>
      <c r="DRA108" s="116"/>
      <c r="DRB108" s="116"/>
      <c r="DRC108" s="116"/>
      <c r="DRD108" s="116"/>
      <c r="DRE108" s="116"/>
      <c r="DRF108" s="116"/>
      <c r="DRG108" s="116"/>
      <c r="DRH108" s="116"/>
      <c r="DRI108" s="116"/>
      <c r="DRJ108" s="116"/>
      <c r="DRK108" s="116"/>
      <c r="DRL108" s="116"/>
      <c r="DRM108" s="116"/>
      <c r="DRN108" s="116"/>
      <c r="DRO108" s="116"/>
      <c r="DRP108" s="116"/>
      <c r="DRQ108" s="116"/>
      <c r="DRR108" s="116"/>
      <c r="DRS108" s="116"/>
      <c r="DRT108" s="116"/>
      <c r="DRU108" s="116"/>
      <c r="DRV108" s="116"/>
      <c r="DRW108" s="116"/>
      <c r="DRX108" s="116"/>
      <c r="DRY108" s="116"/>
      <c r="DRZ108" s="116"/>
      <c r="DSA108" s="116"/>
      <c r="DSB108" s="116"/>
      <c r="DSC108" s="116"/>
      <c r="DSD108" s="116"/>
      <c r="DSE108" s="116"/>
      <c r="DSF108" s="116"/>
      <c r="DSG108" s="116"/>
      <c r="DSH108" s="116"/>
      <c r="DSI108" s="116"/>
      <c r="DSJ108" s="116"/>
      <c r="DSK108" s="116"/>
      <c r="DSL108" s="116"/>
      <c r="DSM108" s="116"/>
      <c r="DSN108" s="116"/>
      <c r="DSO108" s="116"/>
      <c r="DSP108" s="116"/>
      <c r="DSQ108" s="116"/>
      <c r="DSR108" s="116"/>
      <c r="DSS108" s="116"/>
      <c r="DST108" s="116"/>
      <c r="DSU108" s="116"/>
      <c r="DSV108" s="116"/>
      <c r="DSW108" s="116"/>
      <c r="DSX108" s="116"/>
      <c r="DSY108" s="116"/>
      <c r="DSZ108" s="116"/>
      <c r="DTA108" s="116"/>
      <c r="DTB108" s="116"/>
      <c r="DTC108" s="116"/>
      <c r="DTD108" s="116"/>
      <c r="DTE108" s="116"/>
      <c r="DTF108" s="116"/>
      <c r="DTG108" s="116"/>
      <c r="DTH108" s="116"/>
      <c r="DTI108" s="116"/>
      <c r="DTJ108" s="116"/>
      <c r="DTK108" s="116"/>
      <c r="DTL108" s="116"/>
      <c r="DTM108" s="116"/>
      <c r="DTN108" s="116"/>
      <c r="DTO108" s="116"/>
      <c r="DTP108" s="116"/>
      <c r="DTQ108" s="116"/>
      <c r="DTR108" s="116"/>
      <c r="DTS108" s="116"/>
      <c r="DTT108" s="116"/>
      <c r="DTU108" s="116"/>
      <c r="DTV108" s="116"/>
      <c r="DTW108" s="116"/>
      <c r="DTX108" s="116"/>
      <c r="DTY108" s="116"/>
      <c r="DTZ108" s="116"/>
      <c r="DUA108" s="116"/>
      <c r="DUB108" s="116"/>
      <c r="DUC108" s="116"/>
      <c r="DUD108" s="116"/>
      <c r="DUE108" s="116"/>
      <c r="DUF108" s="116"/>
      <c r="DUG108" s="116"/>
      <c r="DUH108" s="116"/>
      <c r="DUI108" s="116"/>
      <c r="DUJ108" s="116"/>
      <c r="DUK108" s="116"/>
      <c r="DUL108" s="116"/>
      <c r="DUM108" s="116"/>
      <c r="DUN108" s="116"/>
      <c r="DUO108" s="116"/>
      <c r="DUP108" s="116"/>
      <c r="DUQ108" s="116"/>
      <c r="DUR108" s="116"/>
      <c r="DUS108" s="116"/>
      <c r="DUT108" s="116"/>
      <c r="DUU108" s="116"/>
      <c r="DUV108" s="116"/>
      <c r="DUW108" s="116"/>
      <c r="DUX108" s="116"/>
      <c r="DUY108" s="116"/>
      <c r="DUZ108" s="116"/>
      <c r="DVA108" s="116"/>
      <c r="DVB108" s="116"/>
      <c r="DVC108" s="116"/>
      <c r="DVD108" s="116"/>
      <c r="DVE108" s="116"/>
      <c r="DVF108" s="116"/>
      <c r="DVG108" s="116"/>
      <c r="DVH108" s="116"/>
      <c r="DVI108" s="116"/>
      <c r="DVJ108" s="116"/>
      <c r="DVK108" s="116"/>
      <c r="DVL108" s="116"/>
      <c r="DVM108" s="116"/>
      <c r="DVN108" s="116"/>
      <c r="DVO108" s="116"/>
      <c r="DVP108" s="116"/>
      <c r="DVQ108" s="116"/>
      <c r="DVR108" s="116"/>
      <c r="DVS108" s="116"/>
      <c r="DVT108" s="116"/>
      <c r="DVU108" s="116"/>
      <c r="DVV108" s="116"/>
      <c r="DVW108" s="116"/>
      <c r="DVX108" s="116"/>
      <c r="DVY108" s="116"/>
      <c r="DVZ108" s="116"/>
      <c r="DWA108" s="116"/>
      <c r="DWB108" s="116"/>
      <c r="DWC108" s="116"/>
      <c r="DWD108" s="116"/>
      <c r="DWE108" s="116"/>
      <c r="DWF108" s="116"/>
      <c r="DWG108" s="116"/>
      <c r="DWH108" s="116"/>
      <c r="DWI108" s="116"/>
      <c r="DWJ108" s="116"/>
      <c r="DWK108" s="116"/>
      <c r="DWL108" s="116"/>
      <c r="DWM108" s="116"/>
      <c r="DWN108" s="116"/>
      <c r="DWO108" s="116"/>
      <c r="DWP108" s="116"/>
      <c r="DWQ108" s="116"/>
      <c r="DWR108" s="116"/>
      <c r="DWS108" s="116"/>
      <c r="DWT108" s="116"/>
      <c r="DWU108" s="116"/>
      <c r="DWV108" s="116"/>
      <c r="DWW108" s="116"/>
      <c r="DWX108" s="116"/>
      <c r="DWY108" s="116"/>
      <c r="DWZ108" s="116"/>
      <c r="DXA108" s="116"/>
      <c r="DXB108" s="116"/>
      <c r="DXC108" s="116"/>
      <c r="DXD108" s="116"/>
      <c r="DXE108" s="116"/>
      <c r="DXF108" s="116"/>
      <c r="DXG108" s="116"/>
      <c r="DXH108" s="116"/>
      <c r="DXI108" s="116"/>
      <c r="DXJ108" s="116"/>
      <c r="DXK108" s="116"/>
      <c r="DXL108" s="116"/>
      <c r="DXM108" s="116"/>
      <c r="DXN108" s="116"/>
      <c r="DXO108" s="116"/>
      <c r="DXP108" s="116"/>
      <c r="DXQ108" s="116"/>
      <c r="DXR108" s="116"/>
      <c r="DXS108" s="116"/>
      <c r="DXT108" s="116"/>
      <c r="DXU108" s="116"/>
      <c r="DXV108" s="116"/>
      <c r="DXW108" s="116"/>
      <c r="DXX108" s="116"/>
      <c r="DXY108" s="116"/>
      <c r="DXZ108" s="116"/>
      <c r="DYA108" s="116"/>
      <c r="DYB108" s="116"/>
      <c r="DYC108" s="116"/>
      <c r="DYD108" s="116"/>
      <c r="DYE108" s="116"/>
      <c r="DYF108" s="116"/>
      <c r="DYG108" s="116"/>
      <c r="DYH108" s="116"/>
      <c r="DYI108" s="116"/>
      <c r="DYJ108" s="116"/>
      <c r="DYK108" s="116"/>
      <c r="DYL108" s="116"/>
      <c r="DYM108" s="116"/>
      <c r="DYN108" s="116"/>
      <c r="DYO108" s="116"/>
      <c r="DYP108" s="116"/>
      <c r="DYQ108" s="116"/>
      <c r="DYR108" s="116"/>
      <c r="DYS108" s="116"/>
      <c r="DYT108" s="116"/>
      <c r="DYU108" s="116"/>
      <c r="DYV108" s="116"/>
      <c r="DYW108" s="116"/>
      <c r="DYX108" s="116"/>
      <c r="DYY108" s="116"/>
      <c r="DYZ108" s="116"/>
      <c r="DZA108" s="116"/>
      <c r="DZB108" s="116"/>
      <c r="DZC108" s="116"/>
      <c r="DZD108" s="116"/>
      <c r="DZE108" s="116"/>
      <c r="DZF108" s="116"/>
      <c r="DZG108" s="116"/>
      <c r="DZH108" s="116"/>
      <c r="DZI108" s="116"/>
      <c r="DZJ108" s="116"/>
      <c r="DZK108" s="116"/>
      <c r="DZL108" s="116"/>
      <c r="DZM108" s="116"/>
      <c r="DZN108" s="116"/>
      <c r="DZO108" s="116"/>
      <c r="DZP108" s="116"/>
      <c r="DZQ108" s="116"/>
      <c r="DZR108" s="116"/>
      <c r="DZS108" s="116"/>
      <c r="DZT108" s="116"/>
      <c r="DZU108" s="116"/>
      <c r="DZV108" s="116"/>
      <c r="DZW108" s="116"/>
      <c r="DZX108" s="116"/>
      <c r="DZY108" s="116"/>
      <c r="DZZ108" s="116"/>
      <c r="EAA108" s="116"/>
      <c r="EAB108" s="116"/>
      <c r="EAC108" s="116"/>
      <c r="EAD108" s="116"/>
      <c r="EAE108" s="116"/>
      <c r="EAF108" s="116"/>
      <c r="EAG108" s="116"/>
      <c r="EAH108" s="116"/>
      <c r="EAI108" s="116"/>
      <c r="EAJ108" s="116"/>
      <c r="EAK108" s="116"/>
      <c r="EAL108" s="116"/>
      <c r="EAM108" s="116"/>
      <c r="EAN108" s="116"/>
      <c r="EAO108" s="116"/>
      <c r="EAP108" s="116"/>
      <c r="EAQ108" s="116"/>
      <c r="EAR108" s="116"/>
      <c r="EAS108" s="116"/>
      <c r="EAT108" s="116"/>
      <c r="EAU108" s="116"/>
      <c r="EAV108" s="116"/>
      <c r="EAW108" s="116"/>
      <c r="EAX108" s="116"/>
      <c r="EAY108" s="116"/>
      <c r="EAZ108" s="116"/>
      <c r="EBA108" s="116"/>
      <c r="EBB108" s="116"/>
      <c r="EBC108" s="116"/>
      <c r="EBD108" s="116"/>
      <c r="EBE108" s="116"/>
      <c r="EBF108" s="116"/>
      <c r="EBG108" s="116"/>
      <c r="EBH108" s="116"/>
      <c r="EBI108" s="116"/>
      <c r="EBJ108" s="116"/>
      <c r="EBK108" s="116"/>
      <c r="EBL108" s="116"/>
      <c r="EBM108" s="116"/>
      <c r="EBN108" s="116"/>
      <c r="EBO108" s="116"/>
      <c r="EBP108" s="116"/>
      <c r="EBQ108" s="116"/>
      <c r="EBR108" s="116"/>
      <c r="EBS108" s="116"/>
      <c r="EBT108" s="116"/>
      <c r="EBU108" s="116"/>
      <c r="EBV108" s="116"/>
      <c r="EBW108" s="116"/>
      <c r="EBX108" s="116"/>
      <c r="EBY108" s="116"/>
      <c r="EBZ108" s="116"/>
      <c r="ECA108" s="116"/>
      <c r="ECB108" s="116"/>
      <c r="ECC108" s="116"/>
      <c r="ECD108" s="116"/>
      <c r="ECE108" s="116"/>
      <c r="ECF108" s="116"/>
      <c r="ECG108" s="116"/>
      <c r="ECH108" s="116"/>
      <c r="ECI108" s="116"/>
      <c r="ECJ108" s="116"/>
      <c r="ECK108" s="116"/>
      <c r="ECL108" s="116"/>
      <c r="ECM108" s="116"/>
      <c r="ECN108" s="116"/>
      <c r="ECO108" s="116"/>
      <c r="ECP108" s="116"/>
      <c r="ECQ108" s="116"/>
      <c r="ECR108" s="116"/>
      <c r="ECS108" s="116"/>
      <c r="ECT108" s="116"/>
      <c r="ECU108" s="116"/>
      <c r="ECV108" s="116"/>
      <c r="ECW108" s="116"/>
      <c r="ECX108" s="116"/>
      <c r="ECY108" s="116"/>
      <c r="ECZ108" s="116"/>
      <c r="EDA108" s="116"/>
      <c r="EDB108" s="116"/>
      <c r="EDC108" s="116"/>
      <c r="EDD108" s="116"/>
      <c r="EDE108" s="116"/>
      <c r="EDF108" s="116"/>
      <c r="EDG108" s="116"/>
      <c r="EDH108" s="116"/>
      <c r="EDI108" s="116"/>
      <c r="EDJ108" s="116"/>
      <c r="EDK108" s="116"/>
      <c r="EDL108" s="116"/>
      <c r="EDM108" s="116"/>
      <c r="EDN108" s="116"/>
      <c r="EDO108" s="116"/>
      <c r="EDP108" s="116"/>
      <c r="EDQ108" s="116"/>
      <c r="EDR108" s="116"/>
      <c r="EDS108" s="116"/>
      <c r="EDT108" s="116"/>
      <c r="EDU108" s="116"/>
      <c r="EDV108" s="116"/>
      <c r="EDW108" s="116"/>
      <c r="EDX108" s="116"/>
      <c r="EDY108" s="116"/>
      <c r="EDZ108" s="116"/>
      <c r="EEA108" s="116"/>
      <c r="EEB108" s="116"/>
      <c r="EEC108" s="116"/>
      <c r="EED108" s="116"/>
      <c r="EEE108" s="116"/>
      <c r="EEF108" s="116"/>
      <c r="EEG108" s="116"/>
      <c r="EEH108" s="116"/>
      <c r="EEI108" s="116"/>
      <c r="EEJ108" s="116"/>
      <c r="EEK108" s="116"/>
      <c r="EEL108" s="116"/>
      <c r="EEM108" s="116"/>
      <c r="EEN108" s="116"/>
      <c r="EEO108" s="116"/>
      <c r="EEP108" s="116"/>
      <c r="EEQ108" s="116"/>
      <c r="EER108" s="116"/>
      <c r="EES108" s="116"/>
      <c r="EET108" s="116"/>
      <c r="EEU108" s="116"/>
      <c r="EEV108" s="116"/>
      <c r="EEW108" s="116"/>
      <c r="EEX108" s="116"/>
      <c r="EEY108" s="116"/>
      <c r="EEZ108" s="116"/>
      <c r="EFA108" s="116"/>
      <c r="EFB108" s="116"/>
      <c r="EFC108" s="116"/>
      <c r="EFD108" s="116"/>
      <c r="EFE108" s="116"/>
      <c r="EFF108" s="116"/>
      <c r="EFG108" s="116"/>
      <c r="EFH108" s="116"/>
      <c r="EFI108" s="116"/>
      <c r="EFJ108" s="116"/>
      <c r="EFK108" s="116"/>
      <c r="EFL108" s="116"/>
      <c r="EFM108" s="116"/>
      <c r="EFN108" s="116"/>
      <c r="EFO108" s="116"/>
      <c r="EFP108" s="116"/>
      <c r="EFQ108" s="116"/>
      <c r="EFR108" s="116"/>
      <c r="EFS108" s="116"/>
      <c r="EFT108" s="116"/>
      <c r="EFU108" s="116"/>
      <c r="EFV108" s="116"/>
      <c r="EFW108" s="116"/>
      <c r="EFX108" s="116"/>
      <c r="EFY108" s="116"/>
      <c r="EFZ108" s="116"/>
      <c r="EGA108" s="116"/>
      <c r="EGB108" s="116"/>
      <c r="EGC108" s="116"/>
      <c r="EGD108" s="116"/>
      <c r="EGE108" s="116"/>
      <c r="EGF108" s="116"/>
      <c r="EGG108" s="116"/>
      <c r="EGH108" s="116"/>
      <c r="EGI108" s="116"/>
      <c r="EGJ108" s="116"/>
      <c r="EGK108" s="116"/>
      <c r="EGL108" s="116"/>
      <c r="EGM108" s="116"/>
      <c r="EGN108" s="116"/>
      <c r="EGO108" s="116"/>
      <c r="EGP108" s="116"/>
      <c r="EGQ108" s="116"/>
      <c r="EGR108" s="116"/>
      <c r="EGS108" s="116"/>
      <c r="EGT108" s="116"/>
      <c r="EGU108" s="116"/>
      <c r="EGV108" s="116"/>
      <c r="EGW108" s="116"/>
      <c r="EGX108" s="116"/>
      <c r="EGY108" s="116"/>
      <c r="EGZ108" s="116"/>
      <c r="EHA108" s="116"/>
      <c r="EHB108" s="116"/>
      <c r="EHC108" s="116"/>
      <c r="EHD108" s="116"/>
      <c r="EHE108" s="116"/>
      <c r="EHF108" s="116"/>
      <c r="EHG108" s="116"/>
      <c r="EHH108" s="116"/>
      <c r="EHI108" s="116"/>
      <c r="EHJ108" s="116"/>
      <c r="EHK108" s="116"/>
      <c r="EHL108" s="116"/>
      <c r="EHM108" s="116"/>
      <c r="EHN108" s="116"/>
      <c r="EHO108" s="116"/>
      <c r="EHP108" s="116"/>
      <c r="EHQ108" s="116"/>
      <c r="EHR108" s="116"/>
      <c r="EHS108" s="116"/>
      <c r="EHT108" s="116"/>
      <c r="EHU108" s="116"/>
      <c r="EHV108" s="116"/>
      <c r="EHW108" s="116"/>
      <c r="EHX108" s="116"/>
      <c r="EHY108" s="116"/>
      <c r="EHZ108" s="116"/>
      <c r="EIA108" s="116"/>
      <c r="EIB108" s="116"/>
      <c r="EIC108" s="116"/>
      <c r="EID108" s="116"/>
      <c r="EIE108" s="116"/>
      <c r="EIF108" s="116"/>
      <c r="EIG108" s="116"/>
      <c r="EIH108" s="116"/>
      <c r="EII108" s="116"/>
      <c r="EIJ108" s="116"/>
      <c r="EIK108" s="116"/>
      <c r="EIL108" s="116"/>
      <c r="EIM108" s="116"/>
      <c r="EIN108" s="116"/>
      <c r="EIO108" s="116"/>
      <c r="EIP108" s="116"/>
      <c r="EIQ108" s="116"/>
      <c r="EIR108" s="116"/>
      <c r="EIS108" s="116"/>
      <c r="EIT108" s="116"/>
      <c r="EIU108" s="116"/>
      <c r="EIV108" s="116"/>
      <c r="EIW108" s="116"/>
      <c r="EIX108" s="116"/>
      <c r="EIY108" s="116"/>
      <c r="EIZ108" s="116"/>
      <c r="EJA108" s="116"/>
      <c r="EJB108" s="116"/>
      <c r="EJC108" s="116"/>
      <c r="EJD108" s="116"/>
      <c r="EJE108" s="116"/>
      <c r="EJF108" s="116"/>
      <c r="EJG108" s="116"/>
      <c r="EJH108" s="116"/>
      <c r="EJI108" s="116"/>
      <c r="EJJ108" s="116"/>
      <c r="EJK108" s="116"/>
      <c r="EJL108" s="116"/>
      <c r="EJM108" s="116"/>
      <c r="EJN108" s="116"/>
      <c r="EJO108" s="116"/>
      <c r="EJP108" s="116"/>
      <c r="EJQ108" s="116"/>
      <c r="EJR108" s="116"/>
      <c r="EJS108" s="116"/>
      <c r="EJT108" s="116"/>
      <c r="EJU108" s="116"/>
      <c r="EJV108" s="116"/>
      <c r="EJW108" s="116"/>
      <c r="EJX108" s="116"/>
      <c r="EJY108" s="116"/>
      <c r="EJZ108" s="116"/>
      <c r="EKA108" s="116"/>
      <c r="EKB108" s="116"/>
      <c r="EKC108" s="116"/>
      <c r="EKD108" s="116"/>
      <c r="EKE108" s="116"/>
      <c r="EKF108" s="116"/>
      <c r="EKG108" s="116"/>
      <c r="EKH108" s="116"/>
      <c r="EKI108" s="116"/>
      <c r="EKJ108" s="116"/>
      <c r="EKK108" s="116"/>
      <c r="EKL108" s="116"/>
      <c r="EKM108" s="116"/>
      <c r="EKN108" s="116"/>
      <c r="EKO108" s="116"/>
      <c r="EKP108" s="116"/>
      <c r="EKQ108" s="116"/>
      <c r="EKR108" s="116"/>
      <c r="EKS108" s="116"/>
      <c r="EKT108" s="116"/>
      <c r="EKU108" s="116"/>
      <c r="EKV108" s="116"/>
      <c r="EKW108" s="116"/>
      <c r="EKX108" s="116"/>
      <c r="EKY108" s="116"/>
      <c r="EKZ108" s="116"/>
      <c r="ELA108" s="116"/>
      <c r="ELB108" s="116"/>
      <c r="ELC108" s="116"/>
      <c r="ELD108" s="116"/>
      <c r="ELE108" s="116"/>
      <c r="ELF108" s="116"/>
      <c r="ELG108" s="116"/>
      <c r="ELH108" s="116"/>
      <c r="ELI108" s="116"/>
      <c r="ELJ108" s="116"/>
      <c r="ELK108" s="116"/>
      <c r="ELL108" s="116"/>
      <c r="ELM108" s="116"/>
      <c r="ELN108" s="116"/>
      <c r="ELO108" s="116"/>
      <c r="ELP108" s="116"/>
      <c r="ELQ108" s="116"/>
      <c r="ELR108" s="116"/>
      <c r="ELS108" s="116"/>
      <c r="ELT108" s="116"/>
      <c r="ELU108" s="116"/>
      <c r="ELV108" s="116"/>
      <c r="ELW108" s="116"/>
      <c r="ELX108" s="116"/>
      <c r="ELY108" s="116"/>
      <c r="ELZ108" s="116"/>
      <c r="EMA108" s="116"/>
      <c r="EMB108" s="116"/>
      <c r="EMC108" s="116"/>
      <c r="EMD108" s="116"/>
      <c r="EME108" s="116"/>
      <c r="EMF108" s="116"/>
      <c r="EMG108" s="116"/>
      <c r="EMH108" s="116"/>
      <c r="EMI108" s="116"/>
      <c r="EMJ108" s="116"/>
      <c r="EMK108" s="116"/>
      <c r="EML108" s="116"/>
      <c r="EMM108" s="116"/>
      <c r="EMN108" s="116"/>
      <c r="EMO108" s="116"/>
      <c r="EMP108" s="116"/>
      <c r="EMQ108" s="116"/>
      <c r="EMR108" s="116"/>
      <c r="EMS108" s="116"/>
      <c r="EMT108" s="116"/>
      <c r="EMU108" s="116"/>
      <c r="EMV108" s="116"/>
      <c r="EMW108" s="116"/>
      <c r="EMX108" s="116"/>
      <c r="EMY108" s="116"/>
      <c r="EMZ108" s="116"/>
      <c r="ENA108" s="116"/>
      <c r="ENB108" s="116"/>
      <c r="ENC108" s="116"/>
      <c r="END108" s="116"/>
      <c r="ENE108" s="116"/>
      <c r="ENF108" s="116"/>
      <c r="ENG108" s="116"/>
      <c r="ENH108" s="116"/>
      <c r="ENI108" s="116"/>
      <c r="ENJ108" s="116"/>
      <c r="ENK108" s="116"/>
      <c r="ENL108" s="116"/>
      <c r="ENM108" s="116"/>
      <c r="ENN108" s="116"/>
      <c r="ENO108" s="116"/>
      <c r="ENP108" s="116"/>
      <c r="ENQ108" s="116"/>
      <c r="ENR108" s="116"/>
      <c r="ENS108" s="116"/>
      <c r="ENT108" s="116"/>
      <c r="ENU108" s="116"/>
      <c r="ENV108" s="116"/>
      <c r="ENW108" s="116"/>
      <c r="ENX108" s="116"/>
      <c r="ENY108" s="116"/>
      <c r="ENZ108" s="116"/>
      <c r="EOA108" s="116"/>
      <c r="EOB108" s="116"/>
      <c r="EOC108" s="116"/>
      <c r="EOD108" s="116"/>
      <c r="EOE108" s="116"/>
      <c r="EOF108" s="116"/>
      <c r="EOG108" s="116"/>
      <c r="EOH108" s="116"/>
      <c r="EOI108" s="116"/>
      <c r="EOJ108" s="116"/>
      <c r="EOK108" s="116"/>
      <c r="EOL108" s="116"/>
      <c r="EOM108" s="116"/>
      <c r="EON108" s="116"/>
      <c r="EOO108" s="116"/>
      <c r="EOP108" s="116"/>
      <c r="EOQ108" s="116"/>
      <c r="EOR108" s="116"/>
      <c r="EOS108" s="116"/>
      <c r="EOT108" s="116"/>
      <c r="EOU108" s="116"/>
      <c r="EOV108" s="116"/>
      <c r="EOW108" s="116"/>
      <c r="EOX108" s="116"/>
      <c r="EOY108" s="116"/>
      <c r="EOZ108" s="116"/>
      <c r="EPA108" s="116"/>
      <c r="EPB108" s="116"/>
      <c r="EPC108" s="116"/>
      <c r="EPD108" s="116"/>
      <c r="EPE108" s="116"/>
      <c r="EPF108" s="116"/>
      <c r="EPG108" s="116"/>
      <c r="EPH108" s="116"/>
      <c r="EPI108" s="116"/>
      <c r="EPJ108" s="116"/>
      <c r="EPK108" s="116"/>
      <c r="EPL108" s="116"/>
      <c r="EPM108" s="116"/>
      <c r="EPN108" s="116"/>
      <c r="EPO108" s="116"/>
      <c r="EPP108" s="116"/>
      <c r="EPQ108" s="116"/>
      <c r="EPR108" s="116"/>
      <c r="EPS108" s="116"/>
      <c r="EPT108" s="116"/>
      <c r="EPU108" s="116"/>
      <c r="EPV108" s="116"/>
      <c r="EPW108" s="116"/>
      <c r="EPX108" s="116"/>
      <c r="EPY108" s="116"/>
      <c r="EPZ108" s="116"/>
      <c r="EQA108" s="116"/>
      <c r="EQB108" s="116"/>
      <c r="EQC108" s="116"/>
      <c r="EQD108" s="116"/>
      <c r="EQE108" s="116"/>
      <c r="EQF108" s="116"/>
      <c r="EQG108" s="116"/>
      <c r="EQH108" s="116"/>
      <c r="EQI108" s="116"/>
      <c r="EQJ108" s="116"/>
      <c r="EQK108" s="116"/>
      <c r="EQL108" s="116"/>
      <c r="EQM108" s="116"/>
      <c r="EQN108" s="116"/>
      <c r="EQO108" s="116"/>
      <c r="EQP108" s="116"/>
      <c r="EQQ108" s="116"/>
      <c r="EQR108" s="116"/>
      <c r="EQS108" s="116"/>
      <c r="EQT108" s="116"/>
      <c r="EQU108" s="116"/>
      <c r="EQV108" s="116"/>
      <c r="EQW108" s="116"/>
      <c r="EQX108" s="116"/>
      <c r="EQY108" s="116"/>
      <c r="EQZ108" s="116"/>
      <c r="ERA108" s="116"/>
      <c r="ERB108" s="116"/>
      <c r="ERC108" s="116"/>
      <c r="ERD108" s="116"/>
      <c r="ERE108" s="116"/>
      <c r="ERF108" s="116"/>
      <c r="ERG108" s="116"/>
      <c r="ERH108" s="116"/>
      <c r="ERI108" s="116"/>
      <c r="ERJ108" s="116"/>
      <c r="ERK108" s="116"/>
      <c r="ERL108" s="116"/>
      <c r="ERM108" s="116"/>
      <c r="ERN108" s="116"/>
      <c r="ERO108" s="116"/>
      <c r="ERP108" s="116"/>
      <c r="ERQ108" s="116"/>
      <c r="ERR108" s="116"/>
      <c r="ERS108" s="116"/>
      <c r="ERT108" s="116"/>
      <c r="ERU108" s="116"/>
      <c r="ERV108" s="116"/>
      <c r="ERW108" s="116"/>
      <c r="ERX108" s="116"/>
      <c r="ERY108" s="116"/>
      <c r="ERZ108" s="116"/>
      <c r="ESA108" s="116"/>
      <c r="ESB108" s="116"/>
      <c r="ESC108" s="116"/>
      <c r="ESD108" s="116"/>
      <c r="ESE108" s="116"/>
      <c r="ESF108" s="116"/>
      <c r="ESG108" s="116"/>
      <c r="ESH108" s="116"/>
      <c r="ESI108" s="116"/>
      <c r="ESJ108" s="116"/>
      <c r="ESK108" s="116"/>
      <c r="ESL108" s="116"/>
      <c r="ESM108" s="116"/>
      <c r="ESN108" s="116"/>
      <c r="ESO108" s="116"/>
      <c r="ESP108" s="116"/>
      <c r="ESQ108" s="116"/>
      <c r="ESR108" s="116"/>
      <c r="ESS108" s="116"/>
      <c r="EST108" s="116"/>
      <c r="ESU108" s="116"/>
      <c r="ESV108" s="116"/>
      <c r="ESW108" s="116"/>
      <c r="ESX108" s="116"/>
      <c r="ESY108" s="116"/>
      <c r="ESZ108" s="116"/>
      <c r="ETA108" s="116"/>
      <c r="ETB108" s="116"/>
      <c r="ETC108" s="116"/>
      <c r="ETD108" s="116"/>
      <c r="ETE108" s="116"/>
      <c r="ETF108" s="116"/>
      <c r="ETG108" s="116"/>
      <c r="ETH108" s="116"/>
      <c r="ETI108" s="116"/>
      <c r="ETJ108" s="116"/>
      <c r="ETK108" s="116"/>
      <c r="ETL108" s="116"/>
      <c r="ETM108" s="116"/>
      <c r="ETN108" s="116"/>
      <c r="ETO108" s="116"/>
      <c r="ETP108" s="116"/>
      <c r="ETQ108" s="116"/>
      <c r="ETR108" s="116"/>
      <c r="ETS108" s="116"/>
      <c r="ETT108" s="116"/>
      <c r="ETU108" s="116"/>
      <c r="ETV108" s="116"/>
      <c r="ETW108" s="116"/>
      <c r="ETX108" s="116"/>
      <c r="ETY108" s="116"/>
      <c r="ETZ108" s="116"/>
      <c r="EUA108" s="116"/>
      <c r="EUB108" s="116"/>
      <c r="EUC108" s="116"/>
      <c r="EUD108" s="116"/>
      <c r="EUE108" s="116"/>
      <c r="EUF108" s="116"/>
      <c r="EUG108" s="116"/>
      <c r="EUH108" s="116"/>
      <c r="EUI108" s="116"/>
      <c r="EUJ108" s="116"/>
      <c r="EUK108" s="116"/>
      <c r="EUL108" s="116"/>
      <c r="EUM108" s="116"/>
      <c r="EUN108" s="116"/>
      <c r="EUO108" s="116"/>
      <c r="EUP108" s="116"/>
      <c r="EUQ108" s="116"/>
      <c r="EUR108" s="116"/>
      <c r="EUS108" s="116"/>
      <c r="EUT108" s="116"/>
      <c r="EUU108" s="116"/>
      <c r="EUV108" s="116"/>
      <c r="EUW108" s="116"/>
      <c r="EUX108" s="116"/>
      <c r="EUY108" s="116"/>
      <c r="EUZ108" s="116"/>
      <c r="EVA108" s="116"/>
      <c r="EVB108" s="116"/>
      <c r="EVC108" s="116"/>
      <c r="EVD108" s="116"/>
      <c r="EVE108" s="116"/>
      <c r="EVF108" s="116"/>
      <c r="EVG108" s="116"/>
      <c r="EVH108" s="116"/>
      <c r="EVI108" s="116"/>
      <c r="EVJ108" s="116"/>
      <c r="EVK108" s="116"/>
      <c r="EVL108" s="116"/>
      <c r="EVM108" s="116"/>
      <c r="EVN108" s="116"/>
      <c r="EVO108" s="116"/>
      <c r="EVP108" s="116"/>
      <c r="EVQ108" s="116"/>
      <c r="EVR108" s="116"/>
      <c r="EVS108" s="116"/>
      <c r="EVT108" s="116"/>
      <c r="EVU108" s="116"/>
      <c r="EVV108" s="116"/>
      <c r="EVW108" s="116"/>
      <c r="EVX108" s="116"/>
      <c r="EVY108" s="116"/>
      <c r="EVZ108" s="116"/>
      <c r="EWA108" s="116"/>
      <c r="EWB108" s="116"/>
      <c r="EWC108" s="116"/>
      <c r="EWD108" s="116"/>
      <c r="EWE108" s="116"/>
      <c r="EWF108" s="116"/>
      <c r="EWG108" s="116"/>
      <c r="EWH108" s="116"/>
      <c r="EWI108" s="116"/>
      <c r="EWJ108" s="116"/>
      <c r="EWK108" s="116"/>
      <c r="EWL108" s="116"/>
      <c r="EWM108" s="116"/>
      <c r="EWN108" s="116"/>
      <c r="EWO108" s="116"/>
      <c r="EWP108" s="116"/>
      <c r="EWQ108" s="116"/>
      <c r="EWR108" s="116"/>
      <c r="EWS108" s="116"/>
      <c r="EWT108" s="116"/>
      <c r="EWU108" s="116"/>
      <c r="EWV108" s="116"/>
      <c r="EWW108" s="116"/>
      <c r="EWX108" s="116"/>
      <c r="EWY108" s="116"/>
      <c r="EWZ108" s="116"/>
      <c r="EXA108" s="116"/>
      <c r="EXB108" s="116"/>
      <c r="EXC108" s="116"/>
      <c r="EXD108" s="116"/>
      <c r="EXE108" s="116"/>
      <c r="EXF108" s="116"/>
      <c r="EXG108" s="116"/>
      <c r="EXH108" s="116"/>
      <c r="EXI108" s="116"/>
      <c r="EXJ108" s="116"/>
      <c r="EXK108" s="116"/>
      <c r="EXL108" s="116"/>
      <c r="EXM108" s="116"/>
      <c r="EXN108" s="116"/>
      <c r="EXO108" s="116"/>
      <c r="EXP108" s="116"/>
      <c r="EXQ108" s="116"/>
      <c r="EXR108" s="116"/>
      <c r="EXS108" s="116"/>
      <c r="EXT108" s="116"/>
      <c r="EXU108" s="116"/>
      <c r="EXV108" s="116"/>
      <c r="EXW108" s="116"/>
      <c r="EXX108" s="116"/>
      <c r="EXY108" s="116"/>
      <c r="EXZ108" s="116"/>
      <c r="EYA108" s="116"/>
      <c r="EYB108" s="116"/>
      <c r="EYC108" s="116"/>
      <c r="EYD108" s="116"/>
      <c r="EYE108" s="116"/>
      <c r="EYF108" s="116"/>
      <c r="EYG108" s="116"/>
      <c r="EYH108" s="116"/>
      <c r="EYI108" s="116"/>
      <c r="EYJ108" s="116"/>
      <c r="EYK108" s="116"/>
      <c r="EYL108" s="116"/>
      <c r="EYM108" s="116"/>
      <c r="EYN108" s="116"/>
      <c r="EYO108" s="116"/>
      <c r="EYP108" s="116"/>
      <c r="EYQ108" s="116"/>
      <c r="EYR108" s="116"/>
      <c r="EYS108" s="116"/>
      <c r="EYT108" s="116"/>
      <c r="EYU108" s="116"/>
      <c r="EYV108" s="116"/>
      <c r="EYW108" s="116"/>
      <c r="EYX108" s="116"/>
      <c r="EYY108" s="116"/>
      <c r="EYZ108" s="116"/>
      <c r="EZA108" s="116"/>
      <c r="EZB108" s="116"/>
      <c r="EZC108" s="116"/>
      <c r="EZD108" s="116"/>
      <c r="EZE108" s="116"/>
      <c r="EZF108" s="116"/>
      <c r="EZG108" s="116"/>
      <c r="EZH108" s="116"/>
      <c r="EZI108" s="116"/>
      <c r="EZJ108" s="116"/>
      <c r="EZK108" s="116"/>
      <c r="EZL108" s="116"/>
      <c r="EZM108" s="116"/>
      <c r="EZN108" s="116"/>
      <c r="EZO108" s="116"/>
      <c r="EZP108" s="116"/>
      <c r="EZQ108" s="116"/>
      <c r="EZR108" s="116"/>
      <c r="EZS108" s="116"/>
      <c r="EZT108" s="116"/>
      <c r="EZU108" s="116"/>
      <c r="EZV108" s="116"/>
      <c r="EZW108" s="116"/>
      <c r="EZX108" s="116"/>
      <c r="EZY108" s="116"/>
      <c r="EZZ108" s="116"/>
      <c r="FAA108" s="116"/>
      <c r="FAB108" s="116"/>
      <c r="FAC108" s="116"/>
      <c r="FAD108" s="116"/>
      <c r="FAE108" s="116"/>
      <c r="FAF108" s="116"/>
      <c r="FAG108" s="116"/>
      <c r="FAH108" s="116"/>
      <c r="FAI108" s="116"/>
      <c r="FAJ108" s="116"/>
      <c r="FAK108" s="116"/>
      <c r="FAL108" s="116"/>
      <c r="FAM108" s="116"/>
      <c r="FAN108" s="116"/>
      <c r="FAO108" s="116"/>
      <c r="FAP108" s="116"/>
      <c r="FAQ108" s="116"/>
      <c r="FAR108" s="116"/>
      <c r="FAS108" s="116"/>
      <c r="FAT108" s="116"/>
      <c r="FAU108" s="116"/>
      <c r="FAV108" s="116"/>
      <c r="FAW108" s="116"/>
      <c r="FAX108" s="116"/>
      <c r="FAY108" s="116"/>
      <c r="FAZ108" s="116"/>
      <c r="FBA108" s="116"/>
      <c r="FBB108" s="116"/>
      <c r="FBC108" s="116"/>
      <c r="FBD108" s="116"/>
      <c r="FBE108" s="116"/>
      <c r="FBF108" s="116"/>
      <c r="FBG108" s="116"/>
      <c r="FBH108" s="116"/>
      <c r="FBI108" s="116"/>
      <c r="FBJ108" s="116"/>
      <c r="FBK108" s="116"/>
      <c r="FBL108" s="116"/>
      <c r="FBM108" s="116"/>
      <c r="FBN108" s="116"/>
      <c r="FBO108" s="116"/>
      <c r="FBP108" s="116"/>
      <c r="FBQ108" s="116"/>
      <c r="FBR108" s="116"/>
      <c r="FBS108" s="116"/>
      <c r="FBT108" s="116"/>
      <c r="FBU108" s="116"/>
      <c r="FBV108" s="116"/>
      <c r="FBW108" s="116"/>
      <c r="FBX108" s="116"/>
      <c r="FBY108" s="116"/>
      <c r="FBZ108" s="116"/>
      <c r="FCA108" s="116"/>
      <c r="FCB108" s="116"/>
      <c r="FCC108" s="116"/>
      <c r="FCD108" s="116"/>
      <c r="FCE108" s="116"/>
      <c r="FCF108" s="116"/>
      <c r="FCG108" s="116"/>
      <c r="FCH108" s="116"/>
      <c r="FCI108" s="116"/>
      <c r="FCJ108" s="116"/>
      <c r="FCK108" s="116"/>
      <c r="FCL108" s="116"/>
      <c r="FCM108" s="116"/>
      <c r="FCN108" s="116"/>
      <c r="FCO108" s="116"/>
      <c r="FCP108" s="116"/>
      <c r="FCQ108" s="116"/>
      <c r="FCR108" s="116"/>
      <c r="FCS108" s="116"/>
      <c r="FCT108" s="116"/>
      <c r="FCU108" s="116"/>
      <c r="FCV108" s="116"/>
      <c r="FCW108" s="116"/>
      <c r="FCX108" s="116"/>
      <c r="FCY108" s="116"/>
      <c r="FCZ108" s="116"/>
      <c r="FDA108" s="116"/>
      <c r="FDB108" s="116"/>
      <c r="FDC108" s="116"/>
      <c r="FDD108" s="116"/>
      <c r="FDE108" s="116"/>
      <c r="FDF108" s="116"/>
      <c r="FDG108" s="116"/>
      <c r="FDH108" s="116"/>
      <c r="FDI108" s="116"/>
      <c r="FDJ108" s="116"/>
      <c r="FDK108" s="116"/>
      <c r="FDL108" s="116"/>
      <c r="FDM108" s="116"/>
      <c r="FDN108" s="116"/>
      <c r="FDO108" s="116"/>
      <c r="FDP108" s="116"/>
      <c r="FDQ108" s="116"/>
      <c r="FDR108" s="116"/>
      <c r="FDS108" s="116"/>
      <c r="FDT108" s="116"/>
      <c r="FDU108" s="116"/>
      <c r="FDV108" s="116"/>
      <c r="FDW108" s="116"/>
      <c r="FDX108" s="116"/>
      <c r="FDY108" s="116"/>
      <c r="FDZ108" s="116"/>
      <c r="FEA108" s="116"/>
      <c r="FEB108" s="116"/>
      <c r="FEC108" s="116"/>
      <c r="FED108" s="116"/>
      <c r="FEE108" s="116"/>
      <c r="FEF108" s="116"/>
      <c r="FEG108" s="116"/>
      <c r="FEH108" s="116"/>
      <c r="FEI108" s="116"/>
      <c r="FEJ108" s="116"/>
      <c r="FEK108" s="116"/>
      <c r="FEL108" s="116"/>
      <c r="FEM108" s="116"/>
      <c r="FEN108" s="116"/>
      <c r="FEO108" s="116"/>
      <c r="FEP108" s="116"/>
      <c r="FEQ108" s="116"/>
      <c r="FER108" s="116"/>
      <c r="FES108" s="116"/>
      <c r="FET108" s="116"/>
      <c r="FEU108" s="116"/>
      <c r="FEV108" s="116"/>
      <c r="FEW108" s="116"/>
      <c r="FEX108" s="116"/>
      <c r="FEY108" s="116"/>
      <c r="FEZ108" s="116"/>
      <c r="FFA108" s="116"/>
      <c r="FFB108" s="116"/>
      <c r="FFC108" s="116"/>
      <c r="FFD108" s="116"/>
      <c r="FFE108" s="116"/>
      <c r="FFF108" s="116"/>
      <c r="FFG108" s="116"/>
      <c r="FFH108" s="116"/>
      <c r="FFI108" s="116"/>
      <c r="FFJ108" s="116"/>
      <c r="FFK108" s="116"/>
      <c r="FFL108" s="116"/>
      <c r="FFM108" s="116"/>
      <c r="FFN108" s="116"/>
      <c r="FFO108" s="116"/>
      <c r="FFP108" s="116"/>
      <c r="FFQ108" s="116"/>
      <c r="FFR108" s="116"/>
      <c r="FFS108" s="116"/>
      <c r="FFT108" s="116"/>
      <c r="FFU108" s="116"/>
      <c r="FFV108" s="116"/>
      <c r="FFW108" s="116"/>
      <c r="FFX108" s="116"/>
      <c r="FFY108" s="116"/>
      <c r="FFZ108" s="116"/>
      <c r="FGA108" s="116"/>
      <c r="FGB108" s="116"/>
      <c r="FGC108" s="116"/>
      <c r="FGD108" s="116"/>
      <c r="FGE108" s="116"/>
      <c r="FGF108" s="116"/>
      <c r="FGG108" s="116"/>
      <c r="FGH108" s="116"/>
      <c r="FGI108" s="116"/>
      <c r="FGJ108" s="116"/>
      <c r="FGK108" s="116"/>
      <c r="FGL108" s="116"/>
      <c r="FGM108" s="116"/>
      <c r="FGN108" s="116"/>
      <c r="FGO108" s="116"/>
      <c r="FGP108" s="116"/>
      <c r="FGQ108" s="116"/>
      <c r="FGR108" s="116"/>
      <c r="FGS108" s="116"/>
      <c r="FGT108" s="116"/>
      <c r="FGU108" s="116"/>
      <c r="FGV108" s="116"/>
      <c r="FGW108" s="116"/>
      <c r="FGX108" s="116"/>
      <c r="FGY108" s="116"/>
      <c r="FGZ108" s="116"/>
      <c r="FHA108" s="116"/>
      <c r="FHB108" s="116"/>
      <c r="FHC108" s="116"/>
      <c r="FHD108" s="116"/>
      <c r="FHE108" s="116"/>
      <c r="FHF108" s="116"/>
      <c r="FHG108" s="116"/>
      <c r="FHH108" s="116"/>
      <c r="FHI108" s="116"/>
      <c r="FHJ108" s="116"/>
      <c r="FHK108" s="116"/>
      <c r="FHL108" s="116"/>
      <c r="FHM108" s="116"/>
      <c r="FHN108" s="116"/>
      <c r="FHO108" s="116"/>
      <c r="FHP108" s="116"/>
      <c r="FHQ108" s="116"/>
      <c r="FHR108" s="116"/>
      <c r="FHS108" s="116"/>
      <c r="FHT108" s="116"/>
      <c r="FHU108" s="116"/>
      <c r="FHV108" s="116"/>
      <c r="FHW108" s="116"/>
      <c r="FHX108" s="116"/>
      <c r="FHY108" s="116"/>
      <c r="FHZ108" s="116"/>
      <c r="FIA108" s="116"/>
      <c r="FIB108" s="116"/>
      <c r="FIC108" s="116"/>
      <c r="FID108" s="116"/>
      <c r="FIE108" s="116"/>
      <c r="FIF108" s="116"/>
      <c r="FIG108" s="116"/>
      <c r="FIH108" s="116"/>
      <c r="FII108" s="116"/>
      <c r="FIJ108" s="116"/>
      <c r="FIK108" s="116"/>
      <c r="FIL108" s="116"/>
      <c r="FIM108" s="116"/>
      <c r="FIN108" s="116"/>
      <c r="FIO108" s="116"/>
      <c r="FIP108" s="116"/>
      <c r="FIQ108" s="116"/>
      <c r="FIR108" s="116"/>
      <c r="FIS108" s="116"/>
      <c r="FIT108" s="116"/>
      <c r="FIU108" s="116"/>
      <c r="FIV108" s="116"/>
      <c r="FIW108" s="116"/>
      <c r="FIX108" s="116"/>
      <c r="FIY108" s="116"/>
      <c r="FIZ108" s="116"/>
      <c r="FJA108" s="116"/>
      <c r="FJB108" s="116"/>
      <c r="FJC108" s="116"/>
      <c r="FJD108" s="116"/>
      <c r="FJE108" s="116"/>
      <c r="FJF108" s="116"/>
      <c r="FJG108" s="116"/>
      <c r="FJH108" s="116"/>
      <c r="FJI108" s="116"/>
      <c r="FJJ108" s="116"/>
      <c r="FJK108" s="116"/>
      <c r="FJL108" s="116"/>
      <c r="FJM108" s="116"/>
      <c r="FJN108" s="116"/>
      <c r="FJO108" s="116"/>
      <c r="FJP108" s="116"/>
      <c r="FJQ108" s="116"/>
      <c r="FJR108" s="116"/>
      <c r="FJS108" s="116"/>
      <c r="FJT108" s="116"/>
      <c r="FJU108" s="116"/>
      <c r="FJV108" s="116"/>
      <c r="FJW108" s="116"/>
      <c r="FJX108" s="116"/>
      <c r="FJY108" s="116"/>
      <c r="FJZ108" s="116"/>
      <c r="FKA108" s="116"/>
      <c r="FKB108" s="116"/>
      <c r="FKC108" s="116"/>
      <c r="FKD108" s="116"/>
      <c r="FKE108" s="116"/>
      <c r="FKF108" s="116"/>
      <c r="FKG108" s="116"/>
      <c r="FKH108" s="116"/>
      <c r="FKI108" s="116"/>
      <c r="FKJ108" s="116"/>
      <c r="FKK108" s="116"/>
      <c r="FKL108" s="116"/>
      <c r="FKM108" s="116"/>
      <c r="FKN108" s="116"/>
      <c r="FKO108" s="116"/>
      <c r="FKP108" s="116"/>
      <c r="FKQ108" s="116"/>
      <c r="FKR108" s="116"/>
      <c r="FKS108" s="116"/>
      <c r="FKT108" s="116"/>
      <c r="FKU108" s="116"/>
      <c r="FKV108" s="116"/>
      <c r="FKW108" s="116"/>
      <c r="FKX108" s="116"/>
      <c r="FKY108" s="116"/>
      <c r="FKZ108" s="116"/>
      <c r="FLA108" s="116"/>
      <c r="FLB108" s="116"/>
      <c r="FLC108" s="116"/>
      <c r="FLD108" s="116"/>
      <c r="FLE108" s="116"/>
      <c r="FLF108" s="116"/>
      <c r="FLG108" s="116"/>
      <c r="FLH108" s="116"/>
      <c r="FLI108" s="116"/>
      <c r="FLJ108" s="116"/>
      <c r="FLK108" s="116"/>
      <c r="FLL108" s="116"/>
      <c r="FLM108" s="116"/>
      <c r="FLN108" s="116"/>
      <c r="FLO108" s="116"/>
      <c r="FLP108" s="116"/>
      <c r="FLQ108" s="116"/>
      <c r="FLR108" s="116"/>
      <c r="FLS108" s="116"/>
      <c r="FLT108" s="116"/>
      <c r="FLU108" s="116"/>
      <c r="FLV108" s="116"/>
      <c r="FLW108" s="116"/>
      <c r="FLX108" s="116"/>
      <c r="FLY108" s="116"/>
      <c r="FLZ108" s="116"/>
      <c r="FMA108" s="116"/>
      <c r="FMB108" s="116"/>
      <c r="FMC108" s="116"/>
      <c r="FMD108" s="116"/>
      <c r="FME108" s="116"/>
      <c r="FMF108" s="116"/>
      <c r="FMG108" s="116"/>
      <c r="FMH108" s="116"/>
      <c r="FMI108" s="116"/>
      <c r="FMJ108" s="116"/>
      <c r="FMK108" s="116"/>
      <c r="FML108" s="116"/>
      <c r="FMM108" s="116"/>
      <c r="FMN108" s="116"/>
      <c r="FMO108" s="116"/>
      <c r="FMP108" s="116"/>
      <c r="FMQ108" s="116"/>
      <c r="FMR108" s="116"/>
      <c r="FMS108" s="116"/>
      <c r="FMT108" s="116"/>
      <c r="FMU108" s="116"/>
      <c r="FMV108" s="116"/>
      <c r="FMW108" s="116"/>
      <c r="FMX108" s="116"/>
      <c r="FMY108" s="116"/>
      <c r="FMZ108" s="116"/>
      <c r="FNA108" s="116"/>
      <c r="FNB108" s="116"/>
      <c r="FNC108" s="116"/>
      <c r="FND108" s="116"/>
      <c r="FNE108" s="116"/>
      <c r="FNF108" s="116"/>
      <c r="FNG108" s="116"/>
      <c r="FNH108" s="116"/>
      <c r="FNI108" s="116"/>
      <c r="FNJ108" s="116"/>
      <c r="FNK108" s="116"/>
      <c r="FNL108" s="116"/>
      <c r="FNM108" s="116"/>
      <c r="FNN108" s="116"/>
      <c r="FNO108" s="116"/>
      <c r="FNP108" s="116"/>
      <c r="FNQ108" s="116"/>
      <c r="FNR108" s="116"/>
      <c r="FNS108" s="116"/>
      <c r="FNT108" s="116"/>
      <c r="FNU108" s="116"/>
      <c r="FNV108" s="116"/>
      <c r="FNW108" s="116"/>
      <c r="FNX108" s="116"/>
      <c r="FNY108" s="116"/>
      <c r="FNZ108" s="116"/>
      <c r="FOA108" s="116"/>
      <c r="FOB108" s="116"/>
      <c r="FOC108" s="116"/>
      <c r="FOD108" s="116"/>
      <c r="FOE108" s="116"/>
      <c r="FOF108" s="116"/>
      <c r="FOG108" s="116"/>
      <c r="FOH108" s="116"/>
      <c r="FOI108" s="116"/>
      <c r="FOJ108" s="116"/>
      <c r="FOK108" s="116"/>
      <c r="FOL108" s="116"/>
      <c r="FOM108" s="116"/>
      <c r="FON108" s="116"/>
      <c r="FOO108" s="116"/>
      <c r="FOP108" s="116"/>
      <c r="FOQ108" s="116"/>
      <c r="FOR108" s="116"/>
      <c r="FOS108" s="116"/>
      <c r="FOT108" s="116"/>
      <c r="FOU108" s="116"/>
      <c r="FOV108" s="116"/>
      <c r="FOW108" s="116"/>
      <c r="FOX108" s="116"/>
      <c r="FOY108" s="116"/>
      <c r="FOZ108" s="116"/>
      <c r="FPA108" s="116"/>
      <c r="FPB108" s="116"/>
      <c r="FPC108" s="116"/>
      <c r="FPD108" s="116"/>
      <c r="FPE108" s="116"/>
      <c r="FPF108" s="116"/>
      <c r="FPG108" s="116"/>
      <c r="FPH108" s="116"/>
      <c r="FPI108" s="116"/>
      <c r="FPJ108" s="116"/>
      <c r="FPK108" s="116"/>
      <c r="FPL108" s="116"/>
      <c r="FPM108" s="116"/>
      <c r="FPN108" s="116"/>
      <c r="FPO108" s="116"/>
      <c r="FPP108" s="116"/>
      <c r="FPQ108" s="116"/>
      <c r="FPR108" s="116"/>
      <c r="FPS108" s="116"/>
      <c r="FPT108" s="116"/>
      <c r="FPU108" s="116"/>
      <c r="FPV108" s="116"/>
      <c r="FPW108" s="116"/>
      <c r="FPX108" s="116"/>
      <c r="FPY108" s="116"/>
      <c r="FPZ108" s="116"/>
      <c r="FQA108" s="116"/>
      <c r="FQB108" s="116"/>
      <c r="FQC108" s="116"/>
      <c r="FQD108" s="116"/>
      <c r="FQE108" s="116"/>
      <c r="FQF108" s="116"/>
      <c r="FQG108" s="116"/>
      <c r="FQH108" s="116"/>
      <c r="FQI108" s="116"/>
      <c r="FQJ108" s="116"/>
      <c r="FQK108" s="116"/>
      <c r="FQL108" s="116"/>
      <c r="FQM108" s="116"/>
      <c r="FQN108" s="116"/>
      <c r="FQO108" s="116"/>
      <c r="FQP108" s="116"/>
      <c r="FQQ108" s="116"/>
      <c r="FQR108" s="116"/>
      <c r="FQS108" s="116"/>
      <c r="FQT108" s="116"/>
      <c r="FQU108" s="116"/>
      <c r="FQV108" s="116"/>
      <c r="FQW108" s="116"/>
      <c r="FQX108" s="116"/>
      <c r="FQY108" s="116"/>
      <c r="FQZ108" s="116"/>
      <c r="FRA108" s="116"/>
      <c r="FRB108" s="116"/>
      <c r="FRC108" s="116"/>
      <c r="FRD108" s="116"/>
      <c r="FRE108" s="116"/>
      <c r="FRF108" s="116"/>
      <c r="FRG108" s="116"/>
      <c r="FRH108" s="116"/>
      <c r="FRI108" s="116"/>
      <c r="FRJ108" s="116"/>
      <c r="FRK108" s="116"/>
      <c r="FRL108" s="116"/>
      <c r="FRM108" s="116"/>
      <c r="FRN108" s="116"/>
      <c r="FRO108" s="116"/>
      <c r="FRP108" s="116"/>
      <c r="FRQ108" s="116"/>
      <c r="FRR108" s="116"/>
      <c r="FRS108" s="116"/>
      <c r="FRT108" s="116"/>
      <c r="FRU108" s="116"/>
      <c r="FRV108" s="116"/>
      <c r="FRW108" s="116"/>
      <c r="FRX108" s="116"/>
      <c r="FRY108" s="116"/>
      <c r="FRZ108" s="116"/>
      <c r="FSA108" s="116"/>
      <c r="FSB108" s="116"/>
      <c r="FSC108" s="116"/>
      <c r="FSD108" s="116"/>
      <c r="FSE108" s="116"/>
      <c r="FSF108" s="116"/>
      <c r="FSG108" s="116"/>
      <c r="FSH108" s="116"/>
      <c r="FSI108" s="116"/>
      <c r="FSJ108" s="116"/>
      <c r="FSK108" s="116"/>
      <c r="FSL108" s="116"/>
      <c r="FSM108" s="116"/>
      <c r="FSN108" s="116"/>
      <c r="FSO108" s="116"/>
      <c r="FSP108" s="116"/>
      <c r="FSQ108" s="116"/>
      <c r="FSR108" s="116"/>
      <c r="FSS108" s="116"/>
      <c r="FST108" s="116"/>
      <c r="FSU108" s="116"/>
      <c r="FSV108" s="116"/>
      <c r="FSW108" s="116"/>
      <c r="FSX108" s="116"/>
      <c r="FSY108" s="116"/>
      <c r="FSZ108" s="116"/>
      <c r="FTA108" s="116"/>
      <c r="FTB108" s="116"/>
      <c r="FTC108" s="116"/>
      <c r="FTD108" s="116"/>
      <c r="FTE108" s="116"/>
      <c r="FTF108" s="116"/>
      <c r="FTG108" s="116"/>
      <c r="FTH108" s="116"/>
      <c r="FTI108" s="116"/>
      <c r="FTJ108" s="116"/>
      <c r="FTK108" s="116"/>
      <c r="FTL108" s="116"/>
      <c r="FTM108" s="116"/>
      <c r="FTN108" s="116"/>
      <c r="FTO108" s="116"/>
      <c r="FTP108" s="116"/>
      <c r="FTQ108" s="116"/>
      <c r="FTR108" s="116"/>
      <c r="FTS108" s="116"/>
      <c r="FTT108" s="116"/>
      <c r="FTU108" s="116"/>
      <c r="FTV108" s="116"/>
      <c r="FTW108" s="116"/>
      <c r="FTX108" s="116"/>
      <c r="FTY108" s="116"/>
      <c r="FTZ108" s="116"/>
      <c r="FUA108" s="116"/>
      <c r="FUB108" s="116"/>
      <c r="FUC108" s="116"/>
      <c r="FUD108" s="116"/>
      <c r="FUE108" s="116"/>
      <c r="FUF108" s="116"/>
      <c r="FUG108" s="116"/>
      <c r="FUH108" s="116"/>
      <c r="FUI108" s="116"/>
      <c r="FUJ108" s="116"/>
      <c r="FUK108" s="116"/>
      <c r="FUL108" s="116"/>
      <c r="FUM108" s="116"/>
      <c r="FUN108" s="116"/>
      <c r="FUO108" s="116"/>
      <c r="FUP108" s="116"/>
      <c r="FUQ108" s="116"/>
      <c r="FUR108" s="116"/>
      <c r="FUS108" s="116"/>
      <c r="FUT108" s="116"/>
      <c r="FUU108" s="116"/>
      <c r="FUV108" s="116"/>
      <c r="FUW108" s="116"/>
      <c r="FUX108" s="116"/>
      <c r="FUY108" s="116"/>
      <c r="FUZ108" s="116"/>
      <c r="FVA108" s="116"/>
      <c r="FVB108" s="116"/>
      <c r="FVC108" s="116"/>
      <c r="FVD108" s="116"/>
      <c r="FVE108" s="116"/>
      <c r="FVF108" s="116"/>
      <c r="FVG108" s="116"/>
      <c r="FVH108" s="116"/>
      <c r="FVI108" s="116"/>
      <c r="FVJ108" s="116"/>
      <c r="FVK108" s="116"/>
      <c r="FVL108" s="116"/>
      <c r="FVM108" s="116"/>
      <c r="FVN108" s="116"/>
      <c r="FVO108" s="116"/>
      <c r="FVP108" s="116"/>
      <c r="FVQ108" s="116"/>
      <c r="FVR108" s="116"/>
      <c r="FVS108" s="116"/>
      <c r="FVT108" s="116"/>
      <c r="FVU108" s="116"/>
      <c r="FVV108" s="116"/>
      <c r="FVW108" s="116"/>
      <c r="FVX108" s="116"/>
      <c r="FVY108" s="116"/>
      <c r="FVZ108" s="116"/>
      <c r="FWA108" s="116"/>
      <c r="FWB108" s="116"/>
      <c r="FWC108" s="116"/>
      <c r="FWD108" s="116"/>
      <c r="FWE108" s="116"/>
      <c r="FWF108" s="116"/>
      <c r="FWG108" s="116"/>
      <c r="FWH108" s="116"/>
      <c r="FWI108" s="116"/>
      <c r="FWJ108" s="116"/>
      <c r="FWK108" s="116"/>
      <c r="FWL108" s="116"/>
      <c r="FWM108" s="116"/>
      <c r="FWN108" s="116"/>
      <c r="FWO108" s="116"/>
      <c r="FWP108" s="116"/>
      <c r="FWQ108" s="116"/>
      <c r="FWR108" s="116"/>
      <c r="FWS108" s="116"/>
      <c r="FWT108" s="116"/>
      <c r="FWU108" s="116"/>
      <c r="FWV108" s="116"/>
      <c r="FWW108" s="116"/>
      <c r="FWX108" s="116"/>
      <c r="FWY108" s="116"/>
      <c r="FWZ108" s="116"/>
      <c r="FXA108" s="116"/>
      <c r="FXB108" s="116"/>
      <c r="FXC108" s="116"/>
      <c r="FXD108" s="116"/>
      <c r="FXE108" s="116"/>
      <c r="FXF108" s="116"/>
      <c r="FXG108" s="116"/>
      <c r="FXH108" s="116"/>
      <c r="FXI108" s="116"/>
      <c r="FXJ108" s="116"/>
      <c r="FXK108" s="116"/>
      <c r="FXL108" s="116"/>
      <c r="FXM108" s="116"/>
      <c r="FXN108" s="116"/>
      <c r="FXO108" s="116"/>
      <c r="FXP108" s="116"/>
      <c r="FXQ108" s="116"/>
      <c r="FXR108" s="116"/>
      <c r="FXS108" s="116"/>
      <c r="FXT108" s="116"/>
      <c r="FXU108" s="116"/>
      <c r="FXV108" s="116"/>
      <c r="FXW108" s="116"/>
      <c r="FXX108" s="116"/>
      <c r="FXY108" s="116"/>
      <c r="FXZ108" s="116"/>
      <c r="FYA108" s="116"/>
      <c r="FYB108" s="116"/>
      <c r="FYC108" s="116"/>
      <c r="FYD108" s="116"/>
      <c r="FYE108" s="116"/>
      <c r="FYF108" s="116"/>
      <c r="FYG108" s="116"/>
      <c r="FYH108" s="116"/>
      <c r="FYI108" s="116"/>
      <c r="FYJ108" s="116"/>
      <c r="FYK108" s="116"/>
      <c r="FYL108" s="116"/>
      <c r="FYM108" s="116"/>
      <c r="FYN108" s="116"/>
      <c r="FYO108" s="116"/>
      <c r="FYP108" s="116"/>
      <c r="FYQ108" s="116"/>
      <c r="FYR108" s="116"/>
      <c r="FYS108" s="116"/>
      <c r="FYT108" s="116"/>
      <c r="FYU108" s="116"/>
      <c r="FYV108" s="116"/>
      <c r="FYW108" s="116"/>
      <c r="FYX108" s="116"/>
      <c r="FYY108" s="116"/>
      <c r="FYZ108" s="116"/>
      <c r="FZA108" s="116"/>
      <c r="FZB108" s="116"/>
      <c r="FZC108" s="116"/>
      <c r="FZD108" s="116"/>
      <c r="FZE108" s="116"/>
      <c r="FZF108" s="116"/>
      <c r="FZG108" s="116"/>
      <c r="FZH108" s="116"/>
      <c r="FZI108" s="116"/>
      <c r="FZJ108" s="116"/>
      <c r="FZK108" s="116"/>
      <c r="FZL108" s="116"/>
      <c r="FZM108" s="116"/>
      <c r="FZN108" s="116"/>
      <c r="FZO108" s="116"/>
      <c r="FZP108" s="116"/>
      <c r="FZQ108" s="116"/>
      <c r="FZR108" s="116"/>
      <c r="FZS108" s="116"/>
      <c r="FZT108" s="116"/>
      <c r="FZU108" s="116"/>
      <c r="FZV108" s="116"/>
      <c r="FZW108" s="116"/>
      <c r="FZX108" s="116"/>
      <c r="FZY108" s="116"/>
      <c r="FZZ108" s="116"/>
      <c r="GAA108" s="116"/>
      <c r="GAB108" s="116"/>
      <c r="GAC108" s="116"/>
      <c r="GAD108" s="116"/>
      <c r="GAE108" s="116"/>
      <c r="GAF108" s="116"/>
      <c r="GAG108" s="116"/>
      <c r="GAH108" s="116"/>
      <c r="GAI108" s="116"/>
      <c r="GAJ108" s="116"/>
      <c r="GAK108" s="116"/>
      <c r="GAL108" s="116"/>
      <c r="GAM108" s="116"/>
      <c r="GAN108" s="116"/>
      <c r="GAO108" s="116"/>
      <c r="GAP108" s="116"/>
      <c r="GAQ108" s="116"/>
      <c r="GAR108" s="116"/>
      <c r="GAS108" s="116"/>
      <c r="GAT108" s="116"/>
      <c r="GAU108" s="116"/>
      <c r="GAV108" s="116"/>
      <c r="GAW108" s="116"/>
      <c r="GAX108" s="116"/>
      <c r="GAY108" s="116"/>
      <c r="GAZ108" s="116"/>
      <c r="GBA108" s="116"/>
      <c r="GBB108" s="116"/>
      <c r="GBC108" s="116"/>
      <c r="GBD108" s="116"/>
      <c r="GBE108" s="116"/>
      <c r="GBF108" s="116"/>
      <c r="GBG108" s="116"/>
      <c r="GBH108" s="116"/>
      <c r="GBI108" s="116"/>
      <c r="GBJ108" s="116"/>
      <c r="GBK108" s="116"/>
      <c r="GBL108" s="116"/>
      <c r="GBM108" s="116"/>
      <c r="GBN108" s="116"/>
      <c r="GBO108" s="116"/>
      <c r="GBP108" s="116"/>
      <c r="GBQ108" s="116"/>
      <c r="GBR108" s="116"/>
      <c r="GBS108" s="116"/>
      <c r="GBT108" s="116"/>
      <c r="GBU108" s="116"/>
      <c r="GBV108" s="116"/>
      <c r="GBW108" s="116"/>
      <c r="GBX108" s="116"/>
      <c r="GBY108" s="116"/>
      <c r="GBZ108" s="116"/>
      <c r="GCA108" s="116"/>
      <c r="GCB108" s="116"/>
      <c r="GCC108" s="116"/>
      <c r="GCD108" s="116"/>
      <c r="GCE108" s="116"/>
      <c r="GCF108" s="116"/>
      <c r="GCG108" s="116"/>
      <c r="GCH108" s="116"/>
      <c r="GCI108" s="116"/>
      <c r="GCJ108" s="116"/>
      <c r="GCK108" s="116"/>
      <c r="GCL108" s="116"/>
      <c r="GCM108" s="116"/>
      <c r="GCN108" s="116"/>
      <c r="GCO108" s="116"/>
      <c r="GCP108" s="116"/>
      <c r="GCQ108" s="116"/>
      <c r="GCR108" s="116"/>
      <c r="GCS108" s="116"/>
      <c r="GCT108" s="116"/>
      <c r="GCU108" s="116"/>
      <c r="GCV108" s="116"/>
      <c r="GCW108" s="116"/>
      <c r="GCX108" s="116"/>
      <c r="GCY108" s="116"/>
      <c r="GCZ108" s="116"/>
      <c r="GDA108" s="116"/>
      <c r="GDB108" s="116"/>
      <c r="GDC108" s="116"/>
      <c r="GDD108" s="116"/>
      <c r="GDE108" s="116"/>
      <c r="GDF108" s="116"/>
      <c r="GDG108" s="116"/>
      <c r="GDH108" s="116"/>
      <c r="GDI108" s="116"/>
      <c r="GDJ108" s="116"/>
      <c r="GDK108" s="116"/>
      <c r="GDL108" s="116"/>
      <c r="GDM108" s="116"/>
      <c r="GDN108" s="116"/>
      <c r="GDO108" s="116"/>
      <c r="GDP108" s="116"/>
      <c r="GDQ108" s="116"/>
      <c r="GDR108" s="116"/>
      <c r="GDS108" s="116"/>
      <c r="GDT108" s="116"/>
      <c r="GDU108" s="116"/>
      <c r="GDV108" s="116"/>
      <c r="GDW108" s="116"/>
      <c r="GDX108" s="116"/>
      <c r="GDY108" s="116"/>
      <c r="GDZ108" s="116"/>
      <c r="GEA108" s="116"/>
      <c r="GEB108" s="116"/>
      <c r="GEC108" s="116"/>
      <c r="GED108" s="116"/>
      <c r="GEE108" s="116"/>
      <c r="GEF108" s="116"/>
      <c r="GEG108" s="116"/>
      <c r="GEH108" s="116"/>
      <c r="GEI108" s="116"/>
      <c r="GEJ108" s="116"/>
      <c r="GEK108" s="116"/>
      <c r="GEL108" s="116"/>
      <c r="GEM108" s="116"/>
      <c r="GEN108" s="116"/>
      <c r="GEO108" s="116"/>
      <c r="GEP108" s="116"/>
      <c r="GEQ108" s="116"/>
      <c r="GER108" s="116"/>
      <c r="GES108" s="116"/>
      <c r="GET108" s="116"/>
      <c r="GEU108" s="116"/>
      <c r="GEV108" s="116"/>
      <c r="GEW108" s="116"/>
      <c r="GEX108" s="116"/>
      <c r="GEY108" s="116"/>
      <c r="GEZ108" s="116"/>
      <c r="GFA108" s="116"/>
      <c r="GFB108" s="116"/>
      <c r="GFC108" s="116"/>
      <c r="GFD108" s="116"/>
      <c r="GFE108" s="116"/>
      <c r="GFF108" s="116"/>
      <c r="GFG108" s="116"/>
      <c r="GFH108" s="116"/>
      <c r="GFI108" s="116"/>
      <c r="GFJ108" s="116"/>
      <c r="GFK108" s="116"/>
      <c r="GFL108" s="116"/>
      <c r="GFM108" s="116"/>
      <c r="GFN108" s="116"/>
      <c r="GFO108" s="116"/>
      <c r="GFP108" s="116"/>
      <c r="GFQ108" s="116"/>
      <c r="GFR108" s="116"/>
      <c r="GFS108" s="116"/>
      <c r="GFT108" s="116"/>
      <c r="GFU108" s="116"/>
      <c r="GFV108" s="116"/>
      <c r="GFW108" s="116"/>
      <c r="GFX108" s="116"/>
      <c r="GFY108" s="116"/>
      <c r="GFZ108" s="116"/>
      <c r="GGA108" s="116"/>
      <c r="GGB108" s="116"/>
      <c r="GGC108" s="116"/>
      <c r="GGD108" s="116"/>
      <c r="GGE108" s="116"/>
      <c r="GGF108" s="116"/>
      <c r="GGG108" s="116"/>
      <c r="GGH108" s="116"/>
      <c r="GGI108" s="116"/>
      <c r="GGJ108" s="116"/>
      <c r="GGK108" s="116"/>
      <c r="GGL108" s="116"/>
      <c r="GGM108" s="116"/>
      <c r="GGN108" s="116"/>
      <c r="GGO108" s="116"/>
      <c r="GGP108" s="116"/>
      <c r="GGQ108" s="116"/>
      <c r="GGR108" s="116"/>
      <c r="GGS108" s="116"/>
      <c r="GGT108" s="116"/>
      <c r="GGU108" s="116"/>
      <c r="GGV108" s="116"/>
      <c r="GGW108" s="116"/>
      <c r="GGX108" s="116"/>
      <c r="GGY108" s="116"/>
      <c r="GGZ108" s="116"/>
      <c r="GHA108" s="116"/>
      <c r="GHB108" s="116"/>
      <c r="GHC108" s="116"/>
      <c r="GHD108" s="116"/>
      <c r="GHE108" s="116"/>
      <c r="GHF108" s="116"/>
      <c r="GHG108" s="116"/>
      <c r="GHH108" s="116"/>
      <c r="GHI108" s="116"/>
      <c r="GHJ108" s="116"/>
      <c r="GHK108" s="116"/>
      <c r="GHL108" s="116"/>
      <c r="GHM108" s="116"/>
      <c r="GHN108" s="116"/>
      <c r="GHO108" s="116"/>
      <c r="GHP108" s="116"/>
      <c r="GHQ108" s="116"/>
      <c r="GHR108" s="116"/>
      <c r="GHS108" s="116"/>
      <c r="GHT108" s="116"/>
      <c r="GHU108" s="116"/>
      <c r="GHV108" s="116"/>
      <c r="GHW108" s="116"/>
      <c r="GHX108" s="116"/>
      <c r="GHY108" s="116"/>
      <c r="GHZ108" s="116"/>
      <c r="GIA108" s="116"/>
      <c r="GIB108" s="116"/>
      <c r="GIC108" s="116"/>
      <c r="GID108" s="116"/>
      <c r="GIE108" s="116"/>
      <c r="GIF108" s="116"/>
      <c r="GIG108" s="116"/>
      <c r="GIH108" s="116"/>
      <c r="GII108" s="116"/>
      <c r="GIJ108" s="116"/>
      <c r="GIK108" s="116"/>
      <c r="GIL108" s="116"/>
      <c r="GIM108" s="116"/>
      <c r="GIN108" s="116"/>
      <c r="GIO108" s="116"/>
      <c r="GIP108" s="116"/>
      <c r="GIQ108" s="116"/>
      <c r="GIR108" s="116"/>
      <c r="GIS108" s="116"/>
      <c r="GIT108" s="116"/>
      <c r="GIU108" s="116"/>
      <c r="GIV108" s="116"/>
      <c r="GIW108" s="116"/>
      <c r="GIX108" s="116"/>
      <c r="GIY108" s="116"/>
      <c r="GIZ108" s="116"/>
      <c r="GJA108" s="116"/>
      <c r="GJB108" s="116"/>
      <c r="GJC108" s="116"/>
      <c r="GJD108" s="116"/>
      <c r="GJE108" s="116"/>
      <c r="GJF108" s="116"/>
      <c r="GJG108" s="116"/>
      <c r="GJH108" s="116"/>
      <c r="GJI108" s="116"/>
      <c r="GJJ108" s="116"/>
      <c r="GJK108" s="116"/>
      <c r="GJL108" s="116"/>
      <c r="GJM108" s="116"/>
      <c r="GJN108" s="116"/>
      <c r="GJO108" s="116"/>
      <c r="GJP108" s="116"/>
      <c r="GJQ108" s="116"/>
      <c r="GJR108" s="116"/>
      <c r="GJS108" s="116"/>
      <c r="GJT108" s="116"/>
      <c r="GJU108" s="116"/>
      <c r="GJV108" s="116"/>
      <c r="GJW108" s="116"/>
      <c r="GJX108" s="116"/>
      <c r="GJY108" s="116"/>
      <c r="GJZ108" s="116"/>
      <c r="GKA108" s="116"/>
      <c r="GKB108" s="116"/>
      <c r="GKC108" s="116"/>
      <c r="GKD108" s="116"/>
      <c r="GKE108" s="116"/>
      <c r="GKF108" s="116"/>
      <c r="GKG108" s="116"/>
      <c r="GKH108" s="116"/>
      <c r="GKI108" s="116"/>
      <c r="GKJ108" s="116"/>
      <c r="GKK108" s="116"/>
      <c r="GKL108" s="116"/>
      <c r="GKM108" s="116"/>
      <c r="GKN108" s="116"/>
      <c r="GKO108" s="116"/>
      <c r="GKP108" s="116"/>
      <c r="GKQ108" s="116"/>
      <c r="GKR108" s="116"/>
      <c r="GKS108" s="116"/>
      <c r="GKT108" s="116"/>
      <c r="GKU108" s="116"/>
      <c r="GKV108" s="116"/>
      <c r="GKW108" s="116"/>
      <c r="GKX108" s="116"/>
      <c r="GKY108" s="116"/>
      <c r="GKZ108" s="116"/>
      <c r="GLA108" s="116"/>
      <c r="GLB108" s="116"/>
      <c r="GLC108" s="116"/>
      <c r="GLD108" s="116"/>
      <c r="GLE108" s="116"/>
      <c r="GLF108" s="116"/>
      <c r="GLG108" s="116"/>
      <c r="GLH108" s="116"/>
      <c r="GLI108" s="116"/>
      <c r="GLJ108" s="116"/>
      <c r="GLK108" s="116"/>
      <c r="GLL108" s="116"/>
      <c r="GLM108" s="116"/>
      <c r="GLN108" s="116"/>
      <c r="GLO108" s="116"/>
      <c r="GLP108" s="116"/>
      <c r="GLQ108" s="116"/>
      <c r="GLR108" s="116"/>
      <c r="GLS108" s="116"/>
      <c r="GLT108" s="116"/>
      <c r="GLU108" s="116"/>
      <c r="GLV108" s="116"/>
      <c r="GLW108" s="116"/>
      <c r="GLX108" s="116"/>
      <c r="GLY108" s="116"/>
      <c r="GLZ108" s="116"/>
      <c r="GMA108" s="116"/>
      <c r="GMB108" s="116"/>
      <c r="GMC108" s="116"/>
      <c r="GMD108" s="116"/>
      <c r="GME108" s="116"/>
      <c r="GMF108" s="116"/>
      <c r="GMG108" s="116"/>
      <c r="GMH108" s="116"/>
      <c r="GMI108" s="116"/>
      <c r="GMJ108" s="116"/>
      <c r="GMK108" s="116"/>
      <c r="GML108" s="116"/>
      <c r="GMM108" s="116"/>
      <c r="GMN108" s="116"/>
      <c r="GMO108" s="116"/>
      <c r="GMP108" s="116"/>
      <c r="GMQ108" s="116"/>
      <c r="GMR108" s="116"/>
      <c r="GMS108" s="116"/>
      <c r="GMT108" s="116"/>
      <c r="GMU108" s="116"/>
      <c r="GMV108" s="116"/>
      <c r="GMW108" s="116"/>
      <c r="GMX108" s="116"/>
      <c r="GMY108" s="116"/>
      <c r="GMZ108" s="116"/>
      <c r="GNA108" s="116"/>
      <c r="GNB108" s="116"/>
      <c r="GNC108" s="116"/>
      <c r="GND108" s="116"/>
      <c r="GNE108" s="116"/>
      <c r="GNF108" s="116"/>
      <c r="GNG108" s="116"/>
      <c r="GNH108" s="116"/>
      <c r="GNI108" s="116"/>
      <c r="GNJ108" s="116"/>
      <c r="GNK108" s="116"/>
      <c r="GNL108" s="116"/>
      <c r="GNM108" s="116"/>
      <c r="GNN108" s="116"/>
      <c r="GNO108" s="116"/>
      <c r="GNP108" s="116"/>
      <c r="GNQ108" s="116"/>
      <c r="GNR108" s="116"/>
      <c r="GNS108" s="116"/>
      <c r="GNT108" s="116"/>
      <c r="GNU108" s="116"/>
      <c r="GNV108" s="116"/>
      <c r="GNW108" s="116"/>
      <c r="GNX108" s="116"/>
      <c r="GNY108" s="116"/>
      <c r="GNZ108" s="116"/>
      <c r="GOA108" s="116"/>
      <c r="GOB108" s="116"/>
      <c r="GOC108" s="116"/>
      <c r="GOD108" s="116"/>
      <c r="GOE108" s="116"/>
      <c r="GOF108" s="116"/>
      <c r="GOG108" s="116"/>
      <c r="GOH108" s="116"/>
      <c r="GOI108" s="116"/>
      <c r="GOJ108" s="116"/>
      <c r="GOK108" s="116"/>
      <c r="GOL108" s="116"/>
      <c r="GOM108" s="116"/>
      <c r="GON108" s="116"/>
      <c r="GOO108" s="116"/>
      <c r="GOP108" s="116"/>
      <c r="GOQ108" s="116"/>
      <c r="GOR108" s="116"/>
      <c r="GOS108" s="116"/>
      <c r="GOT108" s="116"/>
      <c r="GOU108" s="116"/>
      <c r="GOV108" s="116"/>
      <c r="GOW108" s="116"/>
      <c r="GOX108" s="116"/>
      <c r="GOY108" s="116"/>
      <c r="GOZ108" s="116"/>
      <c r="GPA108" s="116"/>
      <c r="GPB108" s="116"/>
      <c r="GPC108" s="116"/>
      <c r="GPD108" s="116"/>
      <c r="GPE108" s="116"/>
      <c r="GPF108" s="116"/>
      <c r="GPG108" s="116"/>
      <c r="GPH108" s="116"/>
      <c r="GPI108" s="116"/>
      <c r="GPJ108" s="116"/>
      <c r="GPK108" s="116"/>
      <c r="GPL108" s="116"/>
      <c r="GPM108" s="116"/>
      <c r="GPN108" s="116"/>
      <c r="GPO108" s="116"/>
      <c r="GPP108" s="116"/>
      <c r="GPQ108" s="116"/>
      <c r="GPR108" s="116"/>
      <c r="GPS108" s="116"/>
      <c r="GPT108" s="116"/>
      <c r="GPU108" s="116"/>
      <c r="GPV108" s="116"/>
      <c r="GPW108" s="116"/>
      <c r="GPX108" s="116"/>
      <c r="GPY108" s="116"/>
      <c r="GPZ108" s="116"/>
      <c r="GQA108" s="116"/>
      <c r="GQB108" s="116"/>
      <c r="GQC108" s="116"/>
      <c r="GQD108" s="116"/>
      <c r="GQE108" s="116"/>
      <c r="GQF108" s="116"/>
      <c r="GQG108" s="116"/>
      <c r="GQH108" s="116"/>
      <c r="GQI108" s="116"/>
      <c r="GQJ108" s="116"/>
      <c r="GQK108" s="116"/>
      <c r="GQL108" s="116"/>
      <c r="GQM108" s="116"/>
      <c r="GQN108" s="116"/>
      <c r="GQO108" s="116"/>
      <c r="GQP108" s="116"/>
      <c r="GQQ108" s="116"/>
      <c r="GQR108" s="116"/>
      <c r="GQS108" s="116"/>
      <c r="GQT108" s="116"/>
      <c r="GQU108" s="116"/>
      <c r="GQV108" s="116"/>
      <c r="GQW108" s="116"/>
      <c r="GQX108" s="116"/>
      <c r="GQY108" s="116"/>
      <c r="GQZ108" s="116"/>
      <c r="GRA108" s="116"/>
      <c r="GRB108" s="116"/>
      <c r="GRC108" s="116"/>
      <c r="GRD108" s="116"/>
      <c r="GRE108" s="116"/>
      <c r="GRF108" s="116"/>
      <c r="GRG108" s="116"/>
      <c r="GRH108" s="116"/>
      <c r="GRI108" s="116"/>
      <c r="GRJ108" s="116"/>
      <c r="GRK108" s="116"/>
      <c r="GRL108" s="116"/>
      <c r="GRM108" s="116"/>
      <c r="GRN108" s="116"/>
      <c r="GRO108" s="116"/>
      <c r="GRP108" s="116"/>
      <c r="GRQ108" s="116"/>
      <c r="GRR108" s="116"/>
      <c r="GRS108" s="116"/>
      <c r="GRT108" s="116"/>
      <c r="GRU108" s="116"/>
      <c r="GRV108" s="116"/>
      <c r="GRW108" s="116"/>
      <c r="GRX108" s="116"/>
      <c r="GRY108" s="116"/>
      <c r="GRZ108" s="116"/>
      <c r="GSA108" s="116"/>
      <c r="GSB108" s="116"/>
      <c r="GSC108" s="116"/>
      <c r="GSD108" s="116"/>
      <c r="GSE108" s="116"/>
      <c r="GSF108" s="116"/>
      <c r="GSG108" s="116"/>
      <c r="GSH108" s="116"/>
      <c r="GSI108" s="116"/>
      <c r="GSJ108" s="116"/>
      <c r="GSK108" s="116"/>
      <c r="GSL108" s="116"/>
      <c r="GSM108" s="116"/>
      <c r="GSN108" s="116"/>
      <c r="GSO108" s="116"/>
      <c r="GSP108" s="116"/>
      <c r="GSQ108" s="116"/>
      <c r="GSR108" s="116"/>
      <c r="GSS108" s="116"/>
      <c r="GST108" s="116"/>
      <c r="GSU108" s="116"/>
      <c r="GSV108" s="116"/>
      <c r="GSW108" s="116"/>
      <c r="GSX108" s="116"/>
      <c r="GSY108" s="116"/>
      <c r="GSZ108" s="116"/>
      <c r="GTA108" s="116"/>
      <c r="GTB108" s="116"/>
      <c r="GTC108" s="116"/>
      <c r="GTD108" s="116"/>
      <c r="GTE108" s="116"/>
      <c r="GTF108" s="116"/>
      <c r="GTG108" s="116"/>
      <c r="GTH108" s="116"/>
      <c r="GTI108" s="116"/>
      <c r="GTJ108" s="116"/>
      <c r="GTK108" s="116"/>
      <c r="GTL108" s="116"/>
      <c r="GTM108" s="116"/>
      <c r="GTN108" s="116"/>
      <c r="GTO108" s="116"/>
      <c r="GTP108" s="116"/>
      <c r="GTQ108" s="116"/>
      <c r="GTR108" s="116"/>
      <c r="GTS108" s="116"/>
      <c r="GTT108" s="116"/>
      <c r="GTU108" s="116"/>
      <c r="GTV108" s="116"/>
      <c r="GTW108" s="116"/>
      <c r="GTX108" s="116"/>
      <c r="GTY108" s="116"/>
      <c r="GTZ108" s="116"/>
      <c r="GUA108" s="116"/>
      <c r="GUB108" s="116"/>
      <c r="GUC108" s="116"/>
      <c r="GUD108" s="116"/>
      <c r="GUE108" s="116"/>
      <c r="GUF108" s="116"/>
      <c r="GUG108" s="116"/>
      <c r="GUH108" s="116"/>
      <c r="GUI108" s="116"/>
      <c r="GUJ108" s="116"/>
      <c r="GUK108" s="116"/>
      <c r="GUL108" s="116"/>
      <c r="GUM108" s="116"/>
      <c r="GUN108" s="116"/>
      <c r="GUO108" s="116"/>
      <c r="GUP108" s="116"/>
      <c r="GUQ108" s="116"/>
      <c r="GUR108" s="116"/>
      <c r="GUS108" s="116"/>
      <c r="GUT108" s="116"/>
      <c r="GUU108" s="116"/>
      <c r="GUV108" s="116"/>
      <c r="GUW108" s="116"/>
      <c r="GUX108" s="116"/>
      <c r="GUY108" s="116"/>
      <c r="GUZ108" s="116"/>
      <c r="GVA108" s="116"/>
      <c r="GVB108" s="116"/>
      <c r="GVC108" s="116"/>
      <c r="GVD108" s="116"/>
      <c r="GVE108" s="116"/>
      <c r="GVF108" s="116"/>
      <c r="GVG108" s="116"/>
      <c r="GVH108" s="116"/>
      <c r="GVI108" s="116"/>
      <c r="GVJ108" s="116"/>
      <c r="GVK108" s="116"/>
      <c r="GVL108" s="116"/>
      <c r="GVM108" s="116"/>
      <c r="GVN108" s="116"/>
      <c r="GVO108" s="116"/>
      <c r="GVP108" s="116"/>
      <c r="GVQ108" s="116"/>
      <c r="GVR108" s="116"/>
      <c r="GVS108" s="116"/>
      <c r="GVT108" s="116"/>
      <c r="GVU108" s="116"/>
      <c r="GVV108" s="116"/>
      <c r="GVW108" s="116"/>
      <c r="GVX108" s="116"/>
      <c r="GVY108" s="116"/>
      <c r="GVZ108" s="116"/>
      <c r="GWA108" s="116"/>
      <c r="GWB108" s="116"/>
      <c r="GWC108" s="116"/>
      <c r="GWD108" s="116"/>
      <c r="GWE108" s="116"/>
      <c r="GWF108" s="116"/>
      <c r="GWG108" s="116"/>
      <c r="GWH108" s="116"/>
      <c r="GWI108" s="116"/>
      <c r="GWJ108" s="116"/>
      <c r="GWK108" s="116"/>
      <c r="GWL108" s="116"/>
      <c r="GWM108" s="116"/>
      <c r="GWN108" s="116"/>
      <c r="GWO108" s="116"/>
      <c r="GWP108" s="116"/>
      <c r="GWQ108" s="116"/>
      <c r="GWR108" s="116"/>
      <c r="GWS108" s="116"/>
      <c r="GWT108" s="116"/>
      <c r="GWU108" s="116"/>
      <c r="GWV108" s="116"/>
      <c r="GWW108" s="116"/>
      <c r="GWX108" s="116"/>
      <c r="GWY108" s="116"/>
      <c r="GWZ108" s="116"/>
      <c r="GXA108" s="116"/>
      <c r="GXB108" s="116"/>
      <c r="GXC108" s="116"/>
      <c r="GXD108" s="116"/>
      <c r="GXE108" s="116"/>
      <c r="GXF108" s="116"/>
      <c r="GXG108" s="116"/>
      <c r="GXH108" s="116"/>
      <c r="GXI108" s="116"/>
      <c r="GXJ108" s="116"/>
      <c r="GXK108" s="116"/>
      <c r="GXL108" s="116"/>
      <c r="GXM108" s="116"/>
      <c r="GXN108" s="116"/>
      <c r="GXO108" s="116"/>
      <c r="GXP108" s="116"/>
      <c r="GXQ108" s="116"/>
      <c r="GXR108" s="116"/>
      <c r="GXS108" s="116"/>
      <c r="GXT108" s="116"/>
      <c r="GXU108" s="116"/>
      <c r="GXV108" s="116"/>
      <c r="GXW108" s="116"/>
      <c r="GXX108" s="116"/>
      <c r="GXY108" s="116"/>
      <c r="GXZ108" s="116"/>
      <c r="GYA108" s="116"/>
      <c r="GYB108" s="116"/>
      <c r="GYC108" s="116"/>
      <c r="GYD108" s="116"/>
      <c r="GYE108" s="116"/>
      <c r="GYF108" s="116"/>
      <c r="GYG108" s="116"/>
      <c r="GYH108" s="116"/>
      <c r="GYI108" s="116"/>
      <c r="GYJ108" s="116"/>
      <c r="GYK108" s="116"/>
      <c r="GYL108" s="116"/>
      <c r="GYM108" s="116"/>
      <c r="GYN108" s="116"/>
      <c r="GYO108" s="116"/>
      <c r="GYP108" s="116"/>
      <c r="GYQ108" s="116"/>
      <c r="GYR108" s="116"/>
      <c r="GYS108" s="116"/>
      <c r="GYT108" s="116"/>
      <c r="GYU108" s="116"/>
      <c r="GYV108" s="116"/>
      <c r="GYW108" s="116"/>
      <c r="GYX108" s="116"/>
      <c r="GYY108" s="116"/>
      <c r="GYZ108" s="116"/>
      <c r="GZA108" s="116"/>
      <c r="GZB108" s="116"/>
      <c r="GZC108" s="116"/>
      <c r="GZD108" s="116"/>
      <c r="GZE108" s="116"/>
      <c r="GZF108" s="116"/>
      <c r="GZG108" s="116"/>
      <c r="GZH108" s="116"/>
      <c r="GZI108" s="116"/>
      <c r="GZJ108" s="116"/>
      <c r="GZK108" s="116"/>
      <c r="GZL108" s="116"/>
      <c r="GZM108" s="116"/>
      <c r="GZN108" s="116"/>
      <c r="GZO108" s="116"/>
      <c r="GZP108" s="116"/>
      <c r="GZQ108" s="116"/>
      <c r="GZR108" s="116"/>
      <c r="GZS108" s="116"/>
      <c r="GZT108" s="116"/>
      <c r="GZU108" s="116"/>
      <c r="GZV108" s="116"/>
      <c r="GZW108" s="116"/>
      <c r="GZX108" s="116"/>
      <c r="GZY108" s="116"/>
      <c r="GZZ108" s="116"/>
      <c r="HAA108" s="116"/>
      <c r="HAB108" s="116"/>
      <c r="HAC108" s="116"/>
      <c r="HAD108" s="116"/>
      <c r="HAE108" s="116"/>
      <c r="HAF108" s="116"/>
      <c r="HAG108" s="116"/>
      <c r="HAH108" s="116"/>
      <c r="HAI108" s="116"/>
      <c r="HAJ108" s="116"/>
      <c r="HAK108" s="116"/>
      <c r="HAL108" s="116"/>
      <c r="HAM108" s="116"/>
      <c r="HAN108" s="116"/>
      <c r="HAO108" s="116"/>
      <c r="HAP108" s="116"/>
      <c r="HAQ108" s="116"/>
      <c r="HAR108" s="116"/>
      <c r="HAS108" s="116"/>
      <c r="HAT108" s="116"/>
      <c r="HAU108" s="116"/>
      <c r="HAV108" s="116"/>
      <c r="HAW108" s="116"/>
      <c r="HAX108" s="116"/>
      <c r="HAY108" s="116"/>
      <c r="HAZ108" s="116"/>
      <c r="HBA108" s="116"/>
      <c r="HBB108" s="116"/>
      <c r="HBC108" s="116"/>
      <c r="HBD108" s="116"/>
      <c r="HBE108" s="116"/>
      <c r="HBF108" s="116"/>
      <c r="HBG108" s="116"/>
      <c r="HBH108" s="116"/>
      <c r="HBI108" s="116"/>
      <c r="HBJ108" s="116"/>
      <c r="HBK108" s="116"/>
      <c r="HBL108" s="116"/>
      <c r="HBM108" s="116"/>
      <c r="HBN108" s="116"/>
      <c r="HBO108" s="116"/>
      <c r="HBP108" s="116"/>
      <c r="HBQ108" s="116"/>
      <c r="HBR108" s="116"/>
      <c r="HBS108" s="116"/>
      <c r="HBT108" s="116"/>
      <c r="HBU108" s="116"/>
      <c r="HBV108" s="116"/>
      <c r="HBW108" s="116"/>
      <c r="HBX108" s="116"/>
      <c r="HBY108" s="116"/>
      <c r="HBZ108" s="116"/>
      <c r="HCA108" s="116"/>
      <c r="HCB108" s="116"/>
      <c r="HCC108" s="116"/>
      <c r="HCD108" s="116"/>
      <c r="HCE108" s="116"/>
      <c r="HCF108" s="116"/>
      <c r="HCG108" s="116"/>
      <c r="HCH108" s="116"/>
      <c r="HCI108" s="116"/>
      <c r="HCJ108" s="116"/>
      <c r="HCK108" s="116"/>
      <c r="HCL108" s="116"/>
      <c r="HCM108" s="116"/>
      <c r="HCN108" s="116"/>
      <c r="HCO108" s="116"/>
      <c r="HCP108" s="116"/>
      <c r="HCQ108" s="116"/>
      <c r="HCR108" s="116"/>
      <c r="HCS108" s="116"/>
      <c r="HCT108" s="116"/>
      <c r="HCU108" s="116"/>
      <c r="HCV108" s="116"/>
      <c r="HCW108" s="116"/>
      <c r="HCX108" s="116"/>
      <c r="HCY108" s="116"/>
      <c r="HCZ108" s="116"/>
      <c r="HDA108" s="116"/>
      <c r="HDB108" s="116"/>
      <c r="HDC108" s="116"/>
      <c r="HDD108" s="116"/>
      <c r="HDE108" s="116"/>
      <c r="HDF108" s="116"/>
      <c r="HDG108" s="116"/>
      <c r="HDH108" s="116"/>
      <c r="HDI108" s="116"/>
      <c r="HDJ108" s="116"/>
      <c r="HDK108" s="116"/>
      <c r="HDL108" s="116"/>
      <c r="HDM108" s="116"/>
      <c r="HDN108" s="116"/>
      <c r="HDO108" s="116"/>
      <c r="HDP108" s="116"/>
      <c r="HDQ108" s="116"/>
      <c r="HDR108" s="116"/>
      <c r="HDS108" s="116"/>
      <c r="HDT108" s="116"/>
      <c r="HDU108" s="116"/>
      <c r="HDV108" s="116"/>
      <c r="HDW108" s="116"/>
      <c r="HDX108" s="116"/>
      <c r="HDY108" s="116"/>
      <c r="HDZ108" s="116"/>
      <c r="HEA108" s="116"/>
      <c r="HEB108" s="116"/>
      <c r="HEC108" s="116"/>
      <c r="HED108" s="116"/>
      <c r="HEE108" s="116"/>
      <c r="HEF108" s="116"/>
      <c r="HEG108" s="116"/>
      <c r="HEH108" s="116"/>
      <c r="HEI108" s="116"/>
      <c r="HEJ108" s="116"/>
      <c r="HEK108" s="116"/>
      <c r="HEL108" s="116"/>
      <c r="HEM108" s="116"/>
      <c r="HEN108" s="116"/>
      <c r="HEO108" s="116"/>
      <c r="HEP108" s="116"/>
      <c r="HEQ108" s="116"/>
      <c r="HER108" s="116"/>
      <c r="HES108" s="116"/>
      <c r="HET108" s="116"/>
      <c r="HEU108" s="116"/>
      <c r="HEV108" s="116"/>
      <c r="HEW108" s="116"/>
      <c r="HEX108" s="116"/>
      <c r="HEY108" s="116"/>
      <c r="HEZ108" s="116"/>
      <c r="HFA108" s="116"/>
      <c r="HFB108" s="116"/>
      <c r="HFC108" s="116"/>
      <c r="HFD108" s="116"/>
      <c r="HFE108" s="116"/>
      <c r="HFF108" s="116"/>
      <c r="HFG108" s="116"/>
      <c r="HFH108" s="116"/>
      <c r="HFI108" s="116"/>
      <c r="HFJ108" s="116"/>
      <c r="HFK108" s="116"/>
      <c r="HFL108" s="116"/>
      <c r="HFM108" s="116"/>
      <c r="HFN108" s="116"/>
      <c r="HFO108" s="116"/>
      <c r="HFP108" s="116"/>
      <c r="HFQ108" s="116"/>
      <c r="HFR108" s="116"/>
      <c r="HFS108" s="116"/>
      <c r="HFT108" s="116"/>
      <c r="HFU108" s="116"/>
      <c r="HFV108" s="116"/>
      <c r="HFW108" s="116"/>
      <c r="HFX108" s="116"/>
      <c r="HFY108" s="116"/>
      <c r="HFZ108" s="116"/>
      <c r="HGA108" s="116"/>
      <c r="HGB108" s="116"/>
      <c r="HGC108" s="116"/>
      <c r="HGD108" s="116"/>
      <c r="HGE108" s="116"/>
      <c r="HGF108" s="116"/>
      <c r="HGG108" s="116"/>
      <c r="HGH108" s="116"/>
      <c r="HGI108" s="116"/>
      <c r="HGJ108" s="116"/>
      <c r="HGK108" s="116"/>
      <c r="HGL108" s="116"/>
      <c r="HGM108" s="116"/>
      <c r="HGN108" s="116"/>
      <c r="HGO108" s="116"/>
      <c r="HGP108" s="116"/>
      <c r="HGQ108" s="116"/>
      <c r="HGR108" s="116"/>
      <c r="HGS108" s="116"/>
      <c r="HGT108" s="116"/>
      <c r="HGU108" s="116"/>
      <c r="HGV108" s="116"/>
      <c r="HGW108" s="116"/>
      <c r="HGX108" s="116"/>
      <c r="HGY108" s="116"/>
      <c r="HGZ108" s="116"/>
      <c r="HHA108" s="116"/>
      <c r="HHB108" s="116"/>
      <c r="HHC108" s="116"/>
      <c r="HHD108" s="116"/>
      <c r="HHE108" s="116"/>
      <c r="HHF108" s="116"/>
      <c r="HHG108" s="116"/>
      <c r="HHH108" s="116"/>
      <c r="HHI108" s="116"/>
      <c r="HHJ108" s="116"/>
      <c r="HHK108" s="116"/>
      <c r="HHL108" s="116"/>
      <c r="HHM108" s="116"/>
      <c r="HHN108" s="116"/>
      <c r="HHO108" s="116"/>
      <c r="HHP108" s="116"/>
      <c r="HHQ108" s="116"/>
      <c r="HHR108" s="116"/>
      <c r="HHS108" s="116"/>
      <c r="HHT108" s="116"/>
      <c r="HHU108" s="116"/>
      <c r="HHV108" s="116"/>
      <c r="HHW108" s="116"/>
      <c r="HHX108" s="116"/>
      <c r="HHY108" s="116"/>
      <c r="HHZ108" s="116"/>
      <c r="HIA108" s="116"/>
      <c r="HIB108" s="116"/>
      <c r="HIC108" s="116"/>
      <c r="HID108" s="116"/>
      <c r="HIE108" s="116"/>
      <c r="HIF108" s="116"/>
      <c r="HIG108" s="116"/>
      <c r="HIH108" s="116"/>
      <c r="HII108" s="116"/>
      <c r="HIJ108" s="116"/>
      <c r="HIK108" s="116"/>
      <c r="HIL108" s="116"/>
      <c r="HIM108" s="116"/>
      <c r="HIN108" s="116"/>
      <c r="HIO108" s="116"/>
      <c r="HIP108" s="116"/>
      <c r="HIQ108" s="116"/>
      <c r="HIR108" s="116"/>
      <c r="HIS108" s="116"/>
      <c r="HIT108" s="116"/>
      <c r="HIU108" s="116"/>
      <c r="HIV108" s="116"/>
      <c r="HIW108" s="116"/>
      <c r="HIX108" s="116"/>
      <c r="HIY108" s="116"/>
      <c r="HIZ108" s="116"/>
      <c r="HJA108" s="116"/>
      <c r="HJB108" s="116"/>
      <c r="HJC108" s="116"/>
      <c r="HJD108" s="116"/>
      <c r="HJE108" s="116"/>
      <c r="HJF108" s="116"/>
      <c r="HJG108" s="116"/>
      <c r="HJH108" s="116"/>
      <c r="HJI108" s="116"/>
      <c r="HJJ108" s="116"/>
      <c r="HJK108" s="116"/>
      <c r="HJL108" s="116"/>
      <c r="HJM108" s="116"/>
      <c r="HJN108" s="116"/>
      <c r="HJO108" s="116"/>
      <c r="HJP108" s="116"/>
      <c r="HJQ108" s="116"/>
      <c r="HJR108" s="116"/>
      <c r="HJS108" s="116"/>
      <c r="HJT108" s="116"/>
      <c r="HJU108" s="116"/>
      <c r="HJV108" s="116"/>
      <c r="HJW108" s="116"/>
      <c r="HJX108" s="116"/>
      <c r="HJY108" s="116"/>
      <c r="HJZ108" s="116"/>
      <c r="HKA108" s="116"/>
      <c r="HKB108" s="116"/>
      <c r="HKC108" s="116"/>
      <c r="HKD108" s="116"/>
      <c r="HKE108" s="116"/>
      <c r="HKF108" s="116"/>
      <c r="HKG108" s="116"/>
      <c r="HKH108" s="116"/>
      <c r="HKI108" s="116"/>
      <c r="HKJ108" s="116"/>
      <c r="HKK108" s="116"/>
      <c r="HKL108" s="116"/>
      <c r="HKM108" s="116"/>
      <c r="HKN108" s="116"/>
      <c r="HKO108" s="116"/>
      <c r="HKP108" s="116"/>
      <c r="HKQ108" s="116"/>
      <c r="HKR108" s="116"/>
      <c r="HKS108" s="116"/>
      <c r="HKT108" s="116"/>
      <c r="HKU108" s="116"/>
      <c r="HKV108" s="116"/>
      <c r="HKW108" s="116"/>
      <c r="HKX108" s="116"/>
      <c r="HKY108" s="116"/>
      <c r="HKZ108" s="116"/>
      <c r="HLA108" s="116"/>
      <c r="HLB108" s="116"/>
      <c r="HLC108" s="116"/>
      <c r="HLD108" s="116"/>
      <c r="HLE108" s="116"/>
      <c r="HLF108" s="116"/>
      <c r="HLG108" s="116"/>
      <c r="HLH108" s="116"/>
      <c r="HLI108" s="116"/>
      <c r="HLJ108" s="116"/>
      <c r="HLK108" s="116"/>
      <c r="HLL108" s="116"/>
      <c r="HLM108" s="116"/>
      <c r="HLN108" s="116"/>
      <c r="HLO108" s="116"/>
      <c r="HLP108" s="116"/>
      <c r="HLQ108" s="116"/>
      <c r="HLR108" s="116"/>
      <c r="HLS108" s="116"/>
      <c r="HLT108" s="116"/>
      <c r="HLU108" s="116"/>
      <c r="HLV108" s="116"/>
      <c r="HLW108" s="116"/>
      <c r="HLX108" s="116"/>
      <c r="HLY108" s="116"/>
      <c r="HLZ108" s="116"/>
      <c r="HMA108" s="116"/>
      <c r="HMB108" s="116"/>
      <c r="HMC108" s="116"/>
      <c r="HMD108" s="116"/>
      <c r="HME108" s="116"/>
      <c r="HMF108" s="116"/>
      <c r="HMG108" s="116"/>
      <c r="HMH108" s="116"/>
      <c r="HMI108" s="116"/>
      <c r="HMJ108" s="116"/>
      <c r="HMK108" s="116"/>
      <c r="HML108" s="116"/>
      <c r="HMM108" s="116"/>
      <c r="HMN108" s="116"/>
      <c r="HMO108" s="116"/>
      <c r="HMP108" s="116"/>
      <c r="HMQ108" s="116"/>
      <c r="HMR108" s="116"/>
      <c r="HMS108" s="116"/>
      <c r="HMT108" s="116"/>
      <c r="HMU108" s="116"/>
      <c r="HMV108" s="116"/>
      <c r="HMW108" s="116"/>
      <c r="HMX108" s="116"/>
      <c r="HMY108" s="116"/>
      <c r="HMZ108" s="116"/>
      <c r="HNA108" s="116"/>
      <c r="HNB108" s="116"/>
      <c r="HNC108" s="116"/>
      <c r="HND108" s="116"/>
      <c r="HNE108" s="116"/>
      <c r="HNF108" s="116"/>
      <c r="HNG108" s="116"/>
      <c r="HNH108" s="116"/>
      <c r="HNI108" s="116"/>
      <c r="HNJ108" s="116"/>
      <c r="HNK108" s="116"/>
      <c r="HNL108" s="116"/>
      <c r="HNM108" s="116"/>
      <c r="HNN108" s="116"/>
      <c r="HNO108" s="116"/>
      <c r="HNP108" s="116"/>
      <c r="HNQ108" s="116"/>
      <c r="HNR108" s="116"/>
      <c r="HNS108" s="116"/>
      <c r="HNT108" s="116"/>
      <c r="HNU108" s="116"/>
      <c r="HNV108" s="116"/>
      <c r="HNW108" s="116"/>
      <c r="HNX108" s="116"/>
      <c r="HNY108" s="116"/>
      <c r="HNZ108" s="116"/>
      <c r="HOA108" s="116"/>
      <c r="HOB108" s="116"/>
      <c r="HOC108" s="116"/>
      <c r="HOD108" s="116"/>
      <c r="HOE108" s="116"/>
      <c r="HOF108" s="116"/>
      <c r="HOG108" s="116"/>
      <c r="HOH108" s="116"/>
      <c r="HOI108" s="116"/>
      <c r="HOJ108" s="116"/>
      <c r="HOK108" s="116"/>
      <c r="HOL108" s="116"/>
      <c r="HOM108" s="116"/>
      <c r="HON108" s="116"/>
      <c r="HOO108" s="116"/>
      <c r="HOP108" s="116"/>
      <c r="HOQ108" s="116"/>
      <c r="HOR108" s="116"/>
      <c r="HOS108" s="116"/>
      <c r="HOT108" s="116"/>
      <c r="HOU108" s="116"/>
      <c r="HOV108" s="116"/>
      <c r="HOW108" s="116"/>
      <c r="HOX108" s="116"/>
      <c r="HOY108" s="116"/>
      <c r="HOZ108" s="116"/>
      <c r="HPA108" s="116"/>
      <c r="HPB108" s="116"/>
      <c r="HPC108" s="116"/>
      <c r="HPD108" s="116"/>
      <c r="HPE108" s="116"/>
      <c r="HPF108" s="116"/>
      <c r="HPG108" s="116"/>
      <c r="HPH108" s="116"/>
      <c r="HPI108" s="116"/>
      <c r="HPJ108" s="116"/>
      <c r="HPK108" s="116"/>
      <c r="HPL108" s="116"/>
      <c r="HPM108" s="116"/>
      <c r="HPN108" s="116"/>
      <c r="HPO108" s="116"/>
      <c r="HPP108" s="116"/>
      <c r="HPQ108" s="116"/>
      <c r="HPR108" s="116"/>
      <c r="HPS108" s="116"/>
      <c r="HPT108" s="116"/>
      <c r="HPU108" s="116"/>
      <c r="HPV108" s="116"/>
      <c r="HPW108" s="116"/>
      <c r="HPX108" s="116"/>
      <c r="HPY108" s="116"/>
      <c r="HPZ108" s="116"/>
      <c r="HQA108" s="116"/>
      <c r="HQB108" s="116"/>
      <c r="HQC108" s="116"/>
      <c r="HQD108" s="116"/>
      <c r="HQE108" s="116"/>
      <c r="HQF108" s="116"/>
      <c r="HQG108" s="116"/>
      <c r="HQH108" s="116"/>
      <c r="HQI108" s="116"/>
      <c r="HQJ108" s="116"/>
      <c r="HQK108" s="116"/>
      <c r="HQL108" s="116"/>
      <c r="HQM108" s="116"/>
      <c r="HQN108" s="116"/>
      <c r="HQO108" s="116"/>
      <c r="HQP108" s="116"/>
      <c r="HQQ108" s="116"/>
      <c r="HQR108" s="116"/>
      <c r="HQS108" s="116"/>
      <c r="HQT108" s="116"/>
      <c r="HQU108" s="116"/>
      <c r="HQV108" s="116"/>
      <c r="HQW108" s="116"/>
      <c r="HQX108" s="116"/>
      <c r="HQY108" s="116"/>
      <c r="HQZ108" s="116"/>
      <c r="HRA108" s="116"/>
      <c r="HRB108" s="116"/>
      <c r="HRC108" s="116"/>
      <c r="HRD108" s="116"/>
      <c r="HRE108" s="116"/>
      <c r="HRF108" s="116"/>
      <c r="HRG108" s="116"/>
      <c r="HRH108" s="116"/>
      <c r="HRI108" s="116"/>
      <c r="HRJ108" s="116"/>
      <c r="HRK108" s="116"/>
      <c r="HRL108" s="116"/>
      <c r="HRM108" s="116"/>
      <c r="HRN108" s="116"/>
      <c r="HRO108" s="116"/>
      <c r="HRP108" s="116"/>
      <c r="HRQ108" s="116"/>
      <c r="HRR108" s="116"/>
      <c r="HRS108" s="116"/>
      <c r="HRT108" s="116"/>
      <c r="HRU108" s="116"/>
      <c r="HRV108" s="116"/>
      <c r="HRW108" s="116"/>
      <c r="HRX108" s="116"/>
      <c r="HRY108" s="116"/>
      <c r="HRZ108" s="116"/>
      <c r="HSA108" s="116"/>
      <c r="HSB108" s="116"/>
      <c r="HSC108" s="116"/>
      <c r="HSD108" s="116"/>
      <c r="HSE108" s="116"/>
      <c r="HSF108" s="116"/>
      <c r="HSG108" s="116"/>
      <c r="HSH108" s="116"/>
      <c r="HSI108" s="116"/>
      <c r="HSJ108" s="116"/>
      <c r="HSK108" s="116"/>
      <c r="HSL108" s="116"/>
      <c r="HSM108" s="116"/>
      <c r="HSN108" s="116"/>
      <c r="HSO108" s="116"/>
      <c r="HSP108" s="116"/>
      <c r="HSQ108" s="116"/>
      <c r="HSR108" s="116"/>
      <c r="HSS108" s="116"/>
      <c r="HST108" s="116"/>
      <c r="HSU108" s="116"/>
      <c r="HSV108" s="116"/>
      <c r="HSW108" s="116"/>
      <c r="HSX108" s="116"/>
      <c r="HSY108" s="116"/>
      <c r="HSZ108" s="116"/>
      <c r="HTA108" s="116"/>
      <c r="HTB108" s="116"/>
      <c r="HTC108" s="116"/>
      <c r="HTD108" s="116"/>
      <c r="HTE108" s="116"/>
      <c r="HTF108" s="116"/>
      <c r="HTG108" s="116"/>
      <c r="HTH108" s="116"/>
      <c r="HTI108" s="116"/>
      <c r="HTJ108" s="116"/>
      <c r="HTK108" s="116"/>
      <c r="HTL108" s="116"/>
      <c r="HTM108" s="116"/>
      <c r="HTN108" s="116"/>
      <c r="HTO108" s="116"/>
      <c r="HTP108" s="116"/>
      <c r="HTQ108" s="116"/>
      <c r="HTR108" s="116"/>
      <c r="HTS108" s="116"/>
      <c r="HTT108" s="116"/>
      <c r="HTU108" s="116"/>
      <c r="HTV108" s="116"/>
      <c r="HTW108" s="116"/>
      <c r="HTX108" s="116"/>
      <c r="HTY108" s="116"/>
      <c r="HTZ108" s="116"/>
      <c r="HUA108" s="116"/>
      <c r="HUB108" s="116"/>
      <c r="HUC108" s="116"/>
      <c r="HUD108" s="116"/>
      <c r="HUE108" s="116"/>
      <c r="HUF108" s="116"/>
      <c r="HUG108" s="116"/>
      <c r="HUH108" s="116"/>
      <c r="HUI108" s="116"/>
      <c r="HUJ108" s="116"/>
      <c r="HUK108" s="116"/>
      <c r="HUL108" s="116"/>
      <c r="HUM108" s="116"/>
      <c r="HUN108" s="116"/>
      <c r="HUO108" s="116"/>
      <c r="HUP108" s="116"/>
      <c r="HUQ108" s="116"/>
      <c r="HUR108" s="116"/>
      <c r="HUS108" s="116"/>
      <c r="HUT108" s="116"/>
      <c r="HUU108" s="116"/>
      <c r="HUV108" s="116"/>
      <c r="HUW108" s="116"/>
      <c r="HUX108" s="116"/>
      <c r="HUY108" s="116"/>
      <c r="HUZ108" s="116"/>
      <c r="HVA108" s="116"/>
      <c r="HVB108" s="116"/>
      <c r="HVC108" s="116"/>
      <c r="HVD108" s="116"/>
      <c r="HVE108" s="116"/>
      <c r="HVF108" s="116"/>
      <c r="HVG108" s="116"/>
      <c r="HVH108" s="116"/>
      <c r="HVI108" s="116"/>
      <c r="HVJ108" s="116"/>
      <c r="HVK108" s="116"/>
      <c r="HVL108" s="116"/>
      <c r="HVM108" s="116"/>
      <c r="HVN108" s="116"/>
      <c r="HVO108" s="116"/>
      <c r="HVP108" s="116"/>
      <c r="HVQ108" s="116"/>
      <c r="HVR108" s="116"/>
      <c r="HVS108" s="116"/>
      <c r="HVT108" s="116"/>
      <c r="HVU108" s="116"/>
      <c r="HVV108" s="116"/>
      <c r="HVW108" s="116"/>
      <c r="HVX108" s="116"/>
      <c r="HVY108" s="116"/>
      <c r="HVZ108" s="116"/>
      <c r="HWA108" s="116"/>
      <c r="HWB108" s="116"/>
      <c r="HWC108" s="116"/>
      <c r="HWD108" s="116"/>
      <c r="HWE108" s="116"/>
      <c r="HWF108" s="116"/>
      <c r="HWG108" s="116"/>
      <c r="HWH108" s="116"/>
      <c r="HWI108" s="116"/>
      <c r="HWJ108" s="116"/>
      <c r="HWK108" s="116"/>
      <c r="HWL108" s="116"/>
      <c r="HWM108" s="116"/>
      <c r="HWN108" s="116"/>
      <c r="HWO108" s="116"/>
      <c r="HWP108" s="116"/>
      <c r="HWQ108" s="116"/>
      <c r="HWR108" s="116"/>
      <c r="HWS108" s="116"/>
      <c r="HWT108" s="116"/>
      <c r="HWU108" s="116"/>
      <c r="HWV108" s="116"/>
      <c r="HWW108" s="116"/>
      <c r="HWX108" s="116"/>
      <c r="HWY108" s="116"/>
      <c r="HWZ108" s="116"/>
      <c r="HXA108" s="116"/>
      <c r="HXB108" s="116"/>
      <c r="HXC108" s="116"/>
      <c r="HXD108" s="116"/>
      <c r="HXE108" s="116"/>
      <c r="HXF108" s="116"/>
      <c r="HXG108" s="116"/>
      <c r="HXH108" s="116"/>
      <c r="HXI108" s="116"/>
      <c r="HXJ108" s="116"/>
      <c r="HXK108" s="116"/>
      <c r="HXL108" s="116"/>
      <c r="HXM108" s="116"/>
      <c r="HXN108" s="116"/>
      <c r="HXO108" s="116"/>
      <c r="HXP108" s="116"/>
      <c r="HXQ108" s="116"/>
      <c r="HXR108" s="116"/>
      <c r="HXS108" s="116"/>
      <c r="HXT108" s="116"/>
      <c r="HXU108" s="116"/>
      <c r="HXV108" s="116"/>
      <c r="HXW108" s="116"/>
      <c r="HXX108" s="116"/>
      <c r="HXY108" s="116"/>
      <c r="HXZ108" s="116"/>
      <c r="HYA108" s="116"/>
      <c r="HYB108" s="116"/>
      <c r="HYC108" s="116"/>
      <c r="HYD108" s="116"/>
      <c r="HYE108" s="116"/>
      <c r="HYF108" s="116"/>
      <c r="HYG108" s="116"/>
      <c r="HYH108" s="116"/>
      <c r="HYI108" s="116"/>
      <c r="HYJ108" s="116"/>
      <c r="HYK108" s="116"/>
      <c r="HYL108" s="116"/>
      <c r="HYM108" s="116"/>
      <c r="HYN108" s="116"/>
      <c r="HYO108" s="116"/>
      <c r="HYP108" s="116"/>
      <c r="HYQ108" s="116"/>
      <c r="HYR108" s="116"/>
      <c r="HYS108" s="116"/>
      <c r="HYT108" s="116"/>
      <c r="HYU108" s="116"/>
      <c r="HYV108" s="116"/>
      <c r="HYW108" s="116"/>
      <c r="HYX108" s="116"/>
      <c r="HYY108" s="116"/>
      <c r="HYZ108" s="116"/>
      <c r="HZA108" s="116"/>
      <c r="HZB108" s="116"/>
      <c r="HZC108" s="116"/>
      <c r="HZD108" s="116"/>
      <c r="HZE108" s="116"/>
      <c r="HZF108" s="116"/>
      <c r="HZG108" s="116"/>
      <c r="HZH108" s="116"/>
      <c r="HZI108" s="116"/>
      <c r="HZJ108" s="116"/>
      <c r="HZK108" s="116"/>
      <c r="HZL108" s="116"/>
      <c r="HZM108" s="116"/>
      <c r="HZN108" s="116"/>
      <c r="HZO108" s="116"/>
      <c r="HZP108" s="116"/>
      <c r="HZQ108" s="116"/>
      <c r="HZR108" s="116"/>
      <c r="HZS108" s="116"/>
      <c r="HZT108" s="116"/>
      <c r="HZU108" s="116"/>
      <c r="HZV108" s="116"/>
      <c r="HZW108" s="116"/>
      <c r="HZX108" s="116"/>
      <c r="HZY108" s="116"/>
      <c r="HZZ108" s="116"/>
      <c r="IAA108" s="116"/>
      <c r="IAB108" s="116"/>
      <c r="IAC108" s="116"/>
      <c r="IAD108" s="116"/>
      <c r="IAE108" s="116"/>
      <c r="IAF108" s="116"/>
      <c r="IAG108" s="116"/>
      <c r="IAH108" s="116"/>
      <c r="IAI108" s="116"/>
      <c r="IAJ108" s="116"/>
      <c r="IAK108" s="116"/>
      <c r="IAL108" s="116"/>
      <c r="IAM108" s="116"/>
      <c r="IAN108" s="116"/>
      <c r="IAO108" s="116"/>
      <c r="IAP108" s="116"/>
      <c r="IAQ108" s="116"/>
      <c r="IAR108" s="116"/>
      <c r="IAS108" s="116"/>
      <c r="IAT108" s="116"/>
      <c r="IAU108" s="116"/>
      <c r="IAV108" s="116"/>
      <c r="IAW108" s="116"/>
      <c r="IAX108" s="116"/>
      <c r="IAY108" s="116"/>
      <c r="IAZ108" s="116"/>
      <c r="IBA108" s="116"/>
      <c r="IBB108" s="116"/>
      <c r="IBC108" s="116"/>
      <c r="IBD108" s="116"/>
      <c r="IBE108" s="116"/>
      <c r="IBF108" s="116"/>
      <c r="IBG108" s="116"/>
      <c r="IBH108" s="116"/>
      <c r="IBI108" s="116"/>
      <c r="IBJ108" s="116"/>
      <c r="IBK108" s="116"/>
      <c r="IBL108" s="116"/>
      <c r="IBM108" s="116"/>
      <c r="IBN108" s="116"/>
      <c r="IBO108" s="116"/>
      <c r="IBP108" s="116"/>
      <c r="IBQ108" s="116"/>
      <c r="IBR108" s="116"/>
      <c r="IBS108" s="116"/>
      <c r="IBT108" s="116"/>
      <c r="IBU108" s="116"/>
      <c r="IBV108" s="116"/>
      <c r="IBW108" s="116"/>
      <c r="IBX108" s="116"/>
      <c r="IBY108" s="116"/>
      <c r="IBZ108" s="116"/>
      <c r="ICA108" s="116"/>
      <c r="ICB108" s="116"/>
      <c r="ICC108" s="116"/>
      <c r="ICD108" s="116"/>
      <c r="ICE108" s="116"/>
      <c r="ICF108" s="116"/>
      <c r="ICG108" s="116"/>
      <c r="ICH108" s="116"/>
      <c r="ICI108" s="116"/>
      <c r="ICJ108" s="116"/>
      <c r="ICK108" s="116"/>
      <c r="ICL108" s="116"/>
      <c r="ICM108" s="116"/>
      <c r="ICN108" s="116"/>
      <c r="ICO108" s="116"/>
      <c r="ICP108" s="116"/>
      <c r="ICQ108" s="116"/>
      <c r="ICR108" s="116"/>
      <c r="ICS108" s="116"/>
      <c r="ICT108" s="116"/>
      <c r="ICU108" s="116"/>
      <c r="ICV108" s="116"/>
      <c r="ICW108" s="116"/>
      <c r="ICX108" s="116"/>
      <c r="ICY108" s="116"/>
      <c r="ICZ108" s="116"/>
      <c r="IDA108" s="116"/>
      <c r="IDB108" s="116"/>
      <c r="IDC108" s="116"/>
      <c r="IDD108" s="116"/>
      <c r="IDE108" s="116"/>
      <c r="IDF108" s="116"/>
      <c r="IDG108" s="116"/>
      <c r="IDH108" s="116"/>
      <c r="IDI108" s="116"/>
      <c r="IDJ108" s="116"/>
      <c r="IDK108" s="116"/>
      <c r="IDL108" s="116"/>
      <c r="IDM108" s="116"/>
      <c r="IDN108" s="116"/>
      <c r="IDO108" s="116"/>
      <c r="IDP108" s="116"/>
      <c r="IDQ108" s="116"/>
      <c r="IDR108" s="116"/>
      <c r="IDS108" s="116"/>
      <c r="IDT108" s="116"/>
      <c r="IDU108" s="116"/>
      <c r="IDV108" s="116"/>
      <c r="IDW108" s="116"/>
      <c r="IDX108" s="116"/>
      <c r="IDY108" s="116"/>
      <c r="IDZ108" s="116"/>
      <c r="IEA108" s="116"/>
      <c r="IEB108" s="116"/>
      <c r="IEC108" s="116"/>
      <c r="IED108" s="116"/>
      <c r="IEE108" s="116"/>
      <c r="IEF108" s="116"/>
      <c r="IEG108" s="116"/>
      <c r="IEH108" s="116"/>
      <c r="IEI108" s="116"/>
      <c r="IEJ108" s="116"/>
      <c r="IEK108" s="116"/>
      <c r="IEL108" s="116"/>
      <c r="IEM108" s="116"/>
      <c r="IEN108" s="116"/>
      <c r="IEO108" s="116"/>
      <c r="IEP108" s="116"/>
      <c r="IEQ108" s="116"/>
      <c r="IER108" s="116"/>
      <c r="IES108" s="116"/>
      <c r="IET108" s="116"/>
      <c r="IEU108" s="116"/>
      <c r="IEV108" s="116"/>
      <c r="IEW108" s="116"/>
      <c r="IEX108" s="116"/>
      <c r="IEY108" s="116"/>
      <c r="IEZ108" s="116"/>
      <c r="IFA108" s="116"/>
      <c r="IFB108" s="116"/>
      <c r="IFC108" s="116"/>
      <c r="IFD108" s="116"/>
      <c r="IFE108" s="116"/>
      <c r="IFF108" s="116"/>
      <c r="IFG108" s="116"/>
      <c r="IFH108" s="116"/>
      <c r="IFI108" s="116"/>
      <c r="IFJ108" s="116"/>
      <c r="IFK108" s="116"/>
      <c r="IFL108" s="116"/>
      <c r="IFM108" s="116"/>
      <c r="IFN108" s="116"/>
      <c r="IFO108" s="116"/>
      <c r="IFP108" s="116"/>
      <c r="IFQ108" s="116"/>
      <c r="IFR108" s="116"/>
      <c r="IFS108" s="116"/>
      <c r="IFT108" s="116"/>
      <c r="IFU108" s="116"/>
      <c r="IFV108" s="116"/>
      <c r="IFW108" s="116"/>
      <c r="IFX108" s="116"/>
      <c r="IFY108" s="116"/>
      <c r="IFZ108" s="116"/>
      <c r="IGA108" s="116"/>
      <c r="IGB108" s="116"/>
      <c r="IGC108" s="116"/>
      <c r="IGD108" s="116"/>
      <c r="IGE108" s="116"/>
      <c r="IGF108" s="116"/>
      <c r="IGG108" s="116"/>
      <c r="IGH108" s="116"/>
      <c r="IGI108" s="116"/>
      <c r="IGJ108" s="116"/>
      <c r="IGK108" s="116"/>
      <c r="IGL108" s="116"/>
      <c r="IGM108" s="116"/>
      <c r="IGN108" s="116"/>
      <c r="IGO108" s="116"/>
      <c r="IGP108" s="116"/>
      <c r="IGQ108" s="116"/>
      <c r="IGR108" s="116"/>
      <c r="IGS108" s="116"/>
      <c r="IGT108" s="116"/>
      <c r="IGU108" s="116"/>
      <c r="IGV108" s="116"/>
      <c r="IGW108" s="116"/>
      <c r="IGX108" s="116"/>
      <c r="IGY108" s="116"/>
      <c r="IGZ108" s="116"/>
      <c r="IHA108" s="116"/>
      <c r="IHB108" s="116"/>
      <c r="IHC108" s="116"/>
      <c r="IHD108" s="116"/>
      <c r="IHE108" s="116"/>
      <c r="IHF108" s="116"/>
      <c r="IHG108" s="116"/>
      <c r="IHH108" s="116"/>
      <c r="IHI108" s="116"/>
      <c r="IHJ108" s="116"/>
      <c r="IHK108" s="116"/>
      <c r="IHL108" s="116"/>
      <c r="IHM108" s="116"/>
      <c r="IHN108" s="116"/>
      <c r="IHO108" s="116"/>
      <c r="IHP108" s="116"/>
      <c r="IHQ108" s="116"/>
      <c r="IHR108" s="116"/>
      <c r="IHS108" s="116"/>
      <c r="IHT108" s="116"/>
      <c r="IHU108" s="116"/>
      <c r="IHV108" s="116"/>
      <c r="IHW108" s="116"/>
      <c r="IHX108" s="116"/>
      <c r="IHY108" s="116"/>
      <c r="IHZ108" s="116"/>
      <c r="IIA108" s="116"/>
      <c r="IIB108" s="116"/>
      <c r="IIC108" s="116"/>
      <c r="IID108" s="116"/>
      <c r="IIE108" s="116"/>
      <c r="IIF108" s="116"/>
      <c r="IIG108" s="116"/>
      <c r="IIH108" s="116"/>
      <c r="III108" s="116"/>
      <c r="IIJ108" s="116"/>
      <c r="IIK108" s="116"/>
      <c r="IIL108" s="116"/>
      <c r="IIM108" s="116"/>
      <c r="IIN108" s="116"/>
      <c r="IIO108" s="116"/>
      <c r="IIP108" s="116"/>
      <c r="IIQ108" s="116"/>
      <c r="IIR108" s="116"/>
      <c r="IIS108" s="116"/>
      <c r="IIT108" s="116"/>
      <c r="IIU108" s="116"/>
      <c r="IIV108" s="116"/>
      <c r="IIW108" s="116"/>
      <c r="IIX108" s="116"/>
      <c r="IIY108" s="116"/>
      <c r="IIZ108" s="116"/>
      <c r="IJA108" s="116"/>
      <c r="IJB108" s="116"/>
      <c r="IJC108" s="116"/>
      <c r="IJD108" s="116"/>
      <c r="IJE108" s="116"/>
      <c r="IJF108" s="116"/>
      <c r="IJG108" s="116"/>
      <c r="IJH108" s="116"/>
      <c r="IJI108" s="116"/>
      <c r="IJJ108" s="116"/>
      <c r="IJK108" s="116"/>
      <c r="IJL108" s="116"/>
      <c r="IJM108" s="116"/>
      <c r="IJN108" s="116"/>
      <c r="IJO108" s="116"/>
      <c r="IJP108" s="116"/>
      <c r="IJQ108" s="116"/>
      <c r="IJR108" s="116"/>
      <c r="IJS108" s="116"/>
      <c r="IJT108" s="116"/>
      <c r="IJU108" s="116"/>
      <c r="IJV108" s="116"/>
      <c r="IJW108" s="116"/>
      <c r="IJX108" s="116"/>
      <c r="IJY108" s="116"/>
      <c r="IJZ108" s="116"/>
      <c r="IKA108" s="116"/>
      <c r="IKB108" s="116"/>
      <c r="IKC108" s="116"/>
      <c r="IKD108" s="116"/>
      <c r="IKE108" s="116"/>
      <c r="IKF108" s="116"/>
      <c r="IKG108" s="116"/>
      <c r="IKH108" s="116"/>
      <c r="IKI108" s="116"/>
      <c r="IKJ108" s="116"/>
      <c r="IKK108" s="116"/>
      <c r="IKL108" s="116"/>
      <c r="IKM108" s="116"/>
      <c r="IKN108" s="116"/>
      <c r="IKO108" s="116"/>
      <c r="IKP108" s="116"/>
      <c r="IKQ108" s="116"/>
      <c r="IKR108" s="116"/>
      <c r="IKS108" s="116"/>
      <c r="IKT108" s="116"/>
      <c r="IKU108" s="116"/>
      <c r="IKV108" s="116"/>
      <c r="IKW108" s="116"/>
      <c r="IKX108" s="116"/>
      <c r="IKY108" s="116"/>
      <c r="IKZ108" s="116"/>
      <c r="ILA108" s="116"/>
      <c r="ILB108" s="116"/>
      <c r="ILC108" s="116"/>
      <c r="ILD108" s="116"/>
      <c r="ILE108" s="116"/>
      <c r="ILF108" s="116"/>
      <c r="ILG108" s="116"/>
      <c r="ILH108" s="116"/>
      <c r="ILI108" s="116"/>
      <c r="ILJ108" s="116"/>
      <c r="ILK108" s="116"/>
      <c r="ILL108" s="116"/>
      <c r="ILM108" s="116"/>
      <c r="ILN108" s="116"/>
      <c r="ILO108" s="116"/>
      <c r="ILP108" s="116"/>
      <c r="ILQ108" s="116"/>
      <c r="ILR108" s="116"/>
      <c r="ILS108" s="116"/>
      <c r="ILT108" s="116"/>
      <c r="ILU108" s="116"/>
      <c r="ILV108" s="116"/>
      <c r="ILW108" s="116"/>
      <c r="ILX108" s="116"/>
      <c r="ILY108" s="116"/>
      <c r="ILZ108" s="116"/>
      <c r="IMA108" s="116"/>
      <c r="IMB108" s="116"/>
      <c r="IMC108" s="116"/>
      <c r="IMD108" s="116"/>
      <c r="IME108" s="116"/>
      <c r="IMF108" s="116"/>
      <c r="IMG108" s="116"/>
      <c r="IMH108" s="116"/>
      <c r="IMI108" s="116"/>
      <c r="IMJ108" s="116"/>
      <c r="IMK108" s="116"/>
      <c r="IML108" s="116"/>
      <c r="IMM108" s="116"/>
      <c r="IMN108" s="116"/>
      <c r="IMO108" s="116"/>
      <c r="IMP108" s="116"/>
      <c r="IMQ108" s="116"/>
      <c r="IMR108" s="116"/>
      <c r="IMS108" s="116"/>
      <c r="IMT108" s="116"/>
      <c r="IMU108" s="116"/>
      <c r="IMV108" s="116"/>
      <c r="IMW108" s="116"/>
      <c r="IMX108" s="116"/>
      <c r="IMY108" s="116"/>
      <c r="IMZ108" s="116"/>
      <c r="INA108" s="116"/>
      <c r="INB108" s="116"/>
      <c r="INC108" s="116"/>
      <c r="IND108" s="116"/>
      <c r="INE108" s="116"/>
      <c r="INF108" s="116"/>
      <c r="ING108" s="116"/>
      <c r="INH108" s="116"/>
      <c r="INI108" s="116"/>
      <c r="INJ108" s="116"/>
      <c r="INK108" s="116"/>
      <c r="INL108" s="116"/>
      <c r="INM108" s="116"/>
      <c r="INN108" s="116"/>
      <c r="INO108" s="116"/>
      <c r="INP108" s="116"/>
      <c r="INQ108" s="116"/>
      <c r="INR108" s="116"/>
      <c r="INS108" s="116"/>
      <c r="INT108" s="116"/>
      <c r="INU108" s="116"/>
      <c r="INV108" s="116"/>
      <c r="INW108" s="116"/>
      <c r="INX108" s="116"/>
      <c r="INY108" s="116"/>
      <c r="INZ108" s="116"/>
      <c r="IOA108" s="116"/>
      <c r="IOB108" s="116"/>
      <c r="IOC108" s="116"/>
      <c r="IOD108" s="116"/>
      <c r="IOE108" s="116"/>
      <c r="IOF108" s="116"/>
      <c r="IOG108" s="116"/>
      <c r="IOH108" s="116"/>
      <c r="IOI108" s="116"/>
      <c r="IOJ108" s="116"/>
      <c r="IOK108" s="116"/>
      <c r="IOL108" s="116"/>
      <c r="IOM108" s="116"/>
      <c r="ION108" s="116"/>
      <c r="IOO108" s="116"/>
      <c r="IOP108" s="116"/>
      <c r="IOQ108" s="116"/>
      <c r="IOR108" s="116"/>
      <c r="IOS108" s="116"/>
      <c r="IOT108" s="116"/>
      <c r="IOU108" s="116"/>
      <c r="IOV108" s="116"/>
      <c r="IOW108" s="116"/>
      <c r="IOX108" s="116"/>
      <c r="IOY108" s="116"/>
      <c r="IOZ108" s="116"/>
      <c r="IPA108" s="116"/>
      <c r="IPB108" s="116"/>
      <c r="IPC108" s="116"/>
      <c r="IPD108" s="116"/>
      <c r="IPE108" s="116"/>
      <c r="IPF108" s="116"/>
      <c r="IPG108" s="116"/>
      <c r="IPH108" s="116"/>
      <c r="IPI108" s="116"/>
      <c r="IPJ108" s="116"/>
      <c r="IPK108" s="116"/>
      <c r="IPL108" s="116"/>
      <c r="IPM108" s="116"/>
      <c r="IPN108" s="116"/>
      <c r="IPO108" s="116"/>
      <c r="IPP108" s="116"/>
      <c r="IPQ108" s="116"/>
      <c r="IPR108" s="116"/>
      <c r="IPS108" s="116"/>
      <c r="IPT108" s="116"/>
      <c r="IPU108" s="116"/>
      <c r="IPV108" s="116"/>
      <c r="IPW108" s="116"/>
      <c r="IPX108" s="116"/>
      <c r="IPY108" s="116"/>
      <c r="IPZ108" s="116"/>
      <c r="IQA108" s="116"/>
      <c r="IQB108" s="116"/>
      <c r="IQC108" s="116"/>
      <c r="IQD108" s="116"/>
      <c r="IQE108" s="116"/>
      <c r="IQF108" s="116"/>
      <c r="IQG108" s="116"/>
      <c r="IQH108" s="116"/>
      <c r="IQI108" s="116"/>
      <c r="IQJ108" s="116"/>
      <c r="IQK108" s="116"/>
      <c r="IQL108" s="116"/>
      <c r="IQM108" s="116"/>
      <c r="IQN108" s="116"/>
      <c r="IQO108" s="116"/>
      <c r="IQP108" s="116"/>
      <c r="IQQ108" s="116"/>
      <c r="IQR108" s="116"/>
      <c r="IQS108" s="116"/>
      <c r="IQT108" s="116"/>
      <c r="IQU108" s="116"/>
      <c r="IQV108" s="116"/>
      <c r="IQW108" s="116"/>
      <c r="IQX108" s="116"/>
      <c r="IQY108" s="116"/>
      <c r="IQZ108" s="116"/>
      <c r="IRA108" s="116"/>
      <c r="IRB108" s="116"/>
      <c r="IRC108" s="116"/>
      <c r="IRD108" s="116"/>
      <c r="IRE108" s="116"/>
      <c r="IRF108" s="116"/>
      <c r="IRG108" s="116"/>
      <c r="IRH108" s="116"/>
      <c r="IRI108" s="116"/>
      <c r="IRJ108" s="116"/>
      <c r="IRK108" s="116"/>
      <c r="IRL108" s="116"/>
      <c r="IRM108" s="116"/>
      <c r="IRN108" s="116"/>
      <c r="IRO108" s="116"/>
      <c r="IRP108" s="116"/>
      <c r="IRQ108" s="116"/>
      <c r="IRR108" s="116"/>
      <c r="IRS108" s="116"/>
      <c r="IRT108" s="116"/>
      <c r="IRU108" s="116"/>
      <c r="IRV108" s="116"/>
      <c r="IRW108" s="116"/>
      <c r="IRX108" s="116"/>
      <c r="IRY108" s="116"/>
      <c r="IRZ108" s="116"/>
      <c r="ISA108" s="116"/>
      <c r="ISB108" s="116"/>
      <c r="ISC108" s="116"/>
      <c r="ISD108" s="116"/>
      <c r="ISE108" s="116"/>
      <c r="ISF108" s="116"/>
      <c r="ISG108" s="116"/>
      <c r="ISH108" s="116"/>
      <c r="ISI108" s="116"/>
      <c r="ISJ108" s="116"/>
      <c r="ISK108" s="116"/>
      <c r="ISL108" s="116"/>
      <c r="ISM108" s="116"/>
      <c r="ISN108" s="116"/>
      <c r="ISO108" s="116"/>
      <c r="ISP108" s="116"/>
      <c r="ISQ108" s="116"/>
      <c r="ISR108" s="116"/>
      <c r="ISS108" s="116"/>
      <c r="IST108" s="116"/>
      <c r="ISU108" s="116"/>
      <c r="ISV108" s="116"/>
      <c r="ISW108" s="116"/>
      <c r="ISX108" s="116"/>
      <c r="ISY108" s="116"/>
      <c r="ISZ108" s="116"/>
      <c r="ITA108" s="116"/>
      <c r="ITB108" s="116"/>
      <c r="ITC108" s="116"/>
      <c r="ITD108" s="116"/>
      <c r="ITE108" s="116"/>
      <c r="ITF108" s="116"/>
      <c r="ITG108" s="116"/>
      <c r="ITH108" s="116"/>
      <c r="ITI108" s="116"/>
      <c r="ITJ108" s="116"/>
      <c r="ITK108" s="116"/>
      <c r="ITL108" s="116"/>
      <c r="ITM108" s="116"/>
      <c r="ITN108" s="116"/>
      <c r="ITO108" s="116"/>
      <c r="ITP108" s="116"/>
      <c r="ITQ108" s="116"/>
      <c r="ITR108" s="116"/>
      <c r="ITS108" s="116"/>
      <c r="ITT108" s="116"/>
      <c r="ITU108" s="116"/>
      <c r="ITV108" s="116"/>
      <c r="ITW108" s="116"/>
      <c r="ITX108" s="116"/>
      <c r="ITY108" s="116"/>
      <c r="ITZ108" s="116"/>
      <c r="IUA108" s="116"/>
      <c r="IUB108" s="116"/>
      <c r="IUC108" s="116"/>
      <c r="IUD108" s="116"/>
      <c r="IUE108" s="116"/>
      <c r="IUF108" s="116"/>
      <c r="IUG108" s="116"/>
      <c r="IUH108" s="116"/>
      <c r="IUI108" s="116"/>
      <c r="IUJ108" s="116"/>
      <c r="IUK108" s="116"/>
      <c r="IUL108" s="116"/>
      <c r="IUM108" s="116"/>
      <c r="IUN108" s="116"/>
      <c r="IUO108" s="116"/>
      <c r="IUP108" s="116"/>
      <c r="IUQ108" s="116"/>
      <c r="IUR108" s="116"/>
      <c r="IUS108" s="116"/>
      <c r="IUT108" s="116"/>
      <c r="IUU108" s="116"/>
      <c r="IUV108" s="116"/>
      <c r="IUW108" s="116"/>
      <c r="IUX108" s="116"/>
      <c r="IUY108" s="116"/>
      <c r="IUZ108" s="116"/>
      <c r="IVA108" s="116"/>
      <c r="IVB108" s="116"/>
      <c r="IVC108" s="116"/>
      <c r="IVD108" s="116"/>
      <c r="IVE108" s="116"/>
      <c r="IVF108" s="116"/>
      <c r="IVG108" s="116"/>
      <c r="IVH108" s="116"/>
      <c r="IVI108" s="116"/>
      <c r="IVJ108" s="116"/>
      <c r="IVK108" s="116"/>
      <c r="IVL108" s="116"/>
      <c r="IVM108" s="116"/>
      <c r="IVN108" s="116"/>
      <c r="IVO108" s="116"/>
      <c r="IVP108" s="116"/>
      <c r="IVQ108" s="116"/>
      <c r="IVR108" s="116"/>
      <c r="IVS108" s="116"/>
      <c r="IVT108" s="116"/>
      <c r="IVU108" s="116"/>
      <c r="IVV108" s="116"/>
      <c r="IVW108" s="116"/>
      <c r="IVX108" s="116"/>
      <c r="IVY108" s="116"/>
      <c r="IVZ108" s="116"/>
      <c r="IWA108" s="116"/>
      <c r="IWB108" s="116"/>
      <c r="IWC108" s="116"/>
      <c r="IWD108" s="116"/>
      <c r="IWE108" s="116"/>
      <c r="IWF108" s="116"/>
      <c r="IWG108" s="116"/>
      <c r="IWH108" s="116"/>
      <c r="IWI108" s="116"/>
      <c r="IWJ108" s="116"/>
      <c r="IWK108" s="116"/>
      <c r="IWL108" s="116"/>
      <c r="IWM108" s="116"/>
      <c r="IWN108" s="116"/>
      <c r="IWO108" s="116"/>
      <c r="IWP108" s="116"/>
      <c r="IWQ108" s="116"/>
      <c r="IWR108" s="116"/>
      <c r="IWS108" s="116"/>
      <c r="IWT108" s="116"/>
      <c r="IWU108" s="116"/>
      <c r="IWV108" s="116"/>
      <c r="IWW108" s="116"/>
      <c r="IWX108" s="116"/>
      <c r="IWY108" s="116"/>
      <c r="IWZ108" s="116"/>
      <c r="IXA108" s="116"/>
      <c r="IXB108" s="116"/>
      <c r="IXC108" s="116"/>
      <c r="IXD108" s="116"/>
      <c r="IXE108" s="116"/>
      <c r="IXF108" s="116"/>
      <c r="IXG108" s="116"/>
      <c r="IXH108" s="116"/>
      <c r="IXI108" s="116"/>
      <c r="IXJ108" s="116"/>
      <c r="IXK108" s="116"/>
      <c r="IXL108" s="116"/>
      <c r="IXM108" s="116"/>
      <c r="IXN108" s="116"/>
      <c r="IXO108" s="116"/>
      <c r="IXP108" s="116"/>
      <c r="IXQ108" s="116"/>
      <c r="IXR108" s="116"/>
      <c r="IXS108" s="116"/>
      <c r="IXT108" s="116"/>
      <c r="IXU108" s="116"/>
      <c r="IXV108" s="116"/>
      <c r="IXW108" s="116"/>
      <c r="IXX108" s="116"/>
      <c r="IXY108" s="116"/>
      <c r="IXZ108" s="116"/>
      <c r="IYA108" s="116"/>
      <c r="IYB108" s="116"/>
      <c r="IYC108" s="116"/>
      <c r="IYD108" s="116"/>
      <c r="IYE108" s="116"/>
      <c r="IYF108" s="116"/>
      <c r="IYG108" s="116"/>
      <c r="IYH108" s="116"/>
      <c r="IYI108" s="116"/>
      <c r="IYJ108" s="116"/>
      <c r="IYK108" s="116"/>
      <c r="IYL108" s="116"/>
      <c r="IYM108" s="116"/>
      <c r="IYN108" s="116"/>
      <c r="IYO108" s="116"/>
      <c r="IYP108" s="116"/>
      <c r="IYQ108" s="116"/>
      <c r="IYR108" s="116"/>
      <c r="IYS108" s="116"/>
      <c r="IYT108" s="116"/>
      <c r="IYU108" s="116"/>
      <c r="IYV108" s="116"/>
      <c r="IYW108" s="116"/>
      <c r="IYX108" s="116"/>
      <c r="IYY108" s="116"/>
      <c r="IYZ108" s="116"/>
      <c r="IZA108" s="116"/>
      <c r="IZB108" s="116"/>
      <c r="IZC108" s="116"/>
      <c r="IZD108" s="116"/>
      <c r="IZE108" s="116"/>
      <c r="IZF108" s="116"/>
      <c r="IZG108" s="116"/>
      <c r="IZH108" s="116"/>
      <c r="IZI108" s="116"/>
      <c r="IZJ108" s="116"/>
      <c r="IZK108" s="116"/>
      <c r="IZL108" s="116"/>
      <c r="IZM108" s="116"/>
      <c r="IZN108" s="116"/>
      <c r="IZO108" s="116"/>
      <c r="IZP108" s="116"/>
      <c r="IZQ108" s="116"/>
      <c r="IZR108" s="116"/>
      <c r="IZS108" s="116"/>
      <c r="IZT108" s="116"/>
      <c r="IZU108" s="116"/>
      <c r="IZV108" s="116"/>
      <c r="IZW108" s="116"/>
      <c r="IZX108" s="116"/>
      <c r="IZY108" s="116"/>
      <c r="IZZ108" s="116"/>
      <c r="JAA108" s="116"/>
      <c r="JAB108" s="116"/>
      <c r="JAC108" s="116"/>
      <c r="JAD108" s="116"/>
      <c r="JAE108" s="116"/>
      <c r="JAF108" s="116"/>
      <c r="JAG108" s="116"/>
      <c r="JAH108" s="116"/>
      <c r="JAI108" s="116"/>
      <c r="JAJ108" s="116"/>
      <c r="JAK108" s="116"/>
      <c r="JAL108" s="116"/>
      <c r="JAM108" s="116"/>
      <c r="JAN108" s="116"/>
      <c r="JAO108" s="116"/>
      <c r="JAP108" s="116"/>
      <c r="JAQ108" s="116"/>
      <c r="JAR108" s="116"/>
      <c r="JAS108" s="116"/>
      <c r="JAT108" s="116"/>
      <c r="JAU108" s="116"/>
      <c r="JAV108" s="116"/>
      <c r="JAW108" s="116"/>
      <c r="JAX108" s="116"/>
      <c r="JAY108" s="116"/>
      <c r="JAZ108" s="116"/>
      <c r="JBA108" s="116"/>
      <c r="JBB108" s="116"/>
      <c r="JBC108" s="116"/>
      <c r="JBD108" s="116"/>
      <c r="JBE108" s="116"/>
      <c r="JBF108" s="116"/>
      <c r="JBG108" s="116"/>
      <c r="JBH108" s="116"/>
      <c r="JBI108" s="116"/>
      <c r="JBJ108" s="116"/>
      <c r="JBK108" s="116"/>
      <c r="JBL108" s="116"/>
      <c r="JBM108" s="116"/>
      <c r="JBN108" s="116"/>
      <c r="JBO108" s="116"/>
      <c r="JBP108" s="116"/>
      <c r="JBQ108" s="116"/>
      <c r="JBR108" s="116"/>
      <c r="JBS108" s="116"/>
      <c r="JBT108" s="116"/>
      <c r="JBU108" s="116"/>
      <c r="JBV108" s="116"/>
      <c r="JBW108" s="116"/>
      <c r="JBX108" s="116"/>
      <c r="JBY108" s="116"/>
      <c r="JBZ108" s="116"/>
      <c r="JCA108" s="116"/>
      <c r="JCB108" s="116"/>
      <c r="JCC108" s="116"/>
      <c r="JCD108" s="116"/>
      <c r="JCE108" s="116"/>
      <c r="JCF108" s="116"/>
      <c r="JCG108" s="116"/>
      <c r="JCH108" s="116"/>
      <c r="JCI108" s="116"/>
      <c r="JCJ108" s="116"/>
      <c r="JCK108" s="116"/>
      <c r="JCL108" s="116"/>
      <c r="JCM108" s="116"/>
      <c r="JCN108" s="116"/>
      <c r="JCO108" s="116"/>
      <c r="JCP108" s="116"/>
      <c r="JCQ108" s="116"/>
      <c r="JCR108" s="116"/>
      <c r="JCS108" s="116"/>
      <c r="JCT108" s="116"/>
      <c r="JCU108" s="116"/>
      <c r="JCV108" s="116"/>
      <c r="JCW108" s="116"/>
      <c r="JCX108" s="116"/>
      <c r="JCY108" s="116"/>
      <c r="JCZ108" s="116"/>
      <c r="JDA108" s="116"/>
      <c r="JDB108" s="116"/>
      <c r="JDC108" s="116"/>
      <c r="JDD108" s="116"/>
      <c r="JDE108" s="116"/>
      <c r="JDF108" s="116"/>
      <c r="JDG108" s="116"/>
      <c r="JDH108" s="116"/>
      <c r="JDI108" s="116"/>
      <c r="JDJ108" s="116"/>
      <c r="JDK108" s="116"/>
      <c r="JDL108" s="116"/>
      <c r="JDM108" s="116"/>
      <c r="JDN108" s="116"/>
      <c r="JDO108" s="116"/>
      <c r="JDP108" s="116"/>
      <c r="JDQ108" s="116"/>
      <c r="JDR108" s="116"/>
      <c r="JDS108" s="116"/>
      <c r="JDT108" s="116"/>
      <c r="JDU108" s="116"/>
      <c r="JDV108" s="116"/>
      <c r="JDW108" s="116"/>
      <c r="JDX108" s="116"/>
      <c r="JDY108" s="116"/>
      <c r="JDZ108" s="116"/>
      <c r="JEA108" s="116"/>
      <c r="JEB108" s="116"/>
      <c r="JEC108" s="116"/>
      <c r="JED108" s="116"/>
      <c r="JEE108" s="116"/>
      <c r="JEF108" s="116"/>
      <c r="JEG108" s="116"/>
      <c r="JEH108" s="116"/>
      <c r="JEI108" s="116"/>
      <c r="JEJ108" s="116"/>
      <c r="JEK108" s="116"/>
      <c r="JEL108" s="116"/>
      <c r="JEM108" s="116"/>
      <c r="JEN108" s="116"/>
      <c r="JEO108" s="116"/>
      <c r="JEP108" s="116"/>
      <c r="JEQ108" s="116"/>
      <c r="JER108" s="116"/>
      <c r="JES108" s="116"/>
      <c r="JET108" s="116"/>
      <c r="JEU108" s="116"/>
      <c r="JEV108" s="116"/>
      <c r="JEW108" s="116"/>
      <c r="JEX108" s="116"/>
      <c r="JEY108" s="116"/>
      <c r="JEZ108" s="116"/>
      <c r="JFA108" s="116"/>
      <c r="JFB108" s="116"/>
      <c r="JFC108" s="116"/>
      <c r="JFD108" s="116"/>
      <c r="JFE108" s="116"/>
      <c r="JFF108" s="116"/>
      <c r="JFG108" s="116"/>
      <c r="JFH108" s="116"/>
      <c r="JFI108" s="116"/>
      <c r="JFJ108" s="116"/>
      <c r="JFK108" s="116"/>
      <c r="JFL108" s="116"/>
      <c r="JFM108" s="116"/>
      <c r="JFN108" s="116"/>
      <c r="JFO108" s="116"/>
      <c r="JFP108" s="116"/>
      <c r="JFQ108" s="116"/>
      <c r="JFR108" s="116"/>
      <c r="JFS108" s="116"/>
      <c r="JFT108" s="116"/>
      <c r="JFU108" s="116"/>
      <c r="JFV108" s="116"/>
      <c r="JFW108" s="116"/>
      <c r="JFX108" s="116"/>
      <c r="JFY108" s="116"/>
      <c r="JFZ108" s="116"/>
      <c r="JGA108" s="116"/>
      <c r="JGB108" s="116"/>
      <c r="JGC108" s="116"/>
      <c r="JGD108" s="116"/>
      <c r="JGE108" s="116"/>
      <c r="JGF108" s="116"/>
      <c r="JGG108" s="116"/>
      <c r="JGH108" s="116"/>
      <c r="JGI108" s="116"/>
      <c r="JGJ108" s="116"/>
      <c r="JGK108" s="116"/>
      <c r="JGL108" s="116"/>
      <c r="JGM108" s="116"/>
      <c r="JGN108" s="116"/>
      <c r="JGO108" s="116"/>
      <c r="JGP108" s="116"/>
      <c r="JGQ108" s="116"/>
      <c r="JGR108" s="116"/>
      <c r="JGS108" s="116"/>
      <c r="JGT108" s="116"/>
      <c r="JGU108" s="116"/>
      <c r="JGV108" s="116"/>
      <c r="JGW108" s="116"/>
      <c r="JGX108" s="116"/>
      <c r="JGY108" s="116"/>
      <c r="JGZ108" s="116"/>
      <c r="JHA108" s="116"/>
      <c r="JHB108" s="116"/>
      <c r="JHC108" s="116"/>
      <c r="JHD108" s="116"/>
      <c r="JHE108" s="116"/>
      <c r="JHF108" s="116"/>
      <c r="JHG108" s="116"/>
      <c r="JHH108" s="116"/>
      <c r="JHI108" s="116"/>
      <c r="JHJ108" s="116"/>
      <c r="JHK108" s="116"/>
      <c r="JHL108" s="116"/>
      <c r="JHM108" s="116"/>
      <c r="JHN108" s="116"/>
      <c r="JHO108" s="116"/>
      <c r="JHP108" s="116"/>
      <c r="JHQ108" s="116"/>
      <c r="JHR108" s="116"/>
      <c r="JHS108" s="116"/>
      <c r="JHT108" s="116"/>
      <c r="JHU108" s="116"/>
      <c r="JHV108" s="116"/>
      <c r="JHW108" s="116"/>
      <c r="JHX108" s="116"/>
      <c r="JHY108" s="116"/>
      <c r="JHZ108" s="116"/>
      <c r="JIA108" s="116"/>
      <c r="JIB108" s="116"/>
      <c r="JIC108" s="116"/>
      <c r="JID108" s="116"/>
      <c r="JIE108" s="116"/>
      <c r="JIF108" s="116"/>
      <c r="JIG108" s="116"/>
      <c r="JIH108" s="116"/>
      <c r="JII108" s="116"/>
      <c r="JIJ108" s="116"/>
      <c r="JIK108" s="116"/>
      <c r="JIL108" s="116"/>
      <c r="JIM108" s="116"/>
      <c r="JIN108" s="116"/>
      <c r="JIO108" s="116"/>
      <c r="JIP108" s="116"/>
      <c r="JIQ108" s="116"/>
      <c r="JIR108" s="116"/>
      <c r="JIS108" s="116"/>
      <c r="JIT108" s="116"/>
      <c r="JIU108" s="116"/>
      <c r="JIV108" s="116"/>
      <c r="JIW108" s="116"/>
      <c r="JIX108" s="116"/>
      <c r="JIY108" s="116"/>
      <c r="JIZ108" s="116"/>
      <c r="JJA108" s="116"/>
      <c r="JJB108" s="116"/>
      <c r="JJC108" s="116"/>
      <c r="JJD108" s="116"/>
      <c r="JJE108" s="116"/>
      <c r="JJF108" s="116"/>
      <c r="JJG108" s="116"/>
      <c r="JJH108" s="116"/>
      <c r="JJI108" s="116"/>
      <c r="JJJ108" s="116"/>
      <c r="JJK108" s="116"/>
      <c r="JJL108" s="116"/>
      <c r="JJM108" s="116"/>
      <c r="JJN108" s="116"/>
      <c r="JJO108" s="116"/>
      <c r="JJP108" s="116"/>
      <c r="JJQ108" s="116"/>
      <c r="JJR108" s="116"/>
      <c r="JJS108" s="116"/>
      <c r="JJT108" s="116"/>
      <c r="JJU108" s="116"/>
      <c r="JJV108" s="116"/>
      <c r="JJW108" s="116"/>
      <c r="JJX108" s="116"/>
      <c r="JJY108" s="116"/>
      <c r="JJZ108" s="116"/>
      <c r="JKA108" s="116"/>
      <c r="JKB108" s="116"/>
      <c r="JKC108" s="116"/>
      <c r="JKD108" s="116"/>
      <c r="JKE108" s="116"/>
      <c r="JKF108" s="116"/>
      <c r="JKG108" s="116"/>
      <c r="JKH108" s="116"/>
      <c r="JKI108" s="116"/>
      <c r="JKJ108" s="116"/>
      <c r="JKK108" s="116"/>
      <c r="JKL108" s="116"/>
      <c r="JKM108" s="116"/>
      <c r="JKN108" s="116"/>
      <c r="JKO108" s="116"/>
      <c r="JKP108" s="116"/>
      <c r="JKQ108" s="116"/>
      <c r="JKR108" s="116"/>
      <c r="JKS108" s="116"/>
      <c r="JKT108" s="116"/>
      <c r="JKU108" s="116"/>
      <c r="JKV108" s="116"/>
      <c r="JKW108" s="116"/>
      <c r="JKX108" s="116"/>
      <c r="JKY108" s="116"/>
      <c r="JKZ108" s="116"/>
      <c r="JLA108" s="116"/>
      <c r="JLB108" s="116"/>
      <c r="JLC108" s="116"/>
      <c r="JLD108" s="116"/>
      <c r="JLE108" s="116"/>
      <c r="JLF108" s="116"/>
      <c r="JLG108" s="116"/>
      <c r="JLH108" s="116"/>
      <c r="JLI108" s="116"/>
      <c r="JLJ108" s="116"/>
      <c r="JLK108" s="116"/>
      <c r="JLL108" s="116"/>
      <c r="JLM108" s="116"/>
      <c r="JLN108" s="116"/>
      <c r="JLO108" s="116"/>
      <c r="JLP108" s="116"/>
      <c r="JLQ108" s="116"/>
      <c r="JLR108" s="116"/>
      <c r="JLS108" s="116"/>
      <c r="JLT108" s="116"/>
      <c r="JLU108" s="116"/>
      <c r="JLV108" s="116"/>
      <c r="JLW108" s="116"/>
      <c r="JLX108" s="116"/>
      <c r="JLY108" s="116"/>
      <c r="JLZ108" s="116"/>
      <c r="JMA108" s="116"/>
      <c r="JMB108" s="116"/>
      <c r="JMC108" s="116"/>
      <c r="JMD108" s="116"/>
      <c r="JME108" s="116"/>
      <c r="JMF108" s="116"/>
      <c r="JMG108" s="116"/>
      <c r="JMH108" s="116"/>
      <c r="JMI108" s="116"/>
      <c r="JMJ108" s="116"/>
      <c r="JMK108" s="116"/>
      <c r="JML108" s="116"/>
      <c r="JMM108" s="116"/>
      <c r="JMN108" s="116"/>
      <c r="JMO108" s="116"/>
      <c r="JMP108" s="116"/>
      <c r="JMQ108" s="116"/>
      <c r="JMR108" s="116"/>
      <c r="JMS108" s="116"/>
      <c r="JMT108" s="116"/>
      <c r="JMU108" s="116"/>
      <c r="JMV108" s="116"/>
      <c r="JMW108" s="116"/>
      <c r="JMX108" s="116"/>
      <c r="JMY108" s="116"/>
      <c r="JMZ108" s="116"/>
      <c r="JNA108" s="116"/>
      <c r="JNB108" s="116"/>
      <c r="JNC108" s="116"/>
      <c r="JND108" s="116"/>
      <c r="JNE108" s="116"/>
      <c r="JNF108" s="116"/>
      <c r="JNG108" s="116"/>
      <c r="JNH108" s="116"/>
      <c r="JNI108" s="116"/>
      <c r="JNJ108" s="116"/>
      <c r="JNK108" s="116"/>
      <c r="JNL108" s="116"/>
      <c r="JNM108" s="116"/>
      <c r="JNN108" s="116"/>
      <c r="JNO108" s="116"/>
      <c r="JNP108" s="116"/>
      <c r="JNQ108" s="116"/>
      <c r="JNR108" s="116"/>
      <c r="JNS108" s="116"/>
      <c r="JNT108" s="116"/>
      <c r="JNU108" s="116"/>
      <c r="JNV108" s="116"/>
      <c r="JNW108" s="116"/>
      <c r="JNX108" s="116"/>
      <c r="JNY108" s="116"/>
      <c r="JNZ108" s="116"/>
      <c r="JOA108" s="116"/>
      <c r="JOB108" s="116"/>
      <c r="JOC108" s="116"/>
      <c r="JOD108" s="116"/>
      <c r="JOE108" s="116"/>
      <c r="JOF108" s="116"/>
      <c r="JOG108" s="116"/>
      <c r="JOH108" s="116"/>
      <c r="JOI108" s="116"/>
      <c r="JOJ108" s="116"/>
      <c r="JOK108" s="116"/>
      <c r="JOL108" s="116"/>
      <c r="JOM108" s="116"/>
      <c r="JON108" s="116"/>
      <c r="JOO108" s="116"/>
      <c r="JOP108" s="116"/>
      <c r="JOQ108" s="116"/>
      <c r="JOR108" s="116"/>
      <c r="JOS108" s="116"/>
      <c r="JOT108" s="116"/>
      <c r="JOU108" s="116"/>
      <c r="JOV108" s="116"/>
      <c r="JOW108" s="116"/>
      <c r="JOX108" s="116"/>
      <c r="JOY108" s="116"/>
      <c r="JOZ108" s="116"/>
      <c r="JPA108" s="116"/>
      <c r="JPB108" s="116"/>
      <c r="JPC108" s="116"/>
      <c r="JPD108" s="116"/>
      <c r="JPE108" s="116"/>
      <c r="JPF108" s="116"/>
      <c r="JPG108" s="116"/>
      <c r="JPH108" s="116"/>
      <c r="JPI108" s="116"/>
      <c r="JPJ108" s="116"/>
      <c r="JPK108" s="116"/>
      <c r="JPL108" s="116"/>
      <c r="JPM108" s="116"/>
      <c r="JPN108" s="116"/>
      <c r="JPO108" s="116"/>
      <c r="JPP108" s="116"/>
      <c r="JPQ108" s="116"/>
      <c r="JPR108" s="116"/>
      <c r="JPS108" s="116"/>
      <c r="JPT108" s="116"/>
      <c r="JPU108" s="116"/>
      <c r="JPV108" s="116"/>
      <c r="JPW108" s="116"/>
      <c r="JPX108" s="116"/>
      <c r="JPY108" s="116"/>
      <c r="JPZ108" s="116"/>
      <c r="JQA108" s="116"/>
      <c r="JQB108" s="116"/>
      <c r="JQC108" s="116"/>
      <c r="JQD108" s="116"/>
      <c r="JQE108" s="116"/>
      <c r="JQF108" s="116"/>
      <c r="JQG108" s="116"/>
      <c r="JQH108" s="116"/>
      <c r="JQI108" s="116"/>
      <c r="JQJ108" s="116"/>
      <c r="JQK108" s="116"/>
      <c r="JQL108" s="116"/>
      <c r="JQM108" s="116"/>
      <c r="JQN108" s="116"/>
      <c r="JQO108" s="116"/>
      <c r="JQP108" s="116"/>
      <c r="JQQ108" s="116"/>
      <c r="JQR108" s="116"/>
      <c r="JQS108" s="116"/>
      <c r="JQT108" s="116"/>
      <c r="JQU108" s="116"/>
      <c r="JQV108" s="116"/>
      <c r="JQW108" s="116"/>
      <c r="JQX108" s="116"/>
      <c r="JQY108" s="116"/>
      <c r="JQZ108" s="116"/>
      <c r="JRA108" s="116"/>
      <c r="JRB108" s="116"/>
      <c r="JRC108" s="116"/>
      <c r="JRD108" s="116"/>
      <c r="JRE108" s="116"/>
      <c r="JRF108" s="116"/>
      <c r="JRG108" s="116"/>
      <c r="JRH108" s="116"/>
      <c r="JRI108" s="116"/>
      <c r="JRJ108" s="116"/>
      <c r="JRK108" s="116"/>
      <c r="JRL108" s="116"/>
      <c r="JRM108" s="116"/>
      <c r="JRN108" s="116"/>
      <c r="JRO108" s="116"/>
      <c r="JRP108" s="116"/>
      <c r="JRQ108" s="116"/>
      <c r="JRR108" s="116"/>
      <c r="JRS108" s="116"/>
      <c r="JRT108" s="116"/>
      <c r="JRU108" s="116"/>
      <c r="JRV108" s="116"/>
      <c r="JRW108" s="116"/>
      <c r="JRX108" s="116"/>
      <c r="JRY108" s="116"/>
      <c r="JRZ108" s="116"/>
      <c r="JSA108" s="116"/>
      <c r="JSB108" s="116"/>
      <c r="JSC108" s="116"/>
      <c r="JSD108" s="116"/>
      <c r="JSE108" s="116"/>
      <c r="JSF108" s="116"/>
      <c r="JSG108" s="116"/>
      <c r="JSH108" s="116"/>
      <c r="JSI108" s="116"/>
      <c r="JSJ108" s="116"/>
      <c r="JSK108" s="116"/>
      <c r="JSL108" s="116"/>
      <c r="JSM108" s="116"/>
      <c r="JSN108" s="116"/>
      <c r="JSO108" s="116"/>
      <c r="JSP108" s="116"/>
      <c r="JSQ108" s="116"/>
      <c r="JSR108" s="116"/>
      <c r="JSS108" s="116"/>
      <c r="JST108" s="116"/>
      <c r="JSU108" s="116"/>
      <c r="JSV108" s="116"/>
      <c r="JSW108" s="116"/>
      <c r="JSX108" s="116"/>
      <c r="JSY108" s="116"/>
      <c r="JSZ108" s="116"/>
      <c r="JTA108" s="116"/>
      <c r="JTB108" s="116"/>
      <c r="JTC108" s="116"/>
      <c r="JTD108" s="116"/>
      <c r="JTE108" s="116"/>
      <c r="JTF108" s="116"/>
      <c r="JTG108" s="116"/>
      <c r="JTH108" s="116"/>
      <c r="JTI108" s="116"/>
      <c r="JTJ108" s="116"/>
      <c r="JTK108" s="116"/>
      <c r="JTL108" s="116"/>
      <c r="JTM108" s="116"/>
      <c r="JTN108" s="116"/>
      <c r="JTO108" s="116"/>
      <c r="JTP108" s="116"/>
      <c r="JTQ108" s="116"/>
      <c r="JTR108" s="116"/>
      <c r="JTS108" s="116"/>
      <c r="JTT108" s="116"/>
      <c r="JTU108" s="116"/>
      <c r="JTV108" s="116"/>
      <c r="JTW108" s="116"/>
      <c r="JTX108" s="116"/>
      <c r="JTY108" s="116"/>
      <c r="JTZ108" s="116"/>
      <c r="JUA108" s="116"/>
      <c r="JUB108" s="116"/>
      <c r="JUC108" s="116"/>
      <c r="JUD108" s="116"/>
      <c r="JUE108" s="116"/>
      <c r="JUF108" s="116"/>
      <c r="JUG108" s="116"/>
      <c r="JUH108" s="116"/>
      <c r="JUI108" s="116"/>
      <c r="JUJ108" s="116"/>
      <c r="JUK108" s="116"/>
      <c r="JUL108" s="116"/>
      <c r="JUM108" s="116"/>
      <c r="JUN108" s="116"/>
      <c r="JUO108" s="116"/>
      <c r="JUP108" s="116"/>
      <c r="JUQ108" s="116"/>
      <c r="JUR108" s="116"/>
      <c r="JUS108" s="116"/>
      <c r="JUT108" s="116"/>
      <c r="JUU108" s="116"/>
      <c r="JUV108" s="116"/>
      <c r="JUW108" s="116"/>
      <c r="JUX108" s="116"/>
      <c r="JUY108" s="116"/>
      <c r="JUZ108" s="116"/>
      <c r="JVA108" s="116"/>
      <c r="JVB108" s="116"/>
      <c r="JVC108" s="116"/>
      <c r="JVD108" s="116"/>
      <c r="JVE108" s="116"/>
      <c r="JVF108" s="116"/>
      <c r="JVG108" s="116"/>
      <c r="JVH108" s="116"/>
      <c r="JVI108" s="116"/>
      <c r="JVJ108" s="116"/>
      <c r="JVK108" s="116"/>
      <c r="JVL108" s="116"/>
      <c r="JVM108" s="116"/>
      <c r="JVN108" s="116"/>
      <c r="JVO108" s="116"/>
      <c r="JVP108" s="116"/>
      <c r="JVQ108" s="116"/>
      <c r="JVR108" s="116"/>
      <c r="JVS108" s="116"/>
      <c r="JVT108" s="116"/>
      <c r="JVU108" s="116"/>
      <c r="JVV108" s="116"/>
      <c r="JVW108" s="116"/>
      <c r="JVX108" s="116"/>
      <c r="JVY108" s="116"/>
      <c r="JVZ108" s="116"/>
      <c r="JWA108" s="116"/>
      <c r="JWB108" s="116"/>
      <c r="JWC108" s="116"/>
      <c r="JWD108" s="116"/>
      <c r="JWE108" s="116"/>
      <c r="JWF108" s="116"/>
      <c r="JWG108" s="116"/>
      <c r="JWH108" s="116"/>
      <c r="JWI108" s="116"/>
      <c r="JWJ108" s="116"/>
      <c r="JWK108" s="116"/>
      <c r="JWL108" s="116"/>
      <c r="JWM108" s="116"/>
      <c r="JWN108" s="116"/>
      <c r="JWO108" s="116"/>
      <c r="JWP108" s="116"/>
      <c r="JWQ108" s="116"/>
      <c r="JWR108" s="116"/>
      <c r="JWS108" s="116"/>
      <c r="JWT108" s="116"/>
      <c r="JWU108" s="116"/>
      <c r="JWV108" s="116"/>
      <c r="JWW108" s="116"/>
      <c r="JWX108" s="116"/>
      <c r="JWY108" s="116"/>
      <c r="JWZ108" s="116"/>
      <c r="JXA108" s="116"/>
      <c r="JXB108" s="116"/>
      <c r="JXC108" s="116"/>
      <c r="JXD108" s="116"/>
      <c r="JXE108" s="116"/>
      <c r="JXF108" s="116"/>
      <c r="JXG108" s="116"/>
      <c r="JXH108" s="116"/>
      <c r="JXI108" s="116"/>
      <c r="JXJ108" s="116"/>
      <c r="JXK108" s="116"/>
      <c r="JXL108" s="116"/>
      <c r="JXM108" s="116"/>
      <c r="JXN108" s="116"/>
      <c r="JXO108" s="116"/>
      <c r="JXP108" s="116"/>
      <c r="JXQ108" s="116"/>
      <c r="JXR108" s="116"/>
      <c r="JXS108" s="116"/>
      <c r="JXT108" s="116"/>
      <c r="JXU108" s="116"/>
      <c r="JXV108" s="116"/>
      <c r="JXW108" s="116"/>
      <c r="JXX108" s="116"/>
      <c r="JXY108" s="116"/>
      <c r="JXZ108" s="116"/>
      <c r="JYA108" s="116"/>
      <c r="JYB108" s="116"/>
      <c r="JYC108" s="116"/>
      <c r="JYD108" s="116"/>
      <c r="JYE108" s="116"/>
      <c r="JYF108" s="116"/>
      <c r="JYG108" s="116"/>
      <c r="JYH108" s="116"/>
      <c r="JYI108" s="116"/>
      <c r="JYJ108" s="116"/>
      <c r="JYK108" s="116"/>
      <c r="JYL108" s="116"/>
      <c r="JYM108" s="116"/>
      <c r="JYN108" s="116"/>
      <c r="JYO108" s="116"/>
      <c r="JYP108" s="116"/>
      <c r="JYQ108" s="116"/>
      <c r="JYR108" s="116"/>
      <c r="JYS108" s="116"/>
      <c r="JYT108" s="116"/>
      <c r="JYU108" s="116"/>
      <c r="JYV108" s="116"/>
      <c r="JYW108" s="116"/>
      <c r="JYX108" s="116"/>
      <c r="JYY108" s="116"/>
      <c r="JYZ108" s="116"/>
      <c r="JZA108" s="116"/>
      <c r="JZB108" s="116"/>
      <c r="JZC108" s="116"/>
      <c r="JZD108" s="116"/>
      <c r="JZE108" s="116"/>
      <c r="JZF108" s="116"/>
      <c r="JZG108" s="116"/>
      <c r="JZH108" s="116"/>
      <c r="JZI108" s="116"/>
      <c r="JZJ108" s="116"/>
      <c r="JZK108" s="116"/>
      <c r="JZL108" s="116"/>
      <c r="JZM108" s="116"/>
      <c r="JZN108" s="116"/>
      <c r="JZO108" s="116"/>
      <c r="JZP108" s="116"/>
      <c r="JZQ108" s="116"/>
      <c r="JZR108" s="116"/>
      <c r="JZS108" s="116"/>
      <c r="JZT108" s="116"/>
      <c r="JZU108" s="116"/>
      <c r="JZV108" s="116"/>
      <c r="JZW108" s="116"/>
      <c r="JZX108" s="116"/>
      <c r="JZY108" s="116"/>
      <c r="JZZ108" s="116"/>
      <c r="KAA108" s="116"/>
      <c r="KAB108" s="116"/>
      <c r="KAC108" s="116"/>
      <c r="KAD108" s="116"/>
      <c r="KAE108" s="116"/>
      <c r="KAF108" s="116"/>
      <c r="KAG108" s="116"/>
      <c r="KAH108" s="116"/>
      <c r="KAI108" s="116"/>
      <c r="KAJ108" s="116"/>
      <c r="KAK108" s="116"/>
      <c r="KAL108" s="116"/>
      <c r="KAM108" s="116"/>
      <c r="KAN108" s="116"/>
      <c r="KAO108" s="116"/>
      <c r="KAP108" s="116"/>
      <c r="KAQ108" s="116"/>
      <c r="KAR108" s="116"/>
      <c r="KAS108" s="116"/>
      <c r="KAT108" s="116"/>
      <c r="KAU108" s="116"/>
      <c r="KAV108" s="116"/>
      <c r="KAW108" s="116"/>
      <c r="KAX108" s="116"/>
      <c r="KAY108" s="116"/>
      <c r="KAZ108" s="116"/>
      <c r="KBA108" s="116"/>
      <c r="KBB108" s="116"/>
      <c r="KBC108" s="116"/>
      <c r="KBD108" s="116"/>
      <c r="KBE108" s="116"/>
      <c r="KBF108" s="116"/>
      <c r="KBG108" s="116"/>
      <c r="KBH108" s="116"/>
      <c r="KBI108" s="116"/>
      <c r="KBJ108" s="116"/>
      <c r="KBK108" s="116"/>
      <c r="KBL108" s="116"/>
      <c r="KBM108" s="116"/>
      <c r="KBN108" s="116"/>
      <c r="KBO108" s="116"/>
      <c r="KBP108" s="116"/>
      <c r="KBQ108" s="116"/>
      <c r="KBR108" s="116"/>
      <c r="KBS108" s="116"/>
      <c r="KBT108" s="116"/>
      <c r="KBU108" s="116"/>
      <c r="KBV108" s="116"/>
      <c r="KBW108" s="116"/>
      <c r="KBX108" s="116"/>
      <c r="KBY108" s="116"/>
      <c r="KBZ108" s="116"/>
      <c r="KCA108" s="116"/>
      <c r="KCB108" s="116"/>
      <c r="KCC108" s="116"/>
      <c r="KCD108" s="116"/>
      <c r="KCE108" s="116"/>
      <c r="KCF108" s="116"/>
      <c r="KCG108" s="116"/>
      <c r="KCH108" s="116"/>
      <c r="KCI108" s="116"/>
      <c r="KCJ108" s="116"/>
      <c r="KCK108" s="116"/>
      <c r="KCL108" s="116"/>
      <c r="KCM108" s="116"/>
      <c r="KCN108" s="116"/>
      <c r="KCO108" s="116"/>
      <c r="KCP108" s="116"/>
      <c r="KCQ108" s="116"/>
      <c r="KCR108" s="116"/>
      <c r="KCS108" s="116"/>
      <c r="KCT108" s="116"/>
      <c r="KCU108" s="116"/>
      <c r="KCV108" s="116"/>
      <c r="KCW108" s="116"/>
      <c r="KCX108" s="116"/>
      <c r="KCY108" s="116"/>
      <c r="KCZ108" s="116"/>
      <c r="KDA108" s="116"/>
      <c r="KDB108" s="116"/>
      <c r="KDC108" s="116"/>
      <c r="KDD108" s="116"/>
      <c r="KDE108" s="116"/>
      <c r="KDF108" s="116"/>
      <c r="KDG108" s="116"/>
      <c r="KDH108" s="116"/>
      <c r="KDI108" s="116"/>
      <c r="KDJ108" s="116"/>
      <c r="KDK108" s="116"/>
      <c r="KDL108" s="116"/>
      <c r="KDM108" s="116"/>
      <c r="KDN108" s="116"/>
      <c r="KDO108" s="116"/>
      <c r="KDP108" s="116"/>
      <c r="KDQ108" s="116"/>
      <c r="KDR108" s="116"/>
      <c r="KDS108" s="116"/>
      <c r="KDT108" s="116"/>
      <c r="KDU108" s="116"/>
      <c r="KDV108" s="116"/>
      <c r="KDW108" s="116"/>
      <c r="KDX108" s="116"/>
      <c r="KDY108" s="116"/>
      <c r="KDZ108" s="116"/>
      <c r="KEA108" s="116"/>
      <c r="KEB108" s="116"/>
      <c r="KEC108" s="116"/>
      <c r="KED108" s="116"/>
      <c r="KEE108" s="116"/>
      <c r="KEF108" s="116"/>
      <c r="KEG108" s="116"/>
      <c r="KEH108" s="116"/>
      <c r="KEI108" s="116"/>
      <c r="KEJ108" s="116"/>
      <c r="KEK108" s="116"/>
      <c r="KEL108" s="116"/>
      <c r="KEM108" s="116"/>
      <c r="KEN108" s="116"/>
      <c r="KEO108" s="116"/>
      <c r="KEP108" s="116"/>
      <c r="KEQ108" s="116"/>
      <c r="KER108" s="116"/>
      <c r="KES108" s="116"/>
      <c r="KET108" s="116"/>
      <c r="KEU108" s="116"/>
      <c r="KEV108" s="116"/>
      <c r="KEW108" s="116"/>
      <c r="KEX108" s="116"/>
      <c r="KEY108" s="116"/>
      <c r="KEZ108" s="116"/>
      <c r="KFA108" s="116"/>
      <c r="KFB108" s="116"/>
      <c r="KFC108" s="116"/>
      <c r="KFD108" s="116"/>
      <c r="KFE108" s="116"/>
      <c r="KFF108" s="116"/>
      <c r="KFG108" s="116"/>
      <c r="KFH108" s="116"/>
      <c r="KFI108" s="116"/>
      <c r="KFJ108" s="116"/>
      <c r="KFK108" s="116"/>
      <c r="KFL108" s="116"/>
      <c r="KFM108" s="116"/>
      <c r="KFN108" s="116"/>
      <c r="KFO108" s="116"/>
      <c r="KFP108" s="116"/>
      <c r="KFQ108" s="116"/>
      <c r="KFR108" s="116"/>
      <c r="KFS108" s="116"/>
      <c r="KFT108" s="116"/>
      <c r="KFU108" s="116"/>
      <c r="KFV108" s="116"/>
      <c r="KFW108" s="116"/>
      <c r="KFX108" s="116"/>
      <c r="KFY108" s="116"/>
      <c r="KFZ108" s="116"/>
      <c r="KGA108" s="116"/>
      <c r="KGB108" s="116"/>
      <c r="KGC108" s="116"/>
      <c r="KGD108" s="116"/>
      <c r="KGE108" s="116"/>
      <c r="KGF108" s="116"/>
      <c r="KGG108" s="116"/>
      <c r="KGH108" s="116"/>
      <c r="KGI108" s="116"/>
      <c r="KGJ108" s="116"/>
      <c r="KGK108" s="116"/>
      <c r="KGL108" s="116"/>
      <c r="KGM108" s="116"/>
      <c r="KGN108" s="116"/>
      <c r="KGO108" s="116"/>
      <c r="KGP108" s="116"/>
      <c r="KGQ108" s="116"/>
      <c r="KGR108" s="116"/>
      <c r="KGS108" s="116"/>
      <c r="KGT108" s="116"/>
      <c r="KGU108" s="116"/>
      <c r="KGV108" s="116"/>
      <c r="KGW108" s="116"/>
      <c r="KGX108" s="116"/>
      <c r="KGY108" s="116"/>
      <c r="KGZ108" s="116"/>
      <c r="KHA108" s="116"/>
      <c r="KHB108" s="116"/>
      <c r="KHC108" s="116"/>
      <c r="KHD108" s="116"/>
      <c r="KHE108" s="116"/>
      <c r="KHF108" s="116"/>
      <c r="KHG108" s="116"/>
      <c r="KHH108" s="116"/>
      <c r="KHI108" s="116"/>
      <c r="KHJ108" s="116"/>
      <c r="KHK108" s="116"/>
      <c r="KHL108" s="116"/>
      <c r="KHM108" s="116"/>
      <c r="KHN108" s="116"/>
      <c r="KHO108" s="116"/>
      <c r="KHP108" s="116"/>
      <c r="KHQ108" s="116"/>
      <c r="KHR108" s="116"/>
      <c r="KHS108" s="116"/>
      <c r="KHT108" s="116"/>
      <c r="KHU108" s="116"/>
      <c r="KHV108" s="116"/>
      <c r="KHW108" s="116"/>
      <c r="KHX108" s="116"/>
      <c r="KHY108" s="116"/>
      <c r="KHZ108" s="116"/>
      <c r="KIA108" s="116"/>
      <c r="KIB108" s="116"/>
      <c r="KIC108" s="116"/>
      <c r="KID108" s="116"/>
      <c r="KIE108" s="116"/>
      <c r="KIF108" s="116"/>
      <c r="KIG108" s="116"/>
      <c r="KIH108" s="116"/>
      <c r="KII108" s="116"/>
      <c r="KIJ108" s="116"/>
      <c r="KIK108" s="116"/>
      <c r="KIL108" s="116"/>
      <c r="KIM108" s="116"/>
      <c r="KIN108" s="116"/>
      <c r="KIO108" s="116"/>
      <c r="KIP108" s="116"/>
      <c r="KIQ108" s="116"/>
      <c r="KIR108" s="116"/>
      <c r="KIS108" s="116"/>
      <c r="KIT108" s="116"/>
      <c r="KIU108" s="116"/>
      <c r="KIV108" s="116"/>
      <c r="KIW108" s="116"/>
      <c r="KIX108" s="116"/>
      <c r="KIY108" s="116"/>
      <c r="KIZ108" s="116"/>
      <c r="KJA108" s="116"/>
      <c r="KJB108" s="116"/>
      <c r="KJC108" s="116"/>
      <c r="KJD108" s="116"/>
      <c r="KJE108" s="116"/>
      <c r="KJF108" s="116"/>
      <c r="KJG108" s="116"/>
      <c r="KJH108" s="116"/>
      <c r="KJI108" s="116"/>
      <c r="KJJ108" s="116"/>
      <c r="KJK108" s="116"/>
      <c r="KJL108" s="116"/>
      <c r="KJM108" s="116"/>
      <c r="KJN108" s="116"/>
      <c r="KJO108" s="116"/>
      <c r="KJP108" s="116"/>
      <c r="KJQ108" s="116"/>
      <c r="KJR108" s="116"/>
      <c r="KJS108" s="116"/>
      <c r="KJT108" s="116"/>
      <c r="KJU108" s="116"/>
      <c r="KJV108" s="116"/>
      <c r="KJW108" s="116"/>
      <c r="KJX108" s="116"/>
      <c r="KJY108" s="116"/>
      <c r="KJZ108" s="116"/>
      <c r="KKA108" s="116"/>
      <c r="KKB108" s="116"/>
      <c r="KKC108" s="116"/>
      <c r="KKD108" s="116"/>
      <c r="KKE108" s="116"/>
      <c r="KKF108" s="116"/>
      <c r="KKG108" s="116"/>
      <c r="KKH108" s="116"/>
      <c r="KKI108" s="116"/>
      <c r="KKJ108" s="116"/>
      <c r="KKK108" s="116"/>
      <c r="KKL108" s="116"/>
      <c r="KKM108" s="116"/>
      <c r="KKN108" s="116"/>
      <c r="KKO108" s="116"/>
      <c r="KKP108" s="116"/>
      <c r="KKQ108" s="116"/>
      <c r="KKR108" s="116"/>
      <c r="KKS108" s="116"/>
      <c r="KKT108" s="116"/>
      <c r="KKU108" s="116"/>
      <c r="KKV108" s="116"/>
      <c r="KKW108" s="116"/>
      <c r="KKX108" s="116"/>
      <c r="KKY108" s="116"/>
      <c r="KKZ108" s="116"/>
      <c r="KLA108" s="116"/>
      <c r="KLB108" s="116"/>
      <c r="KLC108" s="116"/>
      <c r="KLD108" s="116"/>
      <c r="KLE108" s="116"/>
      <c r="KLF108" s="116"/>
      <c r="KLG108" s="116"/>
      <c r="KLH108" s="116"/>
      <c r="KLI108" s="116"/>
      <c r="KLJ108" s="116"/>
      <c r="KLK108" s="116"/>
      <c r="KLL108" s="116"/>
      <c r="KLM108" s="116"/>
      <c r="KLN108" s="116"/>
      <c r="KLO108" s="116"/>
      <c r="KLP108" s="116"/>
      <c r="KLQ108" s="116"/>
      <c r="KLR108" s="116"/>
      <c r="KLS108" s="116"/>
      <c r="KLT108" s="116"/>
      <c r="KLU108" s="116"/>
      <c r="KLV108" s="116"/>
      <c r="KLW108" s="116"/>
      <c r="KLX108" s="116"/>
      <c r="KLY108" s="116"/>
      <c r="KLZ108" s="116"/>
      <c r="KMA108" s="116"/>
      <c r="KMB108" s="116"/>
      <c r="KMC108" s="116"/>
      <c r="KMD108" s="116"/>
      <c r="KME108" s="116"/>
      <c r="KMF108" s="116"/>
      <c r="KMG108" s="116"/>
      <c r="KMH108" s="116"/>
      <c r="KMI108" s="116"/>
      <c r="KMJ108" s="116"/>
      <c r="KMK108" s="116"/>
      <c r="KML108" s="116"/>
      <c r="KMM108" s="116"/>
      <c r="KMN108" s="116"/>
      <c r="KMO108" s="116"/>
      <c r="KMP108" s="116"/>
      <c r="KMQ108" s="116"/>
      <c r="KMR108" s="116"/>
      <c r="KMS108" s="116"/>
      <c r="KMT108" s="116"/>
      <c r="KMU108" s="116"/>
      <c r="KMV108" s="116"/>
      <c r="KMW108" s="116"/>
      <c r="KMX108" s="116"/>
      <c r="KMY108" s="116"/>
      <c r="KMZ108" s="116"/>
      <c r="KNA108" s="116"/>
      <c r="KNB108" s="116"/>
      <c r="KNC108" s="116"/>
      <c r="KND108" s="116"/>
      <c r="KNE108" s="116"/>
      <c r="KNF108" s="116"/>
      <c r="KNG108" s="116"/>
      <c r="KNH108" s="116"/>
      <c r="KNI108" s="116"/>
      <c r="KNJ108" s="116"/>
      <c r="KNK108" s="116"/>
      <c r="KNL108" s="116"/>
      <c r="KNM108" s="116"/>
      <c r="KNN108" s="116"/>
      <c r="KNO108" s="116"/>
      <c r="KNP108" s="116"/>
      <c r="KNQ108" s="116"/>
      <c r="KNR108" s="116"/>
      <c r="KNS108" s="116"/>
      <c r="KNT108" s="116"/>
      <c r="KNU108" s="116"/>
      <c r="KNV108" s="116"/>
      <c r="KNW108" s="116"/>
      <c r="KNX108" s="116"/>
      <c r="KNY108" s="116"/>
      <c r="KNZ108" s="116"/>
      <c r="KOA108" s="116"/>
      <c r="KOB108" s="116"/>
      <c r="KOC108" s="116"/>
      <c r="KOD108" s="116"/>
      <c r="KOE108" s="116"/>
      <c r="KOF108" s="116"/>
      <c r="KOG108" s="116"/>
      <c r="KOH108" s="116"/>
      <c r="KOI108" s="116"/>
      <c r="KOJ108" s="116"/>
      <c r="KOK108" s="116"/>
      <c r="KOL108" s="116"/>
      <c r="KOM108" s="116"/>
      <c r="KON108" s="116"/>
      <c r="KOO108" s="116"/>
      <c r="KOP108" s="116"/>
      <c r="KOQ108" s="116"/>
      <c r="KOR108" s="116"/>
      <c r="KOS108" s="116"/>
      <c r="KOT108" s="116"/>
      <c r="KOU108" s="116"/>
      <c r="KOV108" s="116"/>
      <c r="KOW108" s="116"/>
      <c r="KOX108" s="116"/>
      <c r="KOY108" s="116"/>
      <c r="KOZ108" s="116"/>
      <c r="KPA108" s="116"/>
      <c r="KPB108" s="116"/>
      <c r="KPC108" s="116"/>
      <c r="KPD108" s="116"/>
      <c r="KPE108" s="116"/>
      <c r="KPF108" s="116"/>
      <c r="KPG108" s="116"/>
      <c r="KPH108" s="116"/>
      <c r="KPI108" s="116"/>
      <c r="KPJ108" s="116"/>
      <c r="KPK108" s="116"/>
      <c r="KPL108" s="116"/>
      <c r="KPM108" s="116"/>
      <c r="KPN108" s="116"/>
      <c r="KPO108" s="116"/>
      <c r="KPP108" s="116"/>
      <c r="KPQ108" s="116"/>
      <c r="KPR108" s="116"/>
      <c r="KPS108" s="116"/>
      <c r="KPT108" s="116"/>
      <c r="KPU108" s="116"/>
      <c r="KPV108" s="116"/>
      <c r="KPW108" s="116"/>
      <c r="KPX108" s="116"/>
      <c r="KPY108" s="116"/>
      <c r="KPZ108" s="116"/>
      <c r="KQA108" s="116"/>
      <c r="KQB108" s="116"/>
      <c r="KQC108" s="116"/>
      <c r="KQD108" s="116"/>
      <c r="KQE108" s="116"/>
      <c r="KQF108" s="116"/>
      <c r="KQG108" s="116"/>
      <c r="KQH108" s="116"/>
      <c r="KQI108" s="116"/>
      <c r="KQJ108" s="116"/>
      <c r="KQK108" s="116"/>
      <c r="KQL108" s="116"/>
      <c r="KQM108" s="116"/>
      <c r="KQN108" s="116"/>
      <c r="KQO108" s="116"/>
      <c r="KQP108" s="116"/>
      <c r="KQQ108" s="116"/>
      <c r="KQR108" s="116"/>
      <c r="KQS108" s="116"/>
      <c r="KQT108" s="116"/>
      <c r="KQU108" s="116"/>
      <c r="KQV108" s="116"/>
      <c r="KQW108" s="116"/>
      <c r="KQX108" s="116"/>
      <c r="KQY108" s="116"/>
      <c r="KQZ108" s="116"/>
      <c r="KRA108" s="116"/>
      <c r="KRB108" s="116"/>
      <c r="KRC108" s="116"/>
      <c r="KRD108" s="116"/>
      <c r="KRE108" s="116"/>
      <c r="KRF108" s="116"/>
      <c r="KRG108" s="116"/>
      <c r="KRH108" s="116"/>
      <c r="KRI108" s="116"/>
      <c r="KRJ108" s="116"/>
      <c r="KRK108" s="116"/>
      <c r="KRL108" s="116"/>
      <c r="KRM108" s="116"/>
      <c r="KRN108" s="116"/>
      <c r="KRO108" s="116"/>
      <c r="KRP108" s="116"/>
      <c r="KRQ108" s="116"/>
      <c r="KRR108" s="116"/>
      <c r="KRS108" s="116"/>
      <c r="KRT108" s="116"/>
      <c r="KRU108" s="116"/>
      <c r="KRV108" s="116"/>
      <c r="KRW108" s="116"/>
      <c r="KRX108" s="116"/>
      <c r="KRY108" s="116"/>
      <c r="KRZ108" s="116"/>
      <c r="KSA108" s="116"/>
      <c r="KSB108" s="116"/>
      <c r="KSC108" s="116"/>
      <c r="KSD108" s="116"/>
      <c r="KSE108" s="116"/>
      <c r="KSF108" s="116"/>
      <c r="KSG108" s="116"/>
      <c r="KSH108" s="116"/>
      <c r="KSI108" s="116"/>
      <c r="KSJ108" s="116"/>
      <c r="KSK108" s="116"/>
      <c r="KSL108" s="116"/>
      <c r="KSM108" s="116"/>
      <c r="KSN108" s="116"/>
      <c r="KSO108" s="116"/>
      <c r="KSP108" s="116"/>
      <c r="KSQ108" s="116"/>
      <c r="KSR108" s="116"/>
      <c r="KSS108" s="116"/>
      <c r="KST108" s="116"/>
      <c r="KSU108" s="116"/>
      <c r="KSV108" s="116"/>
      <c r="KSW108" s="116"/>
      <c r="KSX108" s="116"/>
      <c r="KSY108" s="116"/>
      <c r="KSZ108" s="116"/>
      <c r="KTA108" s="116"/>
      <c r="KTB108" s="116"/>
      <c r="KTC108" s="116"/>
      <c r="KTD108" s="116"/>
      <c r="KTE108" s="116"/>
      <c r="KTF108" s="116"/>
      <c r="KTG108" s="116"/>
      <c r="KTH108" s="116"/>
      <c r="KTI108" s="116"/>
      <c r="KTJ108" s="116"/>
      <c r="KTK108" s="116"/>
      <c r="KTL108" s="116"/>
      <c r="KTM108" s="116"/>
      <c r="KTN108" s="116"/>
      <c r="KTO108" s="116"/>
      <c r="KTP108" s="116"/>
      <c r="KTQ108" s="116"/>
      <c r="KTR108" s="116"/>
      <c r="KTS108" s="116"/>
      <c r="KTT108" s="116"/>
      <c r="KTU108" s="116"/>
      <c r="KTV108" s="116"/>
      <c r="KTW108" s="116"/>
      <c r="KTX108" s="116"/>
      <c r="KTY108" s="116"/>
      <c r="KTZ108" s="116"/>
      <c r="KUA108" s="116"/>
      <c r="KUB108" s="116"/>
      <c r="KUC108" s="116"/>
      <c r="KUD108" s="116"/>
      <c r="KUE108" s="116"/>
      <c r="KUF108" s="116"/>
      <c r="KUG108" s="116"/>
      <c r="KUH108" s="116"/>
      <c r="KUI108" s="116"/>
      <c r="KUJ108" s="116"/>
      <c r="KUK108" s="116"/>
      <c r="KUL108" s="116"/>
      <c r="KUM108" s="116"/>
      <c r="KUN108" s="116"/>
      <c r="KUO108" s="116"/>
      <c r="KUP108" s="116"/>
      <c r="KUQ108" s="116"/>
      <c r="KUR108" s="116"/>
      <c r="KUS108" s="116"/>
      <c r="KUT108" s="116"/>
      <c r="KUU108" s="116"/>
      <c r="KUV108" s="116"/>
      <c r="KUW108" s="116"/>
      <c r="KUX108" s="116"/>
      <c r="KUY108" s="116"/>
      <c r="KUZ108" s="116"/>
      <c r="KVA108" s="116"/>
      <c r="KVB108" s="116"/>
      <c r="KVC108" s="116"/>
      <c r="KVD108" s="116"/>
      <c r="KVE108" s="116"/>
      <c r="KVF108" s="116"/>
      <c r="KVG108" s="116"/>
      <c r="KVH108" s="116"/>
      <c r="KVI108" s="116"/>
      <c r="KVJ108" s="116"/>
      <c r="KVK108" s="116"/>
      <c r="KVL108" s="116"/>
      <c r="KVM108" s="116"/>
      <c r="KVN108" s="116"/>
      <c r="KVO108" s="116"/>
      <c r="KVP108" s="116"/>
      <c r="KVQ108" s="116"/>
      <c r="KVR108" s="116"/>
      <c r="KVS108" s="116"/>
      <c r="KVT108" s="116"/>
      <c r="KVU108" s="116"/>
      <c r="KVV108" s="116"/>
      <c r="KVW108" s="116"/>
      <c r="KVX108" s="116"/>
      <c r="KVY108" s="116"/>
      <c r="KVZ108" s="116"/>
      <c r="KWA108" s="116"/>
      <c r="KWB108" s="116"/>
      <c r="KWC108" s="116"/>
      <c r="KWD108" s="116"/>
      <c r="KWE108" s="116"/>
      <c r="KWF108" s="116"/>
      <c r="KWG108" s="116"/>
      <c r="KWH108" s="116"/>
      <c r="KWI108" s="116"/>
      <c r="KWJ108" s="116"/>
      <c r="KWK108" s="116"/>
      <c r="KWL108" s="116"/>
      <c r="KWM108" s="116"/>
      <c r="KWN108" s="116"/>
      <c r="KWO108" s="116"/>
      <c r="KWP108" s="116"/>
      <c r="KWQ108" s="116"/>
      <c r="KWR108" s="116"/>
      <c r="KWS108" s="116"/>
      <c r="KWT108" s="116"/>
      <c r="KWU108" s="116"/>
      <c r="KWV108" s="116"/>
      <c r="KWW108" s="116"/>
      <c r="KWX108" s="116"/>
      <c r="KWY108" s="116"/>
      <c r="KWZ108" s="116"/>
      <c r="KXA108" s="116"/>
      <c r="KXB108" s="116"/>
      <c r="KXC108" s="116"/>
      <c r="KXD108" s="116"/>
      <c r="KXE108" s="116"/>
      <c r="KXF108" s="116"/>
      <c r="KXG108" s="116"/>
      <c r="KXH108" s="116"/>
      <c r="KXI108" s="116"/>
      <c r="KXJ108" s="116"/>
      <c r="KXK108" s="116"/>
      <c r="KXL108" s="116"/>
      <c r="KXM108" s="116"/>
      <c r="KXN108" s="116"/>
      <c r="KXO108" s="116"/>
      <c r="KXP108" s="116"/>
      <c r="KXQ108" s="116"/>
      <c r="KXR108" s="116"/>
      <c r="KXS108" s="116"/>
      <c r="KXT108" s="116"/>
      <c r="KXU108" s="116"/>
      <c r="KXV108" s="116"/>
      <c r="KXW108" s="116"/>
      <c r="KXX108" s="116"/>
      <c r="KXY108" s="116"/>
      <c r="KXZ108" s="116"/>
      <c r="KYA108" s="116"/>
      <c r="KYB108" s="116"/>
      <c r="KYC108" s="116"/>
      <c r="KYD108" s="116"/>
      <c r="KYE108" s="116"/>
      <c r="KYF108" s="116"/>
      <c r="KYG108" s="116"/>
      <c r="KYH108" s="116"/>
      <c r="KYI108" s="116"/>
      <c r="KYJ108" s="116"/>
      <c r="KYK108" s="116"/>
      <c r="KYL108" s="116"/>
      <c r="KYM108" s="116"/>
      <c r="KYN108" s="116"/>
      <c r="KYO108" s="116"/>
      <c r="KYP108" s="116"/>
      <c r="KYQ108" s="116"/>
      <c r="KYR108" s="116"/>
      <c r="KYS108" s="116"/>
      <c r="KYT108" s="116"/>
      <c r="KYU108" s="116"/>
      <c r="KYV108" s="116"/>
      <c r="KYW108" s="116"/>
      <c r="KYX108" s="116"/>
      <c r="KYY108" s="116"/>
      <c r="KYZ108" s="116"/>
      <c r="KZA108" s="116"/>
      <c r="KZB108" s="116"/>
      <c r="KZC108" s="116"/>
      <c r="KZD108" s="116"/>
      <c r="KZE108" s="116"/>
      <c r="KZF108" s="116"/>
      <c r="KZG108" s="116"/>
      <c r="KZH108" s="116"/>
      <c r="KZI108" s="116"/>
      <c r="KZJ108" s="116"/>
      <c r="KZK108" s="116"/>
      <c r="KZL108" s="116"/>
      <c r="KZM108" s="116"/>
      <c r="KZN108" s="116"/>
      <c r="KZO108" s="116"/>
      <c r="KZP108" s="116"/>
      <c r="KZQ108" s="116"/>
      <c r="KZR108" s="116"/>
      <c r="KZS108" s="116"/>
      <c r="KZT108" s="116"/>
      <c r="KZU108" s="116"/>
      <c r="KZV108" s="116"/>
      <c r="KZW108" s="116"/>
      <c r="KZX108" s="116"/>
      <c r="KZY108" s="116"/>
      <c r="KZZ108" s="116"/>
      <c r="LAA108" s="116"/>
      <c r="LAB108" s="116"/>
      <c r="LAC108" s="116"/>
      <c r="LAD108" s="116"/>
      <c r="LAE108" s="116"/>
      <c r="LAF108" s="116"/>
      <c r="LAG108" s="116"/>
      <c r="LAH108" s="116"/>
      <c r="LAI108" s="116"/>
      <c r="LAJ108" s="116"/>
      <c r="LAK108" s="116"/>
      <c r="LAL108" s="116"/>
      <c r="LAM108" s="116"/>
      <c r="LAN108" s="116"/>
      <c r="LAO108" s="116"/>
      <c r="LAP108" s="116"/>
      <c r="LAQ108" s="116"/>
      <c r="LAR108" s="116"/>
      <c r="LAS108" s="116"/>
      <c r="LAT108" s="116"/>
      <c r="LAU108" s="116"/>
      <c r="LAV108" s="116"/>
      <c r="LAW108" s="116"/>
      <c r="LAX108" s="116"/>
      <c r="LAY108" s="116"/>
      <c r="LAZ108" s="116"/>
      <c r="LBA108" s="116"/>
      <c r="LBB108" s="116"/>
      <c r="LBC108" s="116"/>
      <c r="LBD108" s="116"/>
      <c r="LBE108" s="116"/>
      <c r="LBF108" s="116"/>
      <c r="LBG108" s="116"/>
      <c r="LBH108" s="116"/>
      <c r="LBI108" s="116"/>
      <c r="LBJ108" s="116"/>
      <c r="LBK108" s="116"/>
      <c r="LBL108" s="116"/>
      <c r="LBM108" s="116"/>
      <c r="LBN108" s="116"/>
      <c r="LBO108" s="116"/>
      <c r="LBP108" s="116"/>
      <c r="LBQ108" s="116"/>
      <c r="LBR108" s="116"/>
      <c r="LBS108" s="116"/>
      <c r="LBT108" s="116"/>
      <c r="LBU108" s="116"/>
      <c r="LBV108" s="116"/>
      <c r="LBW108" s="116"/>
      <c r="LBX108" s="116"/>
      <c r="LBY108" s="116"/>
      <c r="LBZ108" s="116"/>
      <c r="LCA108" s="116"/>
      <c r="LCB108" s="116"/>
      <c r="LCC108" s="116"/>
      <c r="LCD108" s="116"/>
      <c r="LCE108" s="116"/>
      <c r="LCF108" s="116"/>
      <c r="LCG108" s="116"/>
      <c r="LCH108" s="116"/>
      <c r="LCI108" s="116"/>
      <c r="LCJ108" s="116"/>
      <c r="LCK108" s="116"/>
      <c r="LCL108" s="116"/>
      <c r="LCM108" s="116"/>
      <c r="LCN108" s="116"/>
      <c r="LCO108" s="116"/>
      <c r="LCP108" s="116"/>
      <c r="LCQ108" s="116"/>
      <c r="LCR108" s="116"/>
      <c r="LCS108" s="116"/>
      <c r="LCT108" s="116"/>
      <c r="LCU108" s="116"/>
      <c r="LCV108" s="116"/>
      <c r="LCW108" s="116"/>
      <c r="LCX108" s="116"/>
      <c r="LCY108" s="116"/>
      <c r="LCZ108" s="116"/>
      <c r="LDA108" s="116"/>
      <c r="LDB108" s="116"/>
      <c r="LDC108" s="116"/>
      <c r="LDD108" s="116"/>
      <c r="LDE108" s="116"/>
      <c r="LDF108" s="116"/>
      <c r="LDG108" s="116"/>
      <c r="LDH108" s="116"/>
      <c r="LDI108" s="116"/>
      <c r="LDJ108" s="116"/>
      <c r="LDK108" s="116"/>
      <c r="LDL108" s="116"/>
      <c r="LDM108" s="116"/>
      <c r="LDN108" s="116"/>
      <c r="LDO108" s="116"/>
      <c r="LDP108" s="116"/>
      <c r="LDQ108" s="116"/>
      <c r="LDR108" s="116"/>
      <c r="LDS108" s="116"/>
      <c r="LDT108" s="116"/>
      <c r="LDU108" s="116"/>
      <c r="LDV108" s="116"/>
      <c r="LDW108" s="116"/>
      <c r="LDX108" s="116"/>
      <c r="LDY108" s="116"/>
      <c r="LDZ108" s="116"/>
      <c r="LEA108" s="116"/>
      <c r="LEB108" s="116"/>
      <c r="LEC108" s="116"/>
      <c r="LED108" s="116"/>
      <c r="LEE108" s="116"/>
      <c r="LEF108" s="116"/>
      <c r="LEG108" s="116"/>
      <c r="LEH108" s="116"/>
      <c r="LEI108" s="116"/>
      <c r="LEJ108" s="116"/>
      <c r="LEK108" s="116"/>
      <c r="LEL108" s="116"/>
      <c r="LEM108" s="116"/>
      <c r="LEN108" s="116"/>
      <c r="LEO108" s="116"/>
      <c r="LEP108" s="116"/>
      <c r="LEQ108" s="116"/>
      <c r="LER108" s="116"/>
      <c r="LES108" s="116"/>
      <c r="LET108" s="116"/>
      <c r="LEU108" s="116"/>
      <c r="LEV108" s="116"/>
      <c r="LEW108" s="116"/>
      <c r="LEX108" s="116"/>
      <c r="LEY108" s="116"/>
      <c r="LEZ108" s="116"/>
      <c r="LFA108" s="116"/>
      <c r="LFB108" s="116"/>
      <c r="LFC108" s="116"/>
      <c r="LFD108" s="116"/>
      <c r="LFE108" s="116"/>
      <c r="LFF108" s="116"/>
      <c r="LFG108" s="116"/>
      <c r="LFH108" s="116"/>
      <c r="LFI108" s="116"/>
      <c r="LFJ108" s="116"/>
      <c r="LFK108" s="116"/>
      <c r="LFL108" s="116"/>
      <c r="LFM108" s="116"/>
      <c r="LFN108" s="116"/>
      <c r="LFO108" s="116"/>
      <c r="LFP108" s="116"/>
      <c r="LFQ108" s="116"/>
      <c r="LFR108" s="116"/>
      <c r="LFS108" s="116"/>
      <c r="LFT108" s="116"/>
      <c r="LFU108" s="116"/>
      <c r="LFV108" s="116"/>
      <c r="LFW108" s="116"/>
      <c r="LFX108" s="116"/>
      <c r="LFY108" s="116"/>
      <c r="LFZ108" s="116"/>
      <c r="LGA108" s="116"/>
      <c r="LGB108" s="116"/>
      <c r="LGC108" s="116"/>
      <c r="LGD108" s="116"/>
      <c r="LGE108" s="116"/>
      <c r="LGF108" s="116"/>
      <c r="LGG108" s="116"/>
      <c r="LGH108" s="116"/>
      <c r="LGI108" s="116"/>
      <c r="LGJ108" s="116"/>
      <c r="LGK108" s="116"/>
      <c r="LGL108" s="116"/>
      <c r="LGM108" s="116"/>
      <c r="LGN108" s="116"/>
      <c r="LGO108" s="116"/>
      <c r="LGP108" s="116"/>
      <c r="LGQ108" s="116"/>
      <c r="LGR108" s="116"/>
      <c r="LGS108" s="116"/>
      <c r="LGT108" s="116"/>
      <c r="LGU108" s="116"/>
      <c r="LGV108" s="116"/>
      <c r="LGW108" s="116"/>
      <c r="LGX108" s="116"/>
      <c r="LGY108" s="116"/>
      <c r="LGZ108" s="116"/>
      <c r="LHA108" s="116"/>
      <c r="LHB108" s="116"/>
      <c r="LHC108" s="116"/>
      <c r="LHD108" s="116"/>
      <c r="LHE108" s="116"/>
      <c r="LHF108" s="116"/>
      <c r="LHG108" s="116"/>
      <c r="LHH108" s="116"/>
      <c r="LHI108" s="116"/>
      <c r="LHJ108" s="116"/>
      <c r="LHK108" s="116"/>
      <c r="LHL108" s="116"/>
      <c r="LHM108" s="116"/>
      <c r="LHN108" s="116"/>
      <c r="LHO108" s="116"/>
      <c r="LHP108" s="116"/>
      <c r="LHQ108" s="116"/>
      <c r="LHR108" s="116"/>
      <c r="LHS108" s="116"/>
      <c r="LHT108" s="116"/>
      <c r="LHU108" s="116"/>
      <c r="LHV108" s="116"/>
      <c r="LHW108" s="116"/>
      <c r="LHX108" s="116"/>
      <c r="LHY108" s="116"/>
      <c r="LHZ108" s="116"/>
      <c r="LIA108" s="116"/>
      <c r="LIB108" s="116"/>
      <c r="LIC108" s="116"/>
      <c r="LID108" s="116"/>
      <c r="LIE108" s="116"/>
      <c r="LIF108" s="116"/>
      <c r="LIG108" s="116"/>
      <c r="LIH108" s="116"/>
      <c r="LII108" s="116"/>
      <c r="LIJ108" s="116"/>
      <c r="LIK108" s="116"/>
      <c r="LIL108" s="116"/>
      <c r="LIM108" s="116"/>
      <c r="LIN108" s="116"/>
      <c r="LIO108" s="116"/>
      <c r="LIP108" s="116"/>
      <c r="LIQ108" s="116"/>
      <c r="LIR108" s="116"/>
      <c r="LIS108" s="116"/>
      <c r="LIT108" s="116"/>
      <c r="LIU108" s="116"/>
      <c r="LIV108" s="116"/>
      <c r="LIW108" s="116"/>
      <c r="LIX108" s="116"/>
      <c r="LIY108" s="116"/>
      <c r="LIZ108" s="116"/>
      <c r="LJA108" s="116"/>
      <c r="LJB108" s="116"/>
      <c r="LJC108" s="116"/>
      <c r="LJD108" s="116"/>
      <c r="LJE108" s="116"/>
      <c r="LJF108" s="116"/>
      <c r="LJG108" s="116"/>
      <c r="LJH108" s="116"/>
      <c r="LJI108" s="116"/>
      <c r="LJJ108" s="116"/>
      <c r="LJK108" s="116"/>
      <c r="LJL108" s="116"/>
      <c r="LJM108" s="116"/>
      <c r="LJN108" s="116"/>
      <c r="LJO108" s="116"/>
      <c r="LJP108" s="116"/>
      <c r="LJQ108" s="116"/>
      <c r="LJR108" s="116"/>
      <c r="LJS108" s="116"/>
      <c r="LJT108" s="116"/>
      <c r="LJU108" s="116"/>
      <c r="LJV108" s="116"/>
      <c r="LJW108" s="116"/>
      <c r="LJX108" s="116"/>
      <c r="LJY108" s="116"/>
      <c r="LJZ108" s="116"/>
      <c r="LKA108" s="116"/>
      <c r="LKB108" s="116"/>
      <c r="LKC108" s="116"/>
      <c r="LKD108" s="116"/>
      <c r="LKE108" s="116"/>
      <c r="LKF108" s="116"/>
      <c r="LKG108" s="116"/>
      <c r="LKH108" s="116"/>
      <c r="LKI108" s="116"/>
      <c r="LKJ108" s="116"/>
      <c r="LKK108" s="116"/>
      <c r="LKL108" s="116"/>
      <c r="LKM108" s="116"/>
      <c r="LKN108" s="116"/>
      <c r="LKO108" s="116"/>
      <c r="LKP108" s="116"/>
      <c r="LKQ108" s="116"/>
      <c r="LKR108" s="116"/>
      <c r="LKS108" s="116"/>
      <c r="LKT108" s="116"/>
      <c r="LKU108" s="116"/>
      <c r="LKV108" s="116"/>
      <c r="LKW108" s="116"/>
      <c r="LKX108" s="116"/>
      <c r="LKY108" s="116"/>
      <c r="LKZ108" s="116"/>
      <c r="LLA108" s="116"/>
      <c r="LLB108" s="116"/>
      <c r="LLC108" s="116"/>
      <c r="LLD108" s="116"/>
      <c r="LLE108" s="116"/>
      <c r="LLF108" s="116"/>
      <c r="LLG108" s="116"/>
      <c r="LLH108" s="116"/>
      <c r="LLI108" s="116"/>
      <c r="LLJ108" s="116"/>
      <c r="LLK108" s="116"/>
      <c r="LLL108" s="116"/>
      <c r="LLM108" s="116"/>
      <c r="LLN108" s="116"/>
      <c r="LLO108" s="116"/>
      <c r="LLP108" s="116"/>
      <c r="LLQ108" s="116"/>
      <c r="LLR108" s="116"/>
      <c r="LLS108" s="116"/>
      <c r="LLT108" s="116"/>
      <c r="LLU108" s="116"/>
      <c r="LLV108" s="116"/>
      <c r="LLW108" s="116"/>
      <c r="LLX108" s="116"/>
      <c r="LLY108" s="116"/>
      <c r="LLZ108" s="116"/>
      <c r="LMA108" s="116"/>
      <c r="LMB108" s="116"/>
      <c r="LMC108" s="116"/>
      <c r="LMD108" s="116"/>
      <c r="LME108" s="116"/>
      <c r="LMF108" s="116"/>
      <c r="LMG108" s="116"/>
      <c r="LMH108" s="116"/>
      <c r="LMI108" s="116"/>
      <c r="LMJ108" s="116"/>
      <c r="LMK108" s="116"/>
      <c r="LML108" s="116"/>
      <c r="LMM108" s="116"/>
      <c r="LMN108" s="116"/>
      <c r="LMO108" s="116"/>
      <c r="LMP108" s="116"/>
      <c r="LMQ108" s="116"/>
      <c r="LMR108" s="116"/>
      <c r="LMS108" s="116"/>
      <c r="LMT108" s="116"/>
      <c r="LMU108" s="116"/>
      <c r="LMV108" s="116"/>
      <c r="LMW108" s="116"/>
      <c r="LMX108" s="116"/>
      <c r="LMY108" s="116"/>
      <c r="LMZ108" s="116"/>
      <c r="LNA108" s="116"/>
      <c r="LNB108" s="116"/>
      <c r="LNC108" s="116"/>
      <c r="LND108" s="116"/>
      <c r="LNE108" s="116"/>
      <c r="LNF108" s="116"/>
      <c r="LNG108" s="116"/>
      <c r="LNH108" s="116"/>
      <c r="LNI108" s="116"/>
      <c r="LNJ108" s="116"/>
      <c r="LNK108" s="116"/>
      <c r="LNL108" s="116"/>
      <c r="LNM108" s="116"/>
      <c r="LNN108" s="116"/>
      <c r="LNO108" s="116"/>
      <c r="LNP108" s="116"/>
      <c r="LNQ108" s="116"/>
      <c r="LNR108" s="116"/>
      <c r="LNS108" s="116"/>
      <c r="LNT108" s="116"/>
      <c r="LNU108" s="116"/>
      <c r="LNV108" s="116"/>
      <c r="LNW108" s="116"/>
      <c r="LNX108" s="116"/>
      <c r="LNY108" s="116"/>
      <c r="LNZ108" s="116"/>
      <c r="LOA108" s="116"/>
      <c r="LOB108" s="116"/>
      <c r="LOC108" s="116"/>
      <c r="LOD108" s="116"/>
      <c r="LOE108" s="116"/>
      <c r="LOF108" s="116"/>
      <c r="LOG108" s="116"/>
      <c r="LOH108" s="116"/>
      <c r="LOI108" s="116"/>
      <c r="LOJ108" s="116"/>
      <c r="LOK108" s="116"/>
      <c r="LOL108" s="116"/>
      <c r="LOM108" s="116"/>
      <c r="LON108" s="116"/>
      <c r="LOO108" s="116"/>
      <c r="LOP108" s="116"/>
      <c r="LOQ108" s="116"/>
      <c r="LOR108" s="116"/>
      <c r="LOS108" s="116"/>
      <c r="LOT108" s="116"/>
      <c r="LOU108" s="116"/>
      <c r="LOV108" s="116"/>
      <c r="LOW108" s="116"/>
      <c r="LOX108" s="116"/>
      <c r="LOY108" s="116"/>
      <c r="LOZ108" s="116"/>
      <c r="LPA108" s="116"/>
      <c r="LPB108" s="116"/>
      <c r="LPC108" s="116"/>
      <c r="LPD108" s="116"/>
      <c r="LPE108" s="116"/>
      <c r="LPF108" s="116"/>
      <c r="LPG108" s="116"/>
      <c r="LPH108" s="116"/>
      <c r="LPI108" s="116"/>
      <c r="LPJ108" s="116"/>
      <c r="LPK108" s="116"/>
      <c r="LPL108" s="116"/>
      <c r="LPM108" s="116"/>
      <c r="LPN108" s="116"/>
      <c r="LPO108" s="116"/>
      <c r="LPP108" s="116"/>
      <c r="LPQ108" s="116"/>
      <c r="LPR108" s="116"/>
      <c r="LPS108" s="116"/>
      <c r="LPT108" s="116"/>
      <c r="LPU108" s="116"/>
      <c r="LPV108" s="116"/>
      <c r="LPW108" s="116"/>
      <c r="LPX108" s="116"/>
      <c r="LPY108" s="116"/>
      <c r="LPZ108" s="116"/>
      <c r="LQA108" s="116"/>
      <c r="LQB108" s="116"/>
      <c r="LQC108" s="116"/>
      <c r="LQD108" s="116"/>
      <c r="LQE108" s="116"/>
      <c r="LQF108" s="116"/>
      <c r="LQG108" s="116"/>
      <c r="LQH108" s="116"/>
      <c r="LQI108" s="116"/>
      <c r="LQJ108" s="116"/>
      <c r="LQK108" s="116"/>
      <c r="LQL108" s="116"/>
      <c r="LQM108" s="116"/>
      <c r="LQN108" s="116"/>
      <c r="LQO108" s="116"/>
      <c r="LQP108" s="116"/>
      <c r="LQQ108" s="116"/>
      <c r="LQR108" s="116"/>
      <c r="LQS108" s="116"/>
      <c r="LQT108" s="116"/>
      <c r="LQU108" s="116"/>
      <c r="LQV108" s="116"/>
      <c r="LQW108" s="116"/>
      <c r="LQX108" s="116"/>
      <c r="LQY108" s="116"/>
      <c r="LQZ108" s="116"/>
      <c r="LRA108" s="116"/>
      <c r="LRB108" s="116"/>
      <c r="LRC108" s="116"/>
      <c r="LRD108" s="116"/>
      <c r="LRE108" s="116"/>
      <c r="LRF108" s="116"/>
      <c r="LRG108" s="116"/>
      <c r="LRH108" s="116"/>
      <c r="LRI108" s="116"/>
      <c r="LRJ108" s="116"/>
      <c r="LRK108" s="116"/>
      <c r="LRL108" s="116"/>
      <c r="LRM108" s="116"/>
      <c r="LRN108" s="116"/>
      <c r="LRO108" s="116"/>
      <c r="LRP108" s="116"/>
      <c r="LRQ108" s="116"/>
      <c r="LRR108" s="116"/>
      <c r="LRS108" s="116"/>
      <c r="LRT108" s="116"/>
      <c r="LRU108" s="116"/>
      <c r="LRV108" s="116"/>
      <c r="LRW108" s="116"/>
      <c r="LRX108" s="116"/>
      <c r="LRY108" s="116"/>
      <c r="LRZ108" s="116"/>
      <c r="LSA108" s="116"/>
      <c r="LSB108" s="116"/>
      <c r="LSC108" s="116"/>
      <c r="LSD108" s="116"/>
      <c r="LSE108" s="116"/>
      <c r="LSF108" s="116"/>
      <c r="LSG108" s="116"/>
      <c r="LSH108" s="116"/>
      <c r="LSI108" s="116"/>
      <c r="LSJ108" s="116"/>
      <c r="LSK108" s="116"/>
      <c r="LSL108" s="116"/>
      <c r="LSM108" s="116"/>
      <c r="LSN108" s="116"/>
      <c r="LSO108" s="116"/>
      <c r="LSP108" s="116"/>
      <c r="LSQ108" s="116"/>
      <c r="LSR108" s="116"/>
      <c r="LSS108" s="116"/>
      <c r="LST108" s="116"/>
      <c r="LSU108" s="116"/>
      <c r="LSV108" s="116"/>
      <c r="LSW108" s="116"/>
      <c r="LSX108" s="116"/>
      <c r="LSY108" s="116"/>
      <c r="LSZ108" s="116"/>
      <c r="LTA108" s="116"/>
      <c r="LTB108" s="116"/>
      <c r="LTC108" s="116"/>
      <c r="LTD108" s="116"/>
      <c r="LTE108" s="116"/>
      <c r="LTF108" s="116"/>
      <c r="LTG108" s="116"/>
      <c r="LTH108" s="116"/>
      <c r="LTI108" s="116"/>
      <c r="LTJ108" s="116"/>
      <c r="LTK108" s="116"/>
      <c r="LTL108" s="116"/>
      <c r="LTM108" s="116"/>
      <c r="LTN108" s="116"/>
      <c r="LTO108" s="116"/>
      <c r="LTP108" s="116"/>
      <c r="LTQ108" s="116"/>
      <c r="LTR108" s="116"/>
      <c r="LTS108" s="116"/>
      <c r="LTT108" s="116"/>
      <c r="LTU108" s="116"/>
      <c r="LTV108" s="116"/>
      <c r="LTW108" s="116"/>
      <c r="LTX108" s="116"/>
      <c r="LTY108" s="116"/>
      <c r="LTZ108" s="116"/>
      <c r="LUA108" s="116"/>
      <c r="LUB108" s="116"/>
      <c r="LUC108" s="116"/>
      <c r="LUD108" s="116"/>
      <c r="LUE108" s="116"/>
      <c r="LUF108" s="116"/>
      <c r="LUG108" s="116"/>
      <c r="LUH108" s="116"/>
      <c r="LUI108" s="116"/>
      <c r="LUJ108" s="116"/>
      <c r="LUK108" s="116"/>
      <c r="LUL108" s="116"/>
      <c r="LUM108" s="116"/>
      <c r="LUN108" s="116"/>
      <c r="LUO108" s="116"/>
      <c r="LUP108" s="116"/>
      <c r="LUQ108" s="116"/>
      <c r="LUR108" s="116"/>
      <c r="LUS108" s="116"/>
      <c r="LUT108" s="116"/>
      <c r="LUU108" s="116"/>
      <c r="LUV108" s="116"/>
      <c r="LUW108" s="116"/>
      <c r="LUX108" s="116"/>
      <c r="LUY108" s="116"/>
      <c r="LUZ108" s="116"/>
      <c r="LVA108" s="116"/>
      <c r="LVB108" s="116"/>
      <c r="LVC108" s="116"/>
      <c r="LVD108" s="116"/>
      <c r="LVE108" s="116"/>
      <c r="LVF108" s="116"/>
      <c r="LVG108" s="116"/>
      <c r="LVH108" s="116"/>
      <c r="LVI108" s="116"/>
      <c r="LVJ108" s="116"/>
      <c r="LVK108" s="116"/>
      <c r="LVL108" s="116"/>
      <c r="LVM108" s="116"/>
      <c r="LVN108" s="116"/>
      <c r="LVO108" s="116"/>
      <c r="LVP108" s="116"/>
      <c r="LVQ108" s="116"/>
      <c r="LVR108" s="116"/>
      <c r="LVS108" s="116"/>
      <c r="LVT108" s="116"/>
      <c r="LVU108" s="116"/>
      <c r="LVV108" s="116"/>
      <c r="LVW108" s="116"/>
      <c r="LVX108" s="116"/>
      <c r="LVY108" s="116"/>
      <c r="LVZ108" s="116"/>
      <c r="LWA108" s="116"/>
      <c r="LWB108" s="116"/>
      <c r="LWC108" s="116"/>
      <c r="LWD108" s="116"/>
      <c r="LWE108" s="116"/>
      <c r="LWF108" s="116"/>
      <c r="LWG108" s="116"/>
      <c r="LWH108" s="116"/>
      <c r="LWI108" s="116"/>
      <c r="LWJ108" s="116"/>
      <c r="LWK108" s="116"/>
      <c r="LWL108" s="116"/>
      <c r="LWM108" s="116"/>
      <c r="LWN108" s="116"/>
      <c r="LWO108" s="116"/>
      <c r="LWP108" s="116"/>
      <c r="LWQ108" s="116"/>
      <c r="LWR108" s="116"/>
      <c r="LWS108" s="116"/>
      <c r="LWT108" s="116"/>
      <c r="LWU108" s="116"/>
      <c r="LWV108" s="116"/>
      <c r="LWW108" s="116"/>
      <c r="LWX108" s="116"/>
      <c r="LWY108" s="116"/>
      <c r="LWZ108" s="116"/>
      <c r="LXA108" s="116"/>
      <c r="LXB108" s="116"/>
      <c r="LXC108" s="116"/>
      <c r="LXD108" s="116"/>
      <c r="LXE108" s="116"/>
      <c r="LXF108" s="116"/>
      <c r="LXG108" s="116"/>
      <c r="LXH108" s="116"/>
      <c r="LXI108" s="116"/>
      <c r="LXJ108" s="116"/>
      <c r="LXK108" s="116"/>
      <c r="LXL108" s="116"/>
      <c r="LXM108" s="116"/>
      <c r="LXN108" s="116"/>
      <c r="LXO108" s="116"/>
      <c r="LXP108" s="116"/>
      <c r="LXQ108" s="116"/>
      <c r="LXR108" s="116"/>
      <c r="LXS108" s="116"/>
      <c r="LXT108" s="116"/>
      <c r="LXU108" s="116"/>
      <c r="LXV108" s="116"/>
      <c r="LXW108" s="116"/>
      <c r="LXX108" s="116"/>
      <c r="LXY108" s="116"/>
      <c r="LXZ108" s="116"/>
      <c r="LYA108" s="116"/>
      <c r="LYB108" s="116"/>
      <c r="LYC108" s="116"/>
      <c r="LYD108" s="116"/>
      <c r="LYE108" s="116"/>
      <c r="LYF108" s="116"/>
      <c r="LYG108" s="116"/>
      <c r="LYH108" s="116"/>
      <c r="LYI108" s="116"/>
      <c r="LYJ108" s="116"/>
      <c r="LYK108" s="116"/>
      <c r="LYL108" s="116"/>
      <c r="LYM108" s="116"/>
      <c r="LYN108" s="116"/>
      <c r="LYO108" s="116"/>
      <c r="LYP108" s="116"/>
      <c r="LYQ108" s="116"/>
      <c r="LYR108" s="116"/>
      <c r="LYS108" s="116"/>
      <c r="LYT108" s="116"/>
      <c r="LYU108" s="116"/>
      <c r="LYV108" s="116"/>
      <c r="LYW108" s="116"/>
      <c r="LYX108" s="116"/>
      <c r="LYY108" s="116"/>
      <c r="LYZ108" s="116"/>
      <c r="LZA108" s="116"/>
      <c r="LZB108" s="116"/>
      <c r="LZC108" s="116"/>
      <c r="LZD108" s="116"/>
      <c r="LZE108" s="116"/>
      <c r="LZF108" s="116"/>
      <c r="LZG108" s="116"/>
      <c r="LZH108" s="116"/>
      <c r="LZI108" s="116"/>
      <c r="LZJ108" s="116"/>
      <c r="LZK108" s="116"/>
      <c r="LZL108" s="116"/>
      <c r="LZM108" s="116"/>
      <c r="LZN108" s="116"/>
      <c r="LZO108" s="116"/>
      <c r="LZP108" s="116"/>
      <c r="LZQ108" s="116"/>
      <c r="LZR108" s="116"/>
      <c r="LZS108" s="116"/>
      <c r="LZT108" s="116"/>
      <c r="LZU108" s="116"/>
      <c r="LZV108" s="116"/>
      <c r="LZW108" s="116"/>
      <c r="LZX108" s="116"/>
      <c r="LZY108" s="116"/>
      <c r="LZZ108" s="116"/>
      <c r="MAA108" s="116"/>
      <c r="MAB108" s="116"/>
      <c r="MAC108" s="116"/>
      <c r="MAD108" s="116"/>
      <c r="MAE108" s="116"/>
      <c r="MAF108" s="116"/>
      <c r="MAG108" s="116"/>
      <c r="MAH108" s="116"/>
      <c r="MAI108" s="116"/>
      <c r="MAJ108" s="116"/>
      <c r="MAK108" s="116"/>
      <c r="MAL108" s="116"/>
      <c r="MAM108" s="116"/>
      <c r="MAN108" s="116"/>
      <c r="MAO108" s="116"/>
      <c r="MAP108" s="116"/>
      <c r="MAQ108" s="116"/>
      <c r="MAR108" s="116"/>
      <c r="MAS108" s="116"/>
      <c r="MAT108" s="116"/>
      <c r="MAU108" s="116"/>
      <c r="MAV108" s="116"/>
      <c r="MAW108" s="116"/>
      <c r="MAX108" s="116"/>
      <c r="MAY108" s="116"/>
      <c r="MAZ108" s="116"/>
      <c r="MBA108" s="116"/>
      <c r="MBB108" s="116"/>
      <c r="MBC108" s="116"/>
      <c r="MBD108" s="116"/>
      <c r="MBE108" s="116"/>
      <c r="MBF108" s="116"/>
      <c r="MBG108" s="116"/>
      <c r="MBH108" s="116"/>
      <c r="MBI108" s="116"/>
      <c r="MBJ108" s="116"/>
      <c r="MBK108" s="116"/>
      <c r="MBL108" s="116"/>
      <c r="MBM108" s="116"/>
      <c r="MBN108" s="116"/>
      <c r="MBO108" s="116"/>
      <c r="MBP108" s="116"/>
      <c r="MBQ108" s="116"/>
      <c r="MBR108" s="116"/>
      <c r="MBS108" s="116"/>
      <c r="MBT108" s="116"/>
      <c r="MBU108" s="116"/>
      <c r="MBV108" s="116"/>
      <c r="MBW108" s="116"/>
      <c r="MBX108" s="116"/>
      <c r="MBY108" s="116"/>
      <c r="MBZ108" s="116"/>
      <c r="MCA108" s="116"/>
      <c r="MCB108" s="116"/>
      <c r="MCC108" s="116"/>
      <c r="MCD108" s="116"/>
      <c r="MCE108" s="116"/>
      <c r="MCF108" s="116"/>
      <c r="MCG108" s="116"/>
      <c r="MCH108" s="116"/>
      <c r="MCI108" s="116"/>
      <c r="MCJ108" s="116"/>
      <c r="MCK108" s="116"/>
      <c r="MCL108" s="116"/>
      <c r="MCM108" s="116"/>
      <c r="MCN108" s="116"/>
      <c r="MCO108" s="116"/>
      <c r="MCP108" s="116"/>
      <c r="MCQ108" s="116"/>
      <c r="MCR108" s="116"/>
      <c r="MCS108" s="116"/>
      <c r="MCT108" s="116"/>
      <c r="MCU108" s="116"/>
      <c r="MCV108" s="116"/>
      <c r="MCW108" s="116"/>
      <c r="MCX108" s="116"/>
      <c r="MCY108" s="116"/>
      <c r="MCZ108" s="116"/>
      <c r="MDA108" s="116"/>
      <c r="MDB108" s="116"/>
      <c r="MDC108" s="116"/>
      <c r="MDD108" s="116"/>
      <c r="MDE108" s="116"/>
      <c r="MDF108" s="116"/>
      <c r="MDG108" s="116"/>
      <c r="MDH108" s="116"/>
      <c r="MDI108" s="116"/>
      <c r="MDJ108" s="116"/>
      <c r="MDK108" s="116"/>
      <c r="MDL108" s="116"/>
      <c r="MDM108" s="116"/>
      <c r="MDN108" s="116"/>
      <c r="MDO108" s="116"/>
      <c r="MDP108" s="116"/>
      <c r="MDQ108" s="116"/>
      <c r="MDR108" s="116"/>
      <c r="MDS108" s="116"/>
      <c r="MDT108" s="116"/>
      <c r="MDU108" s="116"/>
      <c r="MDV108" s="116"/>
      <c r="MDW108" s="116"/>
      <c r="MDX108" s="116"/>
      <c r="MDY108" s="116"/>
      <c r="MDZ108" s="116"/>
      <c r="MEA108" s="116"/>
      <c r="MEB108" s="116"/>
      <c r="MEC108" s="116"/>
      <c r="MED108" s="116"/>
      <c r="MEE108" s="116"/>
      <c r="MEF108" s="116"/>
      <c r="MEG108" s="116"/>
      <c r="MEH108" s="116"/>
      <c r="MEI108" s="116"/>
      <c r="MEJ108" s="116"/>
      <c r="MEK108" s="116"/>
      <c r="MEL108" s="116"/>
      <c r="MEM108" s="116"/>
      <c r="MEN108" s="116"/>
      <c r="MEO108" s="116"/>
      <c r="MEP108" s="116"/>
      <c r="MEQ108" s="116"/>
      <c r="MER108" s="116"/>
      <c r="MES108" s="116"/>
      <c r="MET108" s="116"/>
      <c r="MEU108" s="116"/>
      <c r="MEV108" s="116"/>
      <c r="MEW108" s="116"/>
      <c r="MEX108" s="116"/>
      <c r="MEY108" s="116"/>
      <c r="MEZ108" s="116"/>
      <c r="MFA108" s="116"/>
      <c r="MFB108" s="116"/>
      <c r="MFC108" s="116"/>
      <c r="MFD108" s="116"/>
      <c r="MFE108" s="116"/>
      <c r="MFF108" s="116"/>
      <c r="MFG108" s="116"/>
      <c r="MFH108" s="116"/>
      <c r="MFI108" s="116"/>
      <c r="MFJ108" s="116"/>
      <c r="MFK108" s="116"/>
      <c r="MFL108" s="116"/>
      <c r="MFM108" s="116"/>
      <c r="MFN108" s="116"/>
      <c r="MFO108" s="116"/>
      <c r="MFP108" s="116"/>
      <c r="MFQ108" s="116"/>
      <c r="MFR108" s="116"/>
      <c r="MFS108" s="116"/>
      <c r="MFT108" s="116"/>
      <c r="MFU108" s="116"/>
      <c r="MFV108" s="116"/>
      <c r="MFW108" s="116"/>
      <c r="MFX108" s="116"/>
      <c r="MFY108" s="116"/>
      <c r="MFZ108" s="116"/>
      <c r="MGA108" s="116"/>
      <c r="MGB108" s="116"/>
      <c r="MGC108" s="116"/>
      <c r="MGD108" s="116"/>
      <c r="MGE108" s="116"/>
      <c r="MGF108" s="116"/>
      <c r="MGG108" s="116"/>
      <c r="MGH108" s="116"/>
      <c r="MGI108" s="116"/>
      <c r="MGJ108" s="116"/>
      <c r="MGK108" s="116"/>
      <c r="MGL108" s="116"/>
      <c r="MGM108" s="116"/>
      <c r="MGN108" s="116"/>
      <c r="MGO108" s="116"/>
      <c r="MGP108" s="116"/>
      <c r="MGQ108" s="116"/>
      <c r="MGR108" s="116"/>
      <c r="MGS108" s="116"/>
      <c r="MGT108" s="116"/>
      <c r="MGU108" s="116"/>
      <c r="MGV108" s="116"/>
      <c r="MGW108" s="116"/>
      <c r="MGX108" s="116"/>
      <c r="MGY108" s="116"/>
      <c r="MGZ108" s="116"/>
      <c r="MHA108" s="116"/>
      <c r="MHB108" s="116"/>
      <c r="MHC108" s="116"/>
      <c r="MHD108" s="116"/>
      <c r="MHE108" s="116"/>
      <c r="MHF108" s="116"/>
      <c r="MHG108" s="116"/>
      <c r="MHH108" s="116"/>
      <c r="MHI108" s="116"/>
      <c r="MHJ108" s="116"/>
      <c r="MHK108" s="116"/>
      <c r="MHL108" s="116"/>
      <c r="MHM108" s="116"/>
      <c r="MHN108" s="116"/>
      <c r="MHO108" s="116"/>
      <c r="MHP108" s="116"/>
      <c r="MHQ108" s="116"/>
      <c r="MHR108" s="116"/>
      <c r="MHS108" s="116"/>
      <c r="MHT108" s="116"/>
      <c r="MHU108" s="116"/>
      <c r="MHV108" s="116"/>
      <c r="MHW108" s="116"/>
      <c r="MHX108" s="116"/>
      <c r="MHY108" s="116"/>
      <c r="MHZ108" s="116"/>
      <c r="MIA108" s="116"/>
      <c r="MIB108" s="116"/>
      <c r="MIC108" s="116"/>
      <c r="MID108" s="116"/>
      <c r="MIE108" s="116"/>
      <c r="MIF108" s="116"/>
      <c r="MIG108" s="116"/>
      <c r="MIH108" s="116"/>
      <c r="MII108" s="116"/>
      <c r="MIJ108" s="116"/>
      <c r="MIK108" s="116"/>
      <c r="MIL108" s="116"/>
      <c r="MIM108" s="116"/>
      <c r="MIN108" s="116"/>
      <c r="MIO108" s="116"/>
      <c r="MIP108" s="116"/>
      <c r="MIQ108" s="116"/>
      <c r="MIR108" s="116"/>
      <c r="MIS108" s="116"/>
      <c r="MIT108" s="116"/>
      <c r="MIU108" s="116"/>
      <c r="MIV108" s="116"/>
      <c r="MIW108" s="116"/>
      <c r="MIX108" s="116"/>
      <c r="MIY108" s="116"/>
      <c r="MIZ108" s="116"/>
      <c r="MJA108" s="116"/>
      <c r="MJB108" s="116"/>
      <c r="MJC108" s="116"/>
      <c r="MJD108" s="116"/>
      <c r="MJE108" s="116"/>
      <c r="MJF108" s="116"/>
      <c r="MJG108" s="116"/>
      <c r="MJH108" s="116"/>
      <c r="MJI108" s="116"/>
      <c r="MJJ108" s="116"/>
      <c r="MJK108" s="116"/>
      <c r="MJL108" s="116"/>
      <c r="MJM108" s="116"/>
      <c r="MJN108" s="116"/>
      <c r="MJO108" s="116"/>
      <c r="MJP108" s="116"/>
      <c r="MJQ108" s="116"/>
      <c r="MJR108" s="116"/>
      <c r="MJS108" s="116"/>
      <c r="MJT108" s="116"/>
      <c r="MJU108" s="116"/>
      <c r="MJV108" s="116"/>
      <c r="MJW108" s="116"/>
      <c r="MJX108" s="116"/>
      <c r="MJY108" s="116"/>
      <c r="MJZ108" s="116"/>
      <c r="MKA108" s="116"/>
      <c r="MKB108" s="116"/>
      <c r="MKC108" s="116"/>
      <c r="MKD108" s="116"/>
      <c r="MKE108" s="116"/>
      <c r="MKF108" s="116"/>
      <c r="MKG108" s="116"/>
      <c r="MKH108" s="116"/>
      <c r="MKI108" s="116"/>
      <c r="MKJ108" s="116"/>
      <c r="MKK108" s="116"/>
      <c r="MKL108" s="116"/>
      <c r="MKM108" s="116"/>
      <c r="MKN108" s="116"/>
      <c r="MKO108" s="116"/>
      <c r="MKP108" s="116"/>
      <c r="MKQ108" s="116"/>
      <c r="MKR108" s="116"/>
      <c r="MKS108" s="116"/>
      <c r="MKT108" s="116"/>
      <c r="MKU108" s="116"/>
      <c r="MKV108" s="116"/>
      <c r="MKW108" s="116"/>
      <c r="MKX108" s="116"/>
      <c r="MKY108" s="116"/>
      <c r="MKZ108" s="116"/>
      <c r="MLA108" s="116"/>
      <c r="MLB108" s="116"/>
      <c r="MLC108" s="116"/>
      <c r="MLD108" s="116"/>
      <c r="MLE108" s="116"/>
      <c r="MLF108" s="116"/>
      <c r="MLG108" s="116"/>
      <c r="MLH108" s="116"/>
      <c r="MLI108" s="116"/>
      <c r="MLJ108" s="116"/>
      <c r="MLK108" s="116"/>
      <c r="MLL108" s="116"/>
      <c r="MLM108" s="116"/>
      <c r="MLN108" s="116"/>
      <c r="MLO108" s="116"/>
      <c r="MLP108" s="116"/>
      <c r="MLQ108" s="116"/>
      <c r="MLR108" s="116"/>
      <c r="MLS108" s="116"/>
      <c r="MLT108" s="116"/>
      <c r="MLU108" s="116"/>
      <c r="MLV108" s="116"/>
      <c r="MLW108" s="116"/>
      <c r="MLX108" s="116"/>
      <c r="MLY108" s="116"/>
      <c r="MLZ108" s="116"/>
      <c r="MMA108" s="116"/>
      <c r="MMB108" s="116"/>
      <c r="MMC108" s="116"/>
      <c r="MMD108" s="116"/>
      <c r="MME108" s="116"/>
      <c r="MMF108" s="116"/>
      <c r="MMG108" s="116"/>
      <c r="MMH108" s="116"/>
      <c r="MMI108" s="116"/>
      <c r="MMJ108" s="116"/>
      <c r="MMK108" s="116"/>
      <c r="MML108" s="116"/>
      <c r="MMM108" s="116"/>
      <c r="MMN108" s="116"/>
      <c r="MMO108" s="116"/>
      <c r="MMP108" s="116"/>
      <c r="MMQ108" s="116"/>
      <c r="MMR108" s="116"/>
      <c r="MMS108" s="116"/>
      <c r="MMT108" s="116"/>
      <c r="MMU108" s="116"/>
      <c r="MMV108" s="116"/>
      <c r="MMW108" s="116"/>
      <c r="MMX108" s="116"/>
      <c r="MMY108" s="116"/>
      <c r="MMZ108" s="116"/>
      <c r="MNA108" s="116"/>
      <c r="MNB108" s="116"/>
      <c r="MNC108" s="116"/>
      <c r="MND108" s="116"/>
      <c r="MNE108" s="116"/>
      <c r="MNF108" s="116"/>
      <c r="MNG108" s="116"/>
      <c r="MNH108" s="116"/>
      <c r="MNI108" s="116"/>
      <c r="MNJ108" s="116"/>
      <c r="MNK108" s="116"/>
      <c r="MNL108" s="116"/>
      <c r="MNM108" s="116"/>
      <c r="MNN108" s="116"/>
      <c r="MNO108" s="116"/>
      <c r="MNP108" s="116"/>
      <c r="MNQ108" s="116"/>
      <c r="MNR108" s="116"/>
      <c r="MNS108" s="116"/>
      <c r="MNT108" s="116"/>
      <c r="MNU108" s="116"/>
      <c r="MNV108" s="116"/>
      <c r="MNW108" s="116"/>
      <c r="MNX108" s="116"/>
      <c r="MNY108" s="116"/>
      <c r="MNZ108" s="116"/>
      <c r="MOA108" s="116"/>
      <c r="MOB108" s="116"/>
      <c r="MOC108" s="116"/>
      <c r="MOD108" s="116"/>
      <c r="MOE108" s="116"/>
      <c r="MOF108" s="116"/>
      <c r="MOG108" s="116"/>
      <c r="MOH108" s="116"/>
      <c r="MOI108" s="116"/>
      <c r="MOJ108" s="116"/>
      <c r="MOK108" s="116"/>
      <c r="MOL108" s="116"/>
      <c r="MOM108" s="116"/>
      <c r="MON108" s="116"/>
      <c r="MOO108" s="116"/>
      <c r="MOP108" s="116"/>
      <c r="MOQ108" s="116"/>
      <c r="MOR108" s="116"/>
      <c r="MOS108" s="116"/>
      <c r="MOT108" s="116"/>
      <c r="MOU108" s="116"/>
      <c r="MOV108" s="116"/>
      <c r="MOW108" s="116"/>
      <c r="MOX108" s="116"/>
      <c r="MOY108" s="116"/>
      <c r="MOZ108" s="116"/>
      <c r="MPA108" s="116"/>
      <c r="MPB108" s="116"/>
      <c r="MPC108" s="116"/>
      <c r="MPD108" s="116"/>
      <c r="MPE108" s="116"/>
      <c r="MPF108" s="116"/>
      <c r="MPG108" s="116"/>
      <c r="MPH108" s="116"/>
      <c r="MPI108" s="116"/>
      <c r="MPJ108" s="116"/>
      <c r="MPK108" s="116"/>
      <c r="MPL108" s="116"/>
      <c r="MPM108" s="116"/>
      <c r="MPN108" s="116"/>
      <c r="MPO108" s="116"/>
      <c r="MPP108" s="116"/>
      <c r="MPQ108" s="116"/>
      <c r="MPR108" s="116"/>
      <c r="MPS108" s="116"/>
      <c r="MPT108" s="116"/>
      <c r="MPU108" s="116"/>
      <c r="MPV108" s="116"/>
      <c r="MPW108" s="116"/>
      <c r="MPX108" s="116"/>
      <c r="MPY108" s="116"/>
      <c r="MPZ108" s="116"/>
      <c r="MQA108" s="116"/>
      <c r="MQB108" s="116"/>
      <c r="MQC108" s="116"/>
      <c r="MQD108" s="116"/>
      <c r="MQE108" s="116"/>
      <c r="MQF108" s="116"/>
      <c r="MQG108" s="116"/>
      <c r="MQH108" s="116"/>
      <c r="MQI108" s="116"/>
      <c r="MQJ108" s="116"/>
      <c r="MQK108" s="116"/>
      <c r="MQL108" s="116"/>
      <c r="MQM108" s="116"/>
      <c r="MQN108" s="116"/>
      <c r="MQO108" s="116"/>
      <c r="MQP108" s="116"/>
      <c r="MQQ108" s="116"/>
      <c r="MQR108" s="116"/>
      <c r="MQS108" s="116"/>
      <c r="MQT108" s="116"/>
      <c r="MQU108" s="116"/>
      <c r="MQV108" s="116"/>
      <c r="MQW108" s="116"/>
      <c r="MQX108" s="116"/>
      <c r="MQY108" s="116"/>
      <c r="MQZ108" s="116"/>
      <c r="MRA108" s="116"/>
      <c r="MRB108" s="116"/>
      <c r="MRC108" s="116"/>
      <c r="MRD108" s="116"/>
      <c r="MRE108" s="116"/>
      <c r="MRF108" s="116"/>
      <c r="MRG108" s="116"/>
      <c r="MRH108" s="116"/>
      <c r="MRI108" s="116"/>
      <c r="MRJ108" s="116"/>
      <c r="MRK108" s="116"/>
      <c r="MRL108" s="116"/>
      <c r="MRM108" s="116"/>
      <c r="MRN108" s="116"/>
      <c r="MRO108" s="116"/>
      <c r="MRP108" s="116"/>
      <c r="MRQ108" s="116"/>
      <c r="MRR108" s="116"/>
      <c r="MRS108" s="116"/>
      <c r="MRT108" s="116"/>
      <c r="MRU108" s="116"/>
      <c r="MRV108" s="116"/>
      <c r="MRW108" s="116"/>
      <c r="MRX108" s="116"/>
      <c r="MRY108" s="116"/>
      <c r="MRZ108" s="116"/>
      <c r="MSA108" s="116"/>
      <c r="MSB108" s="116"/>
      <c r="MSC108" s="116"/>
      <c r="MSD108" s="116"/>
      <c r="MSE108" s="116"/>
      <c r="MSF108" s="116"/>
      <c r="MSG108" s="116"/>
      <c r="MSH108" s="116"/>
      <c r="MSI108" s="116"/>
      <c r="MSJ108" s="116"/>
      <c r="MSK108" s="116"/>
      <c r="MSL108" s="116"/>
      <c r="MSM108" s="116"/>
      <c r="MSN108" s="116"/>
      <c r="MSO108" s="116"/>
      <c r="MSP108" s="116"/>
      <c r="MSQ108" s="116"/>
      <c r="MSR108" s="116"/>
      <c r="MSS108" s="116"/>
      <c r="MST108" s="116"/>
      <c r="MSU108" s="116"/>
      <c r="MSV108" s="116"/>
      <c r="MSW108" s="116"/>
      <c r="MSX108" s="116"/>
      <c r="MSY108" s="116"/>
      <c r="MSZ108" s="116"/>
      <c r="MTA108" s="116"/>
      <c r="MTB108" s="116"/>
      <c r="MTC108" s="116"/>
      <c r="MTD108" s="116"/>
      <c r="MTE108" s="116"/>
      <c r="MTF108" s="116"/>
      <c r="MTG108" s="116"/>
      <c r="MTH108" s="116"/>
      <c r="MTI108" s="116"/>
      <c r="MTJ108" s="116"/>
      <c r="MTK108" s="116"/>
      <c r="MTL108" s="116"/>
      <c r="MTM108" s="116"/>
      <c r="MTN108" s="116"/>
      <c r="MTO108" s="116"/>
      <c r="MTP108" s="116"/>
      <c r="MTQ108" s="116"/>
      <c r="MTR108" s="116"/>
      <c r="MTS108" s="116"/>
      <c r="MTT108" s="116"/>
      <c r="MTU108" s="116"/>
      <c r="MTV108" s="116"/>
      <c r="MTW108" s="116"/>
      <c r="MTX108" s="116"/>
      <c r="MTY108" s="116"/>
      <c r="MTZ108" s="116"/>
      <c r="MUA108" s="116"/>
      <c r="MUB108" s="116"/>
      <c r="MUC108" s="116"/>
      <c r="MUD108" s="116"/>
      <c r="MUE108" s="116"/>
      <c r="MUF108" s="116"/>
      <c r="MUG108" s="116"/>
      <c r="MUH108" s="116"/>
      <c r="MUI108" s="116"/>
      <c r="MUJ108" s="116"/>
      <c r="MUK108" s="116"/>
      <c r="MUL108" s="116"/>
      <c r="MUM108" s="116"/>
      <c r="MUN108" s="116"/>
      <c r="MUO108" s="116"/>
      <c r="MUP108" s="116"/>
      <c r="MUQ108" s="116"/>
      <c r="MUR108" s="116"/>
      <c r="MUS108" s="116"/>
      <c r="MUT108" s="116"/>
      <c r="MUU108" s="116"/>
      <c r="MUV108" s="116"/>
      <c r="MUW108" s="116"/>
      <c r="MUX108" s="116"/>
      <c r="MUY108" s="116"/>
      <c r="MUZ108" s="116"/>
      <c r="MVA108" s="116"/>
      <c r="MVB108" s="116"/>
      <c r="MVC108" s="116"/>
      <c r="MVD108" s="116"/>
      <c r="MVE108" s="116"/>
      <c r="MVF108" s="116"/>
      <c r="MVG108" s="116"/>
      <c r="MVH108" s="116"/>
      <c r="MVI108" s="116"/>
      <c r="MVJ108" s="116"/>
      <c r="MVK108" s="116"/>
      <c r="MVL108" s="116"/>
      <c r="MVM108" s="116"/>
      <c r="MVN108" s="116"/>
      <c r="MVO108" s="116"/>
      <c r="MVP108" s="116"/>
      <c r="MVQ108" s="116"/>
      <c r="MVR108" s="116"/>
      <c r="MVS108" s="116"/>
      <c r="MVT108" s="116"/>
      <c r="MVU108" s="116"/>
      <c r="MVV108" s="116"/>
      <c r="MVW108" s="116"/>
      <c r="MVX108" s="116"/>
      <c r="MVY108" s="116"/>
      <c r="MVZ108" s="116"/>
      <c r="MWA108" s="116"/>
      <c r="MWB108" s="116"/>
      <c r="MWC108" s="116"/>
      <c r="MWD108" s="116"/>
      <c r="MWE108" s="116"/>
      <c r="MWF108" s="116"/>
      <c r="MWG108" s="116"/>
      <c r="MWH108" s="116"/>
      <c r="MWI108" s="116"/>
      <c r="MWJ108" s="116"/>
      <c r="MWK108" s="116"/>
      <c r="MWL108" s="116"/>
      <c r="MWM108" s="116"/>
      <c r="MWN108" s="116"/>
      <c r="MWO108" s="116"/>
      <c r="MWP108" s="116"/>
      <c r="MWQ108" s="116"/>
      <c r="MWR108" s="116"/>
      <c r="MWS108" s="116"/>
      <c r="MWT108" s="116"/>
      <c r="MWU108" s="116"/>
      <c r="MWV108" s="116"/>
      <c r="MWW108" s="116"/>
      <c r="MWX108" s="116"/>
      <c r="MWY108" s="116"/>
      <c r="MWZ108" s="116"/>
      <c r="MXA108" s="116"/>
      <c r="MXB108" s="116"/>
      <c r="MXC108" s="116"/>
      <c r="MXD108" s="116"/>
      <c r="MXE108" s="116"/>
      <c r="MXF108" s="116"/>
      <c r="MXG108" s="116"/>
      <c r="MXH108" s="116"/>
      <c r="MXI108" s="116"/>
      <c r="MXJ108" s="116"/>
      <c r="MXK108" s="116"/>
      <c r="MXL108" s="116"/>
      <c r="MXM108" s="116"/>
      <c r="MXN108" s="116"/>
      <c r="MXO108" s="116"/>
      <c r="MXP108" s="116"/>
      <c r="MXQ108" s="116"/>
      <c r="MXR108" s="116"/>
      <c r="MXS108" s="116"/>
      <c r="MXT108" s="116"/>
      <c r="MXU108" s="116"/>
      <c r="MXV108" s="116"/>
      <c r="MXW108" s="116"/>
      <c r="MXX108" s="116"/>
      <c r="MXY108" s="116"/>
      <c r="MXZ108" s="116"/>
      <c r="MYA108" s="116"/>
      <c r="MYB108" s="116"/>
      <c r="MYC108" s="116"/>
      <c r="MYD108" s="116"/>
      <c r="MYE108" s="116"/>
      <c r="MYF108" s="116"/>
      <c r="MYG108" s="116"/>
      <c r="MYH108" s="116"/>
      <c r="MYI108" s="116"/>
      <c r="MYJ108" s="116"/>
      <c r="MYK108" s="116"/>
      <c r="MYL108" s="116"/>
      <c r="MYM108" s="116"/>
      <c r="MYN108" s="116"/>
      <c r="MYO108" s="116"/>
      <c r="MYP108" s="116"/>
      <c r="MYQ108" s="116"/>
      <c r="MYR108" s="116"/>
      <c r="MYS108" s="116"/>
      <c r="MYT108" s="116"/>
      <c r="MYU108" s="116"/>
      <c r="MYV108" s="116"/>
      <c r="MYW108" s="116"/>
      <c r="MYX108" s="116"/>
      <c r="MYY108" s="116"/>
      <c r="MYZ108" s="116"/>
      <c r="MZA108" s="116"/>
      <c r="MZB108" s="116"/>
      <c r="MZC108" s="116"/>
      <c r="MZD108" s="116"/>
      <c r="MZE108" s="116"/>
      <c r="MZF108" s="116"/>
      <c r="MZG108" s="116"/>
      <c r="MZH108" s="116"/>
      <c r="MZI108" s="116"/>
      <c r="MZJ108" s="116"/>
      <c r="MZK108" s="116"/>
      <c r="MZL108" s="116"/>
      <c r="MZM108" s="116"/>
      <c r="MZN108" s="116"/>
      <c r="MZO108" s="116"/>
      <c r="MZP108" s="116"/>
      <c r="MZQ108" s="116"/>
      <c r="MZR108" s="116"/>
      <c r="MZS108" s="116"/>
      <c r="MZT108" s="116"/>
      <c r="MZU108" s="116"/>
      <c r="MZV108" s="116"/>
      <c r="MZW108" s="116"/>
      <c r="MZX108" s="116"/>
      <c r="MZY108" s="116"/>
      <c r="MZZ108" s="116"/>
      <c r="NAA108" s="116"/>
      <c r="NAB108" s="116"/>
      <c r="NAC108" s="116"/>
      <c r="NAD108" s="116"/>
      <c r="NAE108" s="116"/>
      <c r="NAF108" s="116"/>
      <c r="NAG108" s="116"/>
      <c r="NAH108" s="116"/>
      <c r="NAI108" s="116"/>
      <c r="NAJ108" s="116"/>
      <c r="NAK108" s="116"/>
      <c r="NAL108" s="116"/>
      <c r="NAM108" s="116"/>
      <c r="NAN108" s="116"/>
      <c r="NAO108" s="116"/>
      <c r="NAP108" s="116"/>
      <c r="NAQ108" s="116"/>
      <c r="NAR108" s="116"/>
      <c r="NAS108" s="116"/>
      <c r="NAT108" s="116"/>
      <c r="NAU108" s="116"/>
      <c r="NAV108" s="116"/>
      <c r="NAW108" s="116"/>
      <c r="NAX108" s="116"/>
      <c r="NAY108" s="116"/>
      <c r="NAZ108" s="116"/>
      <c r="NBA108" s="116"/>
      <c r="NBB108" s="116"/>
      <c r="NBC108" s="116"/>
      <c r="NBD108" s="116"/>
      <c r="NBE108" s="116"/>
      <c r="NBF108" s="116"/>
      <c r="NBG108" s="116"/>
      <c r="NBH108" s="116"/>
      <c r="NBI108" s="116"/>
      <c r="NBJ108" s="116"/>
      <c r="NBK108" s="116"/>
      <c r="NBL108" s="116"/>
      <c r="NBM108" s="116"/>
      <c r="NBN108" s="116"/>
      <c r="NBO108" s="116"/>
      <c r="NBP108" s="116"/>
      <c r="NBQ108" s="116"/>
      <c r="NBR108" s="116"/>
      <c r="NBS108" s="116"/>
      <c r="NBT108" s="116"/>
      <c r="NBU108" s="116"/>
      <c r="NBV108" s="116"/>
      <c r="NBW108" s="116"/>
      <c r="NBX108" s="116"/>
      <c r="NBY108" s="116"/>
      <c r="NBZ108" s="116"/>
      <c r="NCA108" s="116"/>
      <c r="NCB108" s="116"/>
      <c r="NCC108" s="116"/>
      <c r="NCD108" s="116"/>
      <c r="NCE108" s="116"/>
      <c r="NCF108" s="116"/>
      <c r="NCG108" s="116"/>
      <c r="NCH108" s="116"/>
      <c r="NCI108" s="116"/>
      <c r="NCJ108" s="116"/>
      <c r="NCK108" s="116"/>
      <c r="NCL108" s="116"/>
      <c r="NCM108" s="116"/>
      <c r="NCN108" s="116"/>
      <c r="NCO108" s="116"/>
      <c r="NCP108" s="116"/>
      <c r="NCQ108" s="116"/>
      <c r="NCR108" s="116"/>
      <c r="NCS108" s="116"/>
      <c r="NCT108" s="116"/>
      <c r="NCU108" s="116"/>
      <c r="NCV108" s="116"/>
      <c r="NCW108" s="116"/>
      <c r="NCX108" s="116"/>
      <c r="NCY108" s="116"/>
      <c r="NCZ108" s="116"/>
      <c r="NDA108" s="116"/>
      <c r="NDB108" s="116"/>
      <c r="NDC108" s="116"/>
      <c r="NDD108" s="116"/>
      <c r="NDE108" s="116"/>
      <c r="NDF108" s="116"/>
      <c r="NDG108" s="116"/>
      <c r="NDH108" s="116"/>
      <c r="NDI108" s="116"/>
      <c r="NDJ108" s="116"/>
      <c r="NDK108" s="116"/>
      <c r="NDL108" s="116"/>
      <c r="NDM108" s="116"/>
      <c r="NDN108" s="116"/>
      <c r="NDO108" s="116"/>
      <c r="NDP108" s="116"/>
      <c r="NDQ108" s="116"/>
      <c r="NDR108" s="116"/>
      <c r="NDS108" s="116"/>
      <c r="NDT108" s="116"/>
      <c r="NDU108" s="116"/>
      <c r="NDV108" s="116"/>
      <c r="NDW108" s="116"/>
      <c r="NDX108" s="116"/>
      <c r="NDY108" s="116"/>
      <c r="NDZ108" s="116"/>
      <c r="NEA108" s="116"/>
      <c r="NEB108" s="116"/>
      <c r="NEC108" s="116"/>
      <c r="NED108" s="116"/>
      <c r="NEE108" s="116"/>
      <c r="NEF108" s="116"/>
      <c r="NEG108" s="116"/>
      <c r="NEH108" s="116"/>
      <c r="NEI108" s="116"/>
      <c r="NEJ108" s="116"/>
      <c r="NEK108" s="116"/>
      <c r="NEL108" s="116"/>
      <c r="NEM108" s="116"/>
      <c r="NEN108" s="116"/>
      <c r="NEO108" s="116"/>
      <c r="NEP108" s="116"/>
      <c r="NEQ108" s="116"/>
      <c r="NER108" s="116"/>
      <c r="NES108" s="116"/>
      <c r="NET108" s="116"/>
      <c r="NEU108" s="116"/>
      <c r="NEV108" s="116"/>
      <c r="NEW108" s="116"/>
      <c r="NEX108" s="116"/>
      <c r="NEY108" s="116"/>
      <c r="NEZ108" s="116"/>
      <c r="NFA108" s="116"/>
      <c r="NFB108" s="116"/>
      <c r="NFC108" s="116"/>
      <c r="NFD108" s="116"/>
      <c r="NFE108" s="116"/>
      <c r="NFF108" s="116"/>
      <c r="NFG108" s="116"/>
      <c r="NFH108" s="116"/>
      <c r="NFI108" s="116"/>
      <c r="NFJ108" s="116"/>
      <c r="NFK108" s="116"/>
      <c r="NFL108" s="116"/>
      <c r="NFM108" s="116"/>
      <c r="NFN108" s="116"/>
      <c r="NFO108" s="116"/>
      <c r="NFP108" s="116"/>
      <c r="NFQ108" s="116"/>
      <c r="NFR108" s="116"/>
      <c r="NFS108" s="116"/>
      <c r="NFT108" s="116"/>
      <c r="NFU108" s="116"/>
      <c r="NFV108" s="116"/>
      <c r="NFW108" s="116"/>
      <c r="NFX108" s="116"/>
      <c r="NFY108" s="116"/>
      <c r="NFZ108" s="116"/>
      <c r="NGA108" s="116"/>
      <c r="NGB108" s="116"/>
      <c r="NGC108" s="116"/>
      <c r="NGD108" s="116"/>
      <c r="NGE108" s="116"/>
      <c r="NGF108" s="116"/>
      <c r="NGG108" s="116"/>
      <c r="NGH108" s="116"/>
      <c r="NGI108" s="116"/>
      <c r="NGJ108" s="116"/>
      <c r="NGK108" s="116"/>
      <c r="NGL108" s="116"/>
      <c r="NGM108" s="116"/>
      <c r="NGN108" s="116"/>
      <c r="NGO108" s="116"/>
      <c r="NGP108" s="116"/>
      <c r="NGQ108" s="116"/>
      <c r="NGR108" s="116"/>
      <c r="NGS108" s="116"/>
      <c r="NGT108" s="116"/>
      <c r="NGU108" s="116"/>
      <c r="NGV108" s="116"/>
      <c r="NGW108" s="116"/>
      <c r="NGX108" s="116"/>
      <c r="NGY108" s="116"/>
      <c r="NGZ108" s="116"/>
      <c r="NHA108" s="116"/>
      <c r="NHB108" s="116"/>
      <c r="NHC108" s="116"/>
      <c r="NHD108" s="116"/>
      <c r="NHE108" s="116"/>
      <c r="NHF108" s="116"/>
      <c r="NHG108" s="116"/>
      <c r="NHH108" s="116"/>
      <c r="NHI108" s="116"/>
      <c r="NHJ108" s="116"/>
      <c r="NHK108" s="116"/>
      <c r="NHL108" s="116"/>
      <c r="NHM108" s="116"/>
      <c r="NHN108" s="116"/>
      <c r="NHO108" s="116"/>
      <c r="NHP108" s="116"/>
      <c r="NHQ108" s="116"/>
      <c r="NHR108" s="116"/>
      <c r="NHS108" s="116"/>
      <c r="NHT108" s="116"/>
      <c r="NHU108" s="116"/>
      <c r="NHV108" s="116"/>
      <c r="NHW108" s="116"/>
      <c r="NHX108" s="116"/>
      <c r="NHY108" s="116"/>
      <c r="NHZ108" s="116"/>
      <c r="NIA108" s="116"/>
      <c r="NIB108" s="116"/>
      <c r="NIC108" s="116"/>
      <c r="NID108" s="116"/>
      <c r="NIE108" s="116"/>
      <c r="NIF108" s="116"/>
      <c r="NIG108" s="116"/>
      <c r="NIH108" s="116"/>
      <c r="NII108" s="116"/>
      <c r="NIJ108" s="116"/>
      <c r="NIK108" s="116"/>
      <c r="NIL108" s="116"/>
      <c r="NIM108" s="116"/>
      <c r="NIN108" s="116"/>
      <c r="NIO108" s="116"/>
      <c r="NIP108" s="116"/>
      <c r="NIQ108" s="116"/>
      <c r="NIR108" s="116"/>
      <c r="NIS108" s="116"/>
      <c r="NIT108" s="116"/>
      <c r="NIU108" s="116"/>
      <c r="NIV108" s="116"/>
      <c r="NIW108" s="116"/>
      <c r="NIX108" s="116"/>
      <c r="NIY108" s="116"/>
      <c r="NIZ108" s="116"/>
      <c r="NJA108" s="116"/>
      <c r="NJB108" s="116"/>
      <c r="NJC108" s="116"/>
      <c r="NJD108" s="116"/>
      <c r="NJE108" s="116"/>
      <c r="NJF108" s="116"/>
      <c r="NJG108" s="116"/>
      <c r="NJH108" s="116"/>
      <c r="NJI108" s="116"/>
      <c r="NJJ108" s="116"/>
      <c r="NJK108" s="116"/>
      <c r="NJL108" s="116"/>
      <c r="NJM108" s="116"/>
      <c r="NJN108" s="116"/>
      <c r="NJO108" s="116"/>
      <c r="NJP108" s="116"/>
      <c r="NJQ108" s="116"/>
      <c r="NJR108" s="116"/>
      <c r="NJS108" s="116"/>
      <c r="NJT108" s="116"/>
      <c r="NJU108" s="116"/>
      <c r="NJV108" s="116"/>
      <c r="NJW108" s="116"/>
      <c r="NJX108" s="116"/>
      <c r="NJY108" s="116"/>
      <c r="NJZ108" s="116"/>
      <c r="NKA108" s="116"/>
      <c r="NKB108" s="116"/>
      <c r="NKC108" s="116"/>
      <c r="NKD108" s="116"/>
      <c r="NKE108" s="116"/>
      <c r="NKF108" s="116"/>
      <c r="NKG108" s="116"/>
      <c r="NKH108" s="116"/>
      <c r="NKI108" s="116"/>
      <c r="NKJ108" s="116"/>
      <c r="NKK108" s="116"/>
      <c r="NKL108" s="116"/>
      <c r="NKM108" s="116"/>
      <c r="NKN108" s="116"/>
      <c r="NKO108" s="116"/>
      <c r="NKP108" s="116"/>
      <c r="NKQ108" s="116"/>
      <c r="NKR108" s="116"/>
      <c r="NKS108" s="116"/>
      <c r="NKT108" s="116"/>
      <c r="NKU108" s="116"/>
      <c r="NKV108" s="116"/>
      <c r="NKW108" s="116"/>
      <c r="NKX108" s="116"/>
      <c r="NKY108" s="116"/>
      <c r="NKZ108" s="116"/>
      <c r="NLA108" s="116"/>
      <c r="NLB108" s="116"/>
      <c r="NLC108" s="116"/>
      <c r="NLD108" s="116"/>
      <c r="NLE108" s="116"/>
      <c r="NLF108" s="116"/>
      <c r="NLG108" s="116"/>
      <c r="NLH108" s="116"/>
      <c r="NLI108" s="116"/>
      <c r="NLJ108" s="116"/>
      <c r="NLK108" s="116"/>
      <c r="NLL108" s="116"/>
      <c r="NLM108" s="116"/>
      <c r="NLN108" s="116"/>
      <c r="NLO108" s="116"/>
      <c r="NLP108" s="116"/>
      <c r="NLQ108" s="116"/>
      <c r="NLR108" s="116"/>
      <c r="NLS108" s="116"/>
      <c r="NLT108" s="116"/>
      <c r="NLU108" s="116"/>
      <c r="NLV108" s="116"/>
      <c r="NLW108" s="116"/>
      <c r="NLX108" s="116"/>
      <c r="NLY108" s="116"/>
      <c r="NLZ108" s="116"/>
      <c r="NMA108" s="116"/>
      <c r="NMB108" s="116"/>
      <c r="NMC108" s="116"/>
      <c r="NMD108" s="116"/>
      <c r="NME108" s="116"/>
      <c r="NMF108" s="116"/>
      <c r="NMG108" s="116"/>
      <c r="NMH108" s="116"/>
      <c r="NMI108" s="116"/>
      <c r="NMJ108" s="116"/>
      <c r="NMK108" s="116"/>
      <c r="NML108" s="116"/>
      <c r="NMM108" s="116"/>
      <c r="NMN108" s="116"/>
      <c r="NMO108" s="116"/>
      <c r="NMP108" s="116"/>
      <c r="NMQ108" s="116"/>
      <c r="NMR108" s="116"/>
      <c r="NMS108" s="116"/>
      <c r="NMT108" s="116"/>
      <c r="NMU108" s="116"/>
      <c r="NMV108" s="116"/>
      <c r="NMW108" s="116"/>
      <c r="NMX108" s="116"/>
      <c r="NMY108" s="116"/>
      <c r="NMZ108" s="116"/>
      <c r="NNA108" s="116"/>
      <c r="NNB108" s="116"/>
      <c r="NNC108" s="116"/>
      <c r="NND108" s="116"/>
      <c r="NNE108" s="116"/>
      <c r="NNF108" s="116"/>
      <c r="NNG108" s="116"/>
      <c r="NNH108" s="116"/>
      <c r="NNI108" s="116"/>
      <c r="NNJ108" s="116"/>
      <c r="NNK108" s="116"/>
      <c r="NNL108" s="116"/>
      <c r="NNM108" s="116"/>
      <c r="NNN108" s="116"/>
      <c r="NNO108" s="116"/>
      <c r="NNP108" s="116"/>
      <c r="NNQ108" s="116"/>
      <c r="NNR108" s="116"/>
      <c r="NNS108" s="116"/>
      <c r="NNT108" s="116"/>
      <c r="NNU108" s="116"/>
      <c r="NNV108" s="116"/>
      <c r="NNW108" s="116"/>
      <c r="NNX108" s="116"/>
      <c r="NNY108" s="116"/>
      <c r="NNZ108" s="116"/>
      <c r="NOA108" s="116"/>
      <c r="NOB108" s="116"/>
      <c r="NOC108" s="116"/>
      <c r="NOD108" s="116"/>
      <c r="NOE108" s="116"/>
      <c r="NOF108" s="116"/>
      <c r="NOG108" s="116"/>
      <c r="NOH108" s="116"/>
      <c r="NOI108" s="116"/>
      <c r="NOJ108" s="116"/>
      <c r="NOK108" s="116"/>
      <c r="NOL108" s="116"/>
      <c r="NOM108" s="116"/>
      <c r="NON108" s="116"/>
      <c r="NOO108" s="116"/>
      <c r="NOP108" s="116"/>
      <c r="NOQ108" s="116"/>
      <c r="NOR108" s="116"/>
      <c r="NOS108" s="116"/>
      <c r="NOT108" s="116"/>
      <c r="NOU108" s="116"/>
      <c r="NOV108" s="116"/>
      <c r="NOW108" s="116"/>
      <c r="NOX108" s="116"/>
      <c r="NOY108" s="116"/>
      <c r="NOZ108" s="116"/>
      <c r="NPA108" s="116"/>
      <c r="NPB108" s="116"/>
      <c r="NPC108" s="116"/>
      <c r="NPD108" s="116"/>
      <c r="NPE108" s="116"/>
      <c r="NPF108" s="116"/>
      <c r="NPG108" s="116"/>
      <c r="NPH108" s="116"/>
      <c r="NPI108" s="116"/>
      <c r="NPJ108" s="116"/>
      <c r="NPK108" s="116"/>
      <c r="NPL108" s="116"/>
      <c r="NPM108" s="116"/>
      <c r="NPN108" s="116"/>
      <c r="NPO108" s="116"/>
      <c r="NPP108" s="116"/>
      <c r="NPQ108" s="116"/>
      <c r="NPR108" s="116"/>
      <c r="NPS108" s="116"/>
      <c r="NPT108" s="116"/>
      <c r="NPU108" s="116"/>
      <c r="NPV108" s="116"/>
      <c r="NPW108" s="116"/>
      <c r="NPX108" s="116"/>
      <c r="NPY108" s="116"/>
      <c r="NPZ108" s="116"/>
      <c r="NQA108" s="116"/>
      <c r="NQB108" s="116"/>
      <c r="NQC108" s="116"/>
      <c r="NQD108" s="116"/>
      <c r="NQE108" s="116"/>
      <c r="NQF108" s="116"/>
      <c r="NQG108" s="116"/>
      <c r="NQH108" s="116"/>
      <c r="NQI108" s="116"/>
      <c r="NQJ108" s="116"/>
      <c r="NQK108" s="116"/>
      <c r="NQL108" s="116"/>
      <c r="NQM108" s="116"/>
      <c r="NQN108" s="116"/>
      <c r="NQO108" s="116"/>
      <c r="NQP108" s="116"/>
      <c r="NQQ108" s="116"/>
      <c r="NQR108" s="116"/>
      <c r="NQS108" s="116"/>
      <c r="NQT108" s="116"/>
      <c r="NQU108" s="116"/>
      <c r="NQV108" s="116"/>
      <c r="NQW108" s="116"/>
      <c r="NQX108" s="116"/>
      <c r="NQY108" s="116"/>
      <c r="NQZ108" s="116"/>
      <c r="NRA108" s="116"/>
      <c r="NRB108" s="116"/>
      <c r="NRC108" s="116"/>
      <c r="NRD108" s="116"/>
      <c r="NRE108" s="116"/>
      <c r="NRF108" s="116"/>
      <c r="NRG108" s="116"/>
      <c r="NRH108" s="116"/>
      <c r="NRI108" s="116"/>
      <c r="NRJ108" s="116"/>
      <c r="NRK108" s="116"/>
      <c r="NRL108" s="116"/>
      <c r="NRM108" s="116"/>
      <c r="NRN108" s="116"/>
      <c r="NRO108" s="116"/>
      <c r="NRP108" s="116"/>
      <c r="NRQ108" s="116"/>
      <c r="NRR108" s="116"/>
      <c r="NRS108" s="116"/>
      <c r="NRT108" s="116"/>
      <c r="NRU108" s="116"/>
      <c r="NRV108" s="116"/>
      <c r="NRW108" s="116"/>
      <c r="NRX108" s="116"/>
      <c r="NRY108" s="116"/>
      <c r="NRZ108" s="116"/>
      <c r="NSA108" s="116"/>
      <c r="NSB108" s="116"/>
      <c r="NSC108" s="116"/>
      <c r="NSD108" s="116"/>
      <c r="NSE108" s="116"/>
      <c r="NSF108" s="116"/>
      <c r="NSG108" s="116"/>
      <c r="NSH108" s="116"/>
      <c r="NSI108" s="116"/>
      <c r="NSJ108" s="116"/>
      <c r="NSK108" s="116"/>
      <c r="NSL108" s="116"/>
      <c r="NSM108" s="116"/>
      <c r="NSN108" s="116"/>
      <c r="NSO108" s="116"/>
      <c r="NSP108" s="116"/>
      <c r="NSQ108" s="116"/>
      <c r="NSR108" s="116"/>
      <c r="NSS108" s="116"/>
      <c r="NST108" s="116"/>
      <c r="NSU108" s="116"/>
      <c r="NSV108" s="116"/>
      <c r="NSW108" s="116"/>
      <c r="NSX108" s="116"/>
      <c r="NSY108" s="116"/>
      <c r="NSZ108" s="116"/>
      <c r="NTA108" s="116"/>
      <c r="NTB108" s="116"/>
      <c r="NTC108" s="116"/>
      <c r="NTD108" s="116"/>
      <c r="NTE108" s="116"/>
      <c r="NTF108" s="116"/>
      <c r="NTG108" s="116"/>
      <c r="NTH108" s="116"/>
      <c r="NTI108" s="116"/>
      <c r="NTJ108" s="116"/>
      <c r="NTK108" s="116"/>
      <c r="NTL108" s="116"/>
      <c r="NTM108" s="116"/>
      <c r="NTN108" s="116"/>
      <c r="NTO108" s="116"/>
      <c r="NTP108" s="116"/>
      <c r="NTQ108" s="116"/>
      <c r="NTR108" s="116"/>
      <c r="NTS108" s="116"/>
      <c r="NTT108" s="116"/>
      <c r="NTU108" s="116"/>
      <c r="NTV108" s="116"/>
      <c r="NTW108" s="116"/>
      <c r="NTX108" s="116"/>
      <c r="NTY108" s="116"/>
      <c r="NTZ108" s="116"/>
      <c r="NUA108" s="116"/>
      <c r="NUB108" s="116"/>
      <c r="NUC108" s="116"/>
      <c r="NUD108" s="116"/>
      <c r="NUE108" s="116"/>
      <c r="NUF108" s="116"/>
      <c r="NUG108" s="116"/>
      <c r="NUH108" s="116"/>
      <c r="NUI108" s="116"/>
      <c r="NUJ108" s="116"/>
      <c r="NUK108" s="116"/>
      <c r="NUL108" s="116"/>
      <c r="NUM108" s="116"/>
      <c r="NUN108" s="116"/>
      <c r="NUO108" s="116"/>
      <c r="NUP108" s="116"/>
      <c r="NUQ108" s="116"/>
      <c r="NUR108" s="116"/>
      <c r="NUS108" s="116"/>
      <c r="NUT108" s="116"/>
      <c r="NUU108" s="116"/>
      <c r="NUV108" s="116"/>
      <c r="NUW108" s="116"/>
      <c r="NUX108" s="116"/>
      <c r="NUY108" s="116"/>
      <c r="NUZ108" s="116"/>
      <c r="NVA108" s="116"/>
      <c r="NVB108" s="116"/>
      <c r="NVC108" s="116"/>
      <c r="NVD108" s="116"/>
      <c r="NVE108" s="116"/>
      <c r="NVF108" s="116"/>
      <c r="NVG108" s="116"/>
      <c r="NVH108" s="116"/>
      <c r="NVI108" s="116"/>
      <c r="NVJ108" s="116"/>
      <c r="NVK108" s="116"/>
      <c r="NVL108" s="116"/>
      <c r="NVM108" s="116"/>
      <c r="NVN108" s="116"/>
      <c r="NVO108" s="116"/>
      <c r="NVP108" s="116"/>
      <c r="NVQ108" s="116"/>
      <c r="NVR108" s="116"/>
      <c r="NVS108" s="116"/>
      <c r="NVT108" s="116"/>
      <c r="NVU108" s="116"/>
      <c r="NVV108" s="116"/>
      <c r="NVW108" s="116"/>
      <c r="NVX108" s="116"/>
      <c r="NVY108" s="116"/>
      <c r="NVZ108" s="116"/>
      <c r="NWA108" s="116"/>
      <c r="NWB108" s="116"/>
      <c r="NWC108" s="116"/>
      <c r="NWD108" s="116"/>
      <c r="NWE108" s="116"/>
      <c r="NWF108" s="116"/>
      <c r="NWG108" s="116"/>
      <c r="NWH108" s="116"/>
      <c r="NWI108" s="116"/>
      <c r="NWJ108" s="116"/>
      <c r="NWK108" s="116"/>
      <c r="NWL108" s="116"/>
      <c r="NWM108" s="116"/>
      <c r="NWN108" s="116"/>
      <c r="NWO108" s="116"/>
      <c r="NWP108" s="116"/>
      <c r="NWQ108" s="116"/>
      <c r="NWR108" s="116"/>
      <c r="NWS108" s="116"/>
      <c r="NWT108" s="116"/>
      <c r="NWU108" s="116"/>
      <c r="NWV108" s="116"/>
      <c r="NWW108" s="116"/>
      <c r="NWX108" s="116"/>
      <c r="NWY108" s="116"/>
      <c r="NWZ108" s="116"/>
      <c r="NXA108" s="116"/>
      <c r="NXB108" s="116"/>
      <c r="NXC108" s="116"/>
      <c r="NXD108" s="116"/>
      <c r="NXE108" s="116"/>
      <c r="NXF108" s="116"/>
      <c r="NXG108" s="116"/>
      <c r="NXH108" s="116"/>
      <c r="NXI108" s="116"/>
      <c r="NXJ108" s="116"/>
      <c r="NXK108" s="116"/>
      <c r="NXL108" s="116"/>
      <c r="NXM108" s="116"/>
      <c r="NXN108" s="116"/>
      <c r="NXO108" s="116"/>
      <c r="NXP108" s="116"/>
      <c r="NXQ108" s="116"/>
      <c r="NXR108" s="116"/>
      <c r="NXS108" s="116"/>
      <c r="NXT108" s="116"/>
      <c r="NXU108" s="116"/>
      <c r="NXV108" s="116"/>
      <c r="NXW108" s="116"/>
      <c r="NXX108" s="116"/>
      <c r="NXY108" s="116"/>
      <c r="NXZ108" s="116"/>
      <c r="NYA108" s="116"/>
      <c r="NYB108" s="116"/>
      <c r="NYC108" s="116"/>
      <c r="NYD108" s="116"/>
      <c r="NYE108" s="116"/>
      <c r="NYF108" s="116"/>
      <c r="NYG108" s="116"/>
      <c r="NYH108" s="116"/>
      <c r="NYI108" s="116"/>
      <c r="NYJ108" s="116"/>
      <c r="NYK108" s="116"/>
      <c r="NYL108" s="116"/>
      <c r="NYM108" s="116"/>
      <c r="NYN108" s="116"/>
      <c r="NYO108" s="116"/>
      <c r="NYP108" s="116"/>
      <c r="NYQ108" s="116"/>
      <c r="NYR108" s="116"/>
      <c r="NYS108" s="116"/>
      <c r="NYT108" s="116"/>
      <c r="NYU108" s="116"/>
      <c r="NYV108" s="116"/>
      <c r="NYW108" s="116"/>
      <c r="NYX108" s="116"/>
      <c r="NYY108" s="116"/>
      <c r="NYZ108" s="116"/>
      <c r="NZA108" s="116"/>
      <c r="NZB108" s="116"/>
      <c r="NZC108" s="116"/>
      <c r="NZD108" s="116"/>
      <c r="NZE108" s="116"/>
      <c r="NZF108" s="116"/>
      <c r="NZG108" s="116"/>
      <c r="NZH108" s="116"/>
      <c r="NZI108" s="116"/>
      <c r="NZJ108" s="116"/>
      <c r="NZK108" s="116"/>
      <c r="NZL108" s="116"/>
      <c r="NZM108" s="116"/>
      <c r="NZN108" s="116"/>
      <c r="NZO108" s="116"/>
      <c r="NZP108" s="116"/>
      <c r="NZQ108" s="116"/>
      <c r="NZR108" s="116"/>
      <c r="NZS108" s="116"/>
      <c r="NZT108" s="116"/>
      <c r="NZU108" s="116"/>
      <c r="NZV108" s="116"/>
      <c r="NZW108" s="116"/>
      <c r="NZX108" s="116"/>
      <c r="NZY108" s="116"/>
      <c r="NZZ108" s="116"/>
      <c r="OAA108" s="116"/>
      <c r="OAB108" s="116"/>
      <c r="OAC108" s="116"/>
      <c r="OAD108" s="116"/>
      <c r="OAE108" s="116"/>
      <c r="OAF108" s="116"/>
      <c r="OAG108" s="116"/>
      <c r="OAH108" s="116"/>
      <c r="OAI108" s="116"/>
      <c r="OAJ108" s="116"/>
      <c r="OAK108" s="116"/>
      <c r="OAL108" s="116"/>
      <c r="OAM108" s="116"/>
      <c r="OAN108" s="116"/>
      <c r="OAO108" s="116"/>
      <c r="OAP108" s="116"/>
      <c r="OAQ108" s="116"/>
      <c r="OAR108" s="116"/>
      <c r="OAS108" s="116"/>
      <c r="OAT108" s="116"/>
      <c r="OAU108" s="116"/>
      <c r="OAV108" s="116"/>
      <c r="OAW108" s="116"/>
      <c r="OAX108" s="116"/>
      <c r="OAY108" s="116"/>
      <c r="OAZ108" s="116"/>
      <c r="OBA108" s="116"/>
      <c r="OBB108" s="116"/>
      <c r="OBC108" s="116"/>
      <c r="OBD108" s="116"/>
      <c r="OBE108" s="116"/>
      <c r="OBF108" s="116"/>
      <c r="OBG108" s="116"/>
      <c r="OBH108" s="116"/>
      <c r="OBI108" s="116"/>
      <c r="OBJ108" s="116"/>
      <c r="OBK108" s="116"/>
      <c r="OBL108" s="116"/>
      <c r="OBM108" s="116"/>
      <c r="OBN108" s="116"/>
      <c r="OBO108" s="116"/>
      <c r="OBP108" s="116"/>
      <c r="OBQ108" s="116"/>
      <c r="OBR108" s="116"/>
      <c r="OBS108" s="116"/>
      <c r="OBT108" s="116"/>
      <c r="OBU108" s="116"/>
      <c r="OBV108" s="116"/>
      <c r="OBW108" s="116"/>
      <c r="OBX108" s="116"/>
      <c r="OBY108" s="116"/>
      <c r="OBZ108" s="116"/>
      <c r="OCA108" s="116"/>
      <c r="OCB108" s="116"/>
      <c r="OCC108" s="116"/>
      <c r="OCD108" s="116"/>
      <c r="OCE108" s="116"/>
      <c r="OCF108" s="116"/>
      <c r="OCG108" s="116"/>
      <c r="OCH108" s="116"/>
      <c r="OCI108" s="116"/>
      <c r="OCJ108" s="116"/>
      <c r="OCK108" s="116"/>
      <c r="OCL108" s="116"/>
      <c r="OCM108" s="116"/>
      <c r="OCN108" s="116"/>
      <c r="OCO108" s="116"/>
      <c r="OCP108" s="116"/>
      <c r="OCQ108" s="116"/>
      <c r="OCR108" s="116"/>
      <c r="OCS108" s="116"/>
      <c r="OCT108" s="116"/>
      <c r="OCU108" s="116"/>
      <c r="OCV108" s="116"/>
      <c r="OCW108" s="116"/>
      <c r="OCX108" s="116"/>
      <c r="OCY108" s="116"/>
      <c r="OCZ108" s="116"/>
      <c r="ODA108" s="116"/>
      <c r="ODB108" s="116"/>
      <c r="ODC108" s="116"/>
      <c r="ODD108" s="116"/>
      <c r="ODE108" s="116"/>
      <c r="ODF108" s="116"/>
      <c r="ODG108" s="116"/>
      <c r="ODH108" s="116"/>
      <c r="ODI108" s="116"/>
      <c r="ODJ108" s="116"/>
      <c r="ODK108" s="116"/>
      <c r="ODL108" s="116"/>
      <c r="ODM108" s="116"/>
      <c r="ODN108" s="116"/>
      <c r="ODO108" s="116"/>
      <c r="ODP108" s="116"/>
      <c r="ODQ108" s="116"/>
      <c r="ODR108" s="116"/>
      <c r="ODS108" s="116"/>
      <c r="ODT108" s="116"/>
      <c r="ODU108" s="116"/>
      <c r="ODV108" s="116"/>
      <c r="ODW108" s="116"/>
      <c r="ODX108" s="116"/>
      <c r="ODY108" s="116"/>
      <c r="ODZ108" s="116"/>
      <c r="OEA108" s="116"/>
      <c r="OEB108" s="116"/>
      <c r="OEC108" s="116"/>
      <c r="OED108" s="116"/>
      <c r="OEE108" s="116"/>
      <c r="OEF108" s="116"/>
      <c r="OEG108" s="116"/>
      <c r="OEH108" s="116"/>
      <c r="OEI108" s="116"/>
      <c r="OEJ108" s="116"/>
      <c r="OEK108" s="116"/>
      <c r="OEL108" s="116"/>
      <c r="OEM108" s="116"/>
      <c r="OEN108" s="116"/>
      <c r="OEO108" s="116"/>
      <c r="OEP108" s="116"/>
      <c r="OEQ108" s="116"/>
      <c r="OER108" s="116"/>
      <c r="OES108" s="116"/>
      <c r="OET108" s="116"/>
      <c r="OEU108" s="116"/>
      <c r="OEV108" s="116"/>
      <c r="OEW108" s="116"/>
      <c r="OEX108" s="116"/>
      <c r="OEY108" s="116"/>
      <c r="OEZ108" s="116"/>
      <c r="OFA108" s="116"/>
      <c r="OFB108" s="116"/>
      <c r="OFC108" s="116"/>
      <c r="OFD108" s="116"/>
      <c r="OFE108" s="116"/>
      <c r="OFF108" s="116"/>
      <c r="OFG108" s="116"/>
      <c r="OFH108" s="116"/>
      <c r="OFI108" s="116"/>
      <c r="OFJ108" s="116"/>
      <c r="OFK108" s="116"/>
      <c r="OFL108" s="116"/>
      <c r="OFM108" s="116"/>
      <c r="OFN108" s="116"/>
      <c r="OFO108" s="116"/>
      <c r="OFP108" s="116"/>
      <c r="OFQ108" s="116"/>
      <c r="OFR108" s="116"/>
      <c r="OFS108" s="116"/>
      <c r="OFT108" s="116"/>
      <c r="OFU108" s="116"/>
      <c r="OFV108" s="116"/>
      <c r="OFW108" s="116"/>
      <c r="OFX108" s="116"/>
      <c r="OFY108" s="116"/>
      <c r="OFZ108" s="116"/>
      <c r="OGA108" s="116"/>
      <c r="OGB108" s="116"/>
      <c r="OGC108" s="116"/>
      <c r="OGD108" s="116"/>
      <c r="OGE108" s="116"/>
      <c r="OGF108" s="116"/>
      <c r="OGG108" s="116"/>
      <c r="OGH108" s="116"/>
      <c r="OGI108" s="116"/>
      <c r="OGJ108" s="116"/>
      <c r="OGK108" s="116"/>
      <c r="OGL108" s="116"/>
      <c r="OGM108" s="116"/>
      <c r="OGN108" s="116"/>
      <c r="OGO108" s="116"/>
      <c r="OGP108" s="116"/>
      <c r="OGQ108" s="116"/>
      <c r="OGR108" s="116"/>
      <c r="OGS108" s="116"/>
      <c r="OGT108" s="116"/>
      <c r="OGU108" s="116"/>
      <c r="OGV108" s="116"/>
      <c r="OGW108" s="116"/>
      <c r="OGX108" s="116"/>
      <c r="OGY108" s="116"/>
      <c r="OGZ108" s="116"/>
      <c r="OHA108" s="116"/>
      <c r="OHB108" s="116"/>
      <c r="OHC108" s="116"/>
      <c r="OHD108" s="116"/>
      <c r="OHE108" s="116"/>
      <c r="OHF108" s="116"/>
      <c r="OHG108" s="116"/>
      <c r="OHH108" s="116"/>
      <c r="OHI108" s="116"/>
      <c r="OHJ108" s="116"/>
      <c r="OHK108" s="116"/>
      <c r="OHL108" s="116"/>
      <c r="OHM108" s="116"/>
      <c r="OHN108" s="116"/>
      <c r="OHO108" s="116"/>
      <c r="OHP108" s="116"/>
      <c r="OHQ108" s="116"/>
      <c r="OHR108" s="116"/>
      <c r="OHS108" s="116"/>
      <c r="OHT108" s="116"/>
      <c r="OHU108" s="116"/>
      <c r="OHV108" s="116"/>
      <c r="OHW108" s="116"/>
      <c r="OHX108" s="116"/>
      <c r="OHY108" s="116"/>
      <c r="OHZ108" s="116"/>
      <c r="OIA108" s="116"/>
      <c r="OIB108" s="116"/>
      <c r="OIC108" s="116"/>
      <c r="OID108" s="116"/>
      <c r="OIE108" s="116"/>
      <c r="OIF108" s="116"/>
      <c r="OIG108" s="116"/>
      <c r="OIH108" s="116"/>
      <c r="OII108" s="116"/>
      <c r="OIJ108" s="116"/>
      <c r="OIK108" s="116"/>
      <c r="OIL108" s="116"/>
      <c r="OIM108" s="116"/>
      <c r="OIN108" s="116"/>
      <c r="OIO108" s="116"/>
      <c r="OIP108" s="116"/>
      <c r="OIQ108" s="116"/>
      <c r="OIR108" s="116"/>
      <c r="OIS108" s="116"/>
      <c r="OIT108" s="116"/>
      <c r="OIU108" s="116"/>
      <c r="OIV108" s="116"/>
      <c r="OIW108" s="116"/>
      <c r="OIX108" s="116"/>
      <c r="OIY108" s="116"/>
      <c r="OIZ108" s="116"/>
      <c r="OJA108" s="116"/>
      <c r="OJB108" s="116"/>
      <c r="OJC108" s="116"/>
      <c r="OJD108" s="116"/>
      <c r="OJE108" s="116"/>
      <c r="OJF108" s="116"/>
      <c r="OJG108" s="116"/>
      <c r="OJH108" s="116"/>
      <c r="OJI108" s="116"/>
      <c r="OJJ108" s="116"/>
      <c r="OJK108" s="116"/>
      <c r="OJL108" s="116"/>
      <c r="OJM108" s="116"/>
      <c r="OJN108" s="116"/>
      <c r="OJO108" s="116"/>
      <c r="OJP108" s="116"/>
      <c r="OJQ108" s="116"/>
      <c r="OJR108" s="116"/>
      <c r="OJS108" s="116"/>
      <c r="OJT108" s="116"/>
      <c r="OJU108" s="116"/>
      <c r="OJV108" s="116"/>
      <c r="OJW108" s="116"/>
      <c r="OJX108" s="116"/>
      <c r="OJY108" s="116"/>
      <c r="OJZ108" s="116"/>
      <c r="OKA108" s="116"/>
      <c r="OKB108" s="116"/>
      <c r="OKC108" s="116"/>
      <c r="OKD108" s="116"/>
      <c r="OKE108" s="116"/>
      <c r="OKF108" s="116"/>
      <c r="OKG108" s="116"/>
      <c r="OKH108" s="116"/>
      <c r="OKI108" s="116"/>
      <c r="OKJ108" s="116"/>
      <c r="OKK108" s="116"/>
      <c r="OKL108" s="116"/>
      <c r="OKM108" s="116"/>
      <c r="OKN108" s="116"/>
      <c r="OKO108" s="116"/>
      <c r="OKP108" s="116"/>
      <c r="OKQ108" s="116"/>
      <c r="OKR108" s="116"/>
      <c r="OKS108" s="116"/>
      <c r="OKT108" s="116"/>
      <c r="OKU108" s="116"/>
      <c r="OKV108" s="116"/>
      <c r="OKW108" s="116"/>
      <c r="OKX108" s="116"/>
      <c r="OKY108" s="116"/>
      <c r="OKZ108" s="116"/>
      <c r="OLA108" s="116"/>
      <c r="OLB108" s="116"/>
      <c r="OLC108" s="116"/>
      <c r="OLD108" s="116"/>
      <c r="OLE108" s="116"/>
      <c r="OLF108" s="116"/>
      <c r="OLG108" s="116"/>
      <c r="OLH108" s="116"/>
      <c r="OLI108" s="116"/>
      <c r="OLJ108" s="116"/>
      <c r="OLK108" s="116"/>
      <c r="OLL108" s="116"/>
      <c r="OLM108" s="116"/>
      <c r="OLN108" s="116"/>
      <c r="OLO108" s="116"/>
      <c r="OLP108" s="116"/>
      <c r="OLQ108" s="116"/>
      <c r="OLR108" s="116"/>
      <c r="OLS108" s="116"/>
      <c r="OLT108" s="116"/>
      <c r="OLU108" s="116"/>
      <c r="OLV108" s="116"/>
      <c r="OLW108" s="116"/>
      <c r="OLX108" s="116"/>
      <c r="OLY108" s="116"/>
      <c r="OLZ108" s="116"/>
      <c r="OMA108" s="116"/>
      <c r="OMB108" s="116"/>
      <c r="OMC108" s="116"/>
      <c r="OMD108" s="116"/>
      <c r="OME108" s="116"/>
      <c r="OMF108" s="116"/>
      <c r="OMG108" s="116"/>
      <c r="OMH108" s="116"/>
      <c r="OMI108" s="116"/>
      <c r="OMJ108" s="116"/>
      <c r="OMK108" s="116"/>
      <c r="OML108" s="116"/>
      <c r="OMM108" s="116"/>
      <c r="OMN108" s="116"/>
      <c r="OMO108" s="116"/>
      <c r="OMP108" s="116"/>
      <c r="OMQ108" s="116"/>
      <c r="OMR108" s="116"/>
      <c r="OMS108" s="116"/>
      <c r="OMT108" s="116"/>
      <c r="OMU108" s="116"/>
      <c r="OMV108" s="116"/>
      <c r="OMW108" s="116"/>
      <c r="OMX108" s="116"/>
      <c r="OMY108" s="116"/>
      <c r="OMZ108" s="116"/>
      <c r="ONA108" s="116"/>
      <c r="ONB108" s="116"/>
      <c r="ONC108" s="116"/>
      <c r="OND108" s="116"/>
      <c r="ONE108" s="116"/>
      <c r="ONF108" s="116"/>
      <c r="ONG108" s="116"/>
      <c r="ONH108" s="116"/>
      <c r="ONI108" s="116"/>
      <c r="ONJ108" s="116"/>
      <c r="ONK108" s="116"/>
      <c r="ONL108" s="116"/>
      <c r="ONM108" s="116"/>
      <c r="ONN108" s="116"/>
      <c r="ONO108" s="116"/>
      <c r="ONP108" s="116"/>
      <c r="ONQ108" s="116"/>
      <c r="ONR108" s="116"/>
      <c r="ONS108" s="116"/>
      <c r="ONT108" s="116"/>
      <c r="ONU108" s="116"/>
      <c r="ONV108" s="116"/>
      <c r="ONW108" s="116"/>
      <c r="ONX108" s="116"/>
      <c r="ONY108" s="116"/>
      <c r="ONZ108" s="116"/>
      <c r="OOA108" s="116"/>
      <c r="OOB108" s="116"/>
      <c r="OOC108" s="116"/>
      <c r="OOD108" s="116"/>
      <c r="OOE108" s="116"/>
      <c r="OOF108" s="116"/>
      <c r="OOG108" s="116"/>
      <c r="OOH108" s="116"/>
      <c r="OOI108" s="116"/>
      <c r="OOJ108" s="116"/>
      <c r="OOK108" s="116"/>
      <c r="OOL108" s="116"/>
      <c r="OOM108" s="116"/>
      <c r="OON108" s="116"/>
      <c r="OOO108" s="116"/>
      <c r="OOP108" s="116"/>
      <c r="OOQ108" s="116"/>
      <c r="OOR108" s="116"/>
      <c r="OOS108" s="116"/>
      <c r="OOT108" s="116"/>
      <c r="OOU108" s="116"/>
      <c r="OOV108" s="116"/>
      <c r="OOW108" s="116"/>
      <c r="OOX108" s="116"/>
      <c r="OOY108" s="116"/>
      <c r="OOZ108" s="116"/>
      <c r="OPA108" s="116"/>
      <c r="OPB108" s="116"/>
      <c r="OPC108" s="116"/>
      <c r="OPD108" s="116"/>
      <c r="OPE108" s="116"/>
      <c r="OPF108" s="116"/>
      <c r="OPG108" s="116"/>
      <c r="OPH108" s="116"/>
      <c r="OPI108" s="116"/>
      <c r="OPJ108" s="116"/>
      <c r="OPK108" s="116"/>
      <c r="OPL108" s="116"/>
      <c r="OPM108" s="116"/>
      <c r="OPN108" s="116"/>
      <c r="OPO108" s="116"/>
      <c r="OPP108" s="116"/>
      <c r="OPQ108" s="116"/>
      <c r="OPR108" s="116"/>
      <c r="OPS108" s="116"/>
      <c r="OPT108" s="116"/>
      <c r="OPU108" s="116"/>
      <c r="OPV108" s="116"/>
      <c r="OPW108" s="116"/>
      <c r="OPX108" s="116"/>
      <c r="OPY108" s="116"/>
      <c r="OPZ108" s="116"/>
      <c r="OQA108" s="116"/>
      <c r="OQB108" s="116"/>
      <c r="OQC108" s="116"/>
      <c r="OQD108" s="116"/>
      <c r="OQE108" s="116"/>
      <c r="OQF108" s="116"/>
      <c r="OQG108" s="116"/>
      <c r="OQH108" s="116"/>
      <c r="OQI108" s="116"/>
      <c r="OQJ108" s="116"/>
      <c r="OQK108" s="116"/>
      <c r="OQL108" s="116"/>
      <c r="OQM108" s="116"/>
      <c r="OQN108" s="116"/>
      <c r="OQO108" s="116"/>
      <c r="OQP108" s="116"/>
      <c r="OQQ108" s="116"/>
      <c r="OQR108" s="116"/>
      <c r="OQS108" s="116"/>
      <c r="OQT108" s="116"/>
      <c r="OQU108" s="116"/>
      <c r="OQV108" s="116"/>
      <c r="OQW108" s="116"/>
      <c r="OQX108" s="116"/>
      <c r="OQY108" s="116"/>
      <c r="OQZ108" s="116"/>
      <c r="ORA108" s="116"/>
      <c r="ORB108" s="116"/>
      <c r="ORC108" s="116"/>
      <c r="ORD108" s="116"/>
      <c r="ORE108" s="116"/>
      <c r="ORF108" s="116"/>
      <c r="ORG108" s="116"/>
      <c r="ORH108" s="116"/>
      <c r="ORI108" s="116"/>
      <c r="ORJ108" s="116"/>
      <c r="ORK108" s="116"/>
      <c r="ORL108" s="116"/>
      <c r="ORM108" s="116"/>
      <c r="ORN108" s="116"/>
      <c r="ORO108" s="116"/>
      <c r="ORP108" s="116"/>
      <c r="ORQ108" s="116"/>
      <c r="ORR108" s="116"/>
      <c r="ORS108" s="116"/>
      <c r="ORT108" s="116"/>
      <c r="ORU108" s="116"/>
      <c r="ORV108" s="116"/>
      <c r="ORW108" s="116"/>
      <c r="ORX108" s="116"/>
      <c r="ORY108" s="116"/>
      <c r="ORZ108" s="116"/>
      <c r="OSA108" s="116"/>
      <c r="OSB108" s="116"/>
      <c r="OSC108" s="116"/>
      <c r="OSD108" s="116"/>
      <c r="OSE108" s="116"/>
      <c r="OSF108" s="116"/>
      <c r="OSG108" s="116"/>
      <c r="OSH108" s="116"/>
      <c r="OSI108" s="116"/>
      <c r="OSJ108" s="116"/>
      <c r="OSK108" s="116"/>
      <c r="OSL108" s="116"/>
      <c r="OSM108" s="116"/>
      <c r="OSN108" s="116"/>
      <c r="OSO108" s="116"/>
      <c r="OSP108" s="116"/>
      <c r="OSQ108" s="116"/>
      <c r="OSR108" s="116"/>
      <c r="OSS108" s="116"/>
      <c r="OST108" s="116"/>
      <c r="OSU108" s="116"/>
      <c r="OSV108" s="116"/>
      <c r="OSW108" s="116"/>
      <c r="OSX108" s="116"/>
      <c r="OSY108" s="116"/>
      <c r="OSZ108" s="116"/>
      <c r="OTA108" s="116"/>
      <c r="OTB108" s="116"/>
      <c r="OTC108" s="116"/>
      <c r="OTD108" s="116"/>
      <c r="OTE108" s="116"/>
      <c r="OTF108" s="116"/>
      <c r="OTG108" s="116"/>
      <c r="OTH108" s="116"/>
      <c r="OTI108" s="116"/>
      <c r="OTJ108" s="116"/>
      <c r="OTK108" s="116"/>
      <c r="OTL108" s="116"/>
      <c r="OTM108" s="116"/>
      <c r="OTN108" s="116"/>
      <c r="OTO108" s="116"/>
      <c r="OTP108" s="116"/>
      <c r="OTQ108" s="116"/>
      <c r="OTR108" s="116"/>
      <c r="OTS108" s="116"/>
      <c r="OTT108" s="116"/>
      <c r="OTU108" s="116"/>
      <c r="OTV108" s="116"/>
      <c r="OTW108" s="116"/>
      <c r="OTX108" s="116"/>
      <c r="OTY108" s="116"/>
      <c r="OTZ108" s="116"/>
      <c r="OUA108" s="116"/>
      <c r="OUB108" s="116"/>
      <c r="OUC108" s="116"/>
      <c r="OUD108" s="116"/>
      <c r="OUE108" s="116"/>
      <c r="OUF108" s="116"/>
      <c r="OUG108" s="116"/>
      <c r="OUH108" s="116"/>
      <c r="OUI108" s="116"/>
      <c r="OUJ108" s="116"/>
      <c r="OUK108" s="116"/>
      <c r="OUL108" s="116"/>
      <c r="OUM108" s="116"/>
      <c r="OUN108" s="116"/>
      <c r="OUO108" s="116"/>
      <c r="OUP108" s="116"/>
      <c r="OUQ108" s="116"/>
      <c r="OUR108" s="116"/>
      <c r="OUS108" s="116"/>
      <c r="OUT108" s="116"/>
      <c r="OUU108" s="116"/>
      <c r="OUV108" s="116"/>
      <c r="OUW108" s="116"/>
      <c r="OUX108" s="116"/>
      <c r="OUY108" s="116"/>
      <c r="OUZ108" s="116"/>
      <c r="OVA108" s="116"/>
      <c r="OVB108" s="116"/>
      <c r="OVC108" s="116"/>
      <c r="OVD108" s="116"/>
      <c r="OVE108" s="116"/>
      <c r="OVF108" s="116"/>
      <c r="OVG108" s="116"/>
      <c r="OVH108" s="116"/>
      <c r="OVI108" s="116"/>
      <c r="OVJ108" s="116"/>
      <c r="OVK108" s="116"/>
      <c r="OVL108" s="116"/>
      <c r="OVM108" s="116"/>
      <c r="OVN108" s="116"/>
      <c r="OVO108" s="116"/>
      <c r="OVP108" s="116"/>
      <c r="OVQ108" s="116"/>
      <c r="OVR108" s="116"/>
      <c r="OVS108" s="116"/>
      <c r="OVT108" s="116"/>
      <c r="OVU108" s="116"/>
      <c r="OVV108" s="116"/>
      <c r="OVW108" s="116"/>
      <c r="OVX108" s="116"/>
      <c r="OVY108" s="116"/>
      <c r="OVZ108" s="116"/>
      <c r="OWA108" s="116"/>
      <c r="OWB108" s="116"/>
      <c r="OWC108" s="116"/>
      <c r="OWD108" s="116"/>
      <c r="OWE108" s="116"/>
      <c r="OWF108" s="116"/>
      <c r="OWG108" s="116"/>
      <c r="OWH108" s="116"/>
      <c r="OWI108" s="116"/>
      <c r="OWJ108" s="116"/>
      <c r="OWK108" s="116"/>
      <c r="OWL108" s="116"/>
      <c r="OWM108" s="116"/>
      <c r="OWN108" s="116"/>
      <c r="OWO108" s="116"/>
      <c r="OWP108" s="116"/>
      <c r="OWQ108" s="116"/>
      <c r="OWR108" s="116"/>
      <c r="OWS108" s="116"/>
      <c r="OWT108" s="116"/>
      <c r="OWU108" s="116"/>
      <c r="OWV108" s="116"/>
      <c r="OWW108" s="116"/>
      <c r="OWX108" s="116"/>
      <c r="OWY108" s="116"/>
      <c r="OWZ108" s="116"/>
      <c r="OXA108" s="116"/>
      <c r="OXB108" s="116"/>
      <c r="OXC108" s="116"/>
      <c r="OXD108" s="116"/>
      <c r="OXE108" s="116"/>
      <c r="OXF108" s="116"/>
      <c r="OXG108" s="116"/>
      <c r="OXH108" s="116"/>
      <c r="OXI108" s="116"/>
      <c r="OXJ108" s="116"/>
      <c r="OXK108" s="116"/>
      <c r="OXL108" s="116"/>
      <c r="OXM108" s="116"/>
      <c r="OXN108" s="116"/>
      <c r="OXO108" s="116"/>
      <c r="OXP108" s="116"/>
      <c r="OXQ108" s="116"/>
      <c r="OXR108" s="116"/>
      <c r="OXS108" s="116"/>
      <c r="OXT108" s="116"/>
      <c r="OXU108" s="116"/>
      <c r="OXV108" s="116"/>
      <c r="OXW108" s="116"/>
      <c r="OXX108" s="116"/>
      <c r="OXY108" s="116"/>
      <c r="OXZ108" s="116"/>
      <c r="OYA108" s="116"/>
      <c r="OYB108" s="116"/>
      <c r="OYC108" s="116"/>
      <c r="OYD108" s="116"/>
      <c r="OYE108" s="116"/>
      <c r="OYF108" s="116"/>
      <c r="OYG108" s="116"/>
      <c r="OYH108" s="116"/>
      <c r="OYI108" s="116"/>
      <c r="OYJ108" s="116"/>
      <c r="OYK108" s="116"/>
      <c r="OYL108" s="116"/>
      <c r="OYM108" s="116"/>
      <c r="OYN108" s="116"/>
      <c r="OYO108" s="116"/>
      <c r="OYP108" s="116"/>
      <c r="OYQ108" s="116"/>
      <c r="OYR108" s="116"/>
      <c r="OYS108" s="116"/>
      <c r="OYT108" s="116"/>
      <c r="OYU108" s="116"/>
      <c r="OYV108" s="116"/>
      <c r="OYW108" s="116"/>
      <c r="OYX108" s="116"/>
      <c r="OYY108" s="116"/>
      <c r="OYZ108" s="116"/>
      <c r="OZA108" s="116"/>
      <c r="OZB108" s="116"/>
      <c r="OZC108" s="116"/>
      <c r="OZD108" s="116"/>
      <c r="OZE108" s="116"/>
      <c r="OZF108" s="116"/>
      <c r="OZG108" s="116"/>
      <c r="OZH108" s="116"/>
      <c r="OZI108" s="116"/>
      <c r="OZJ108" s="116"/>
      <c r="OZK108" s="116"/>
      <c r="OZL108" s="116"/>
      <c r="OZM108" s="116"/>
      <c r="OZN108" s="116"/>
      <c r="OZO108" s="116"/>
      <c r="OZP108" s="116"/>
      <c r="OZQ108" s="116"/>
      <c r="OZR108" s="116"/>
      <c r="OZS108" s="116"/>
      <c r="OZT108" s="116"/>
      <c r="OZU108" s="116"/>
      <c r="OZV108" s="116"/>
      <c r="OZW108" s="116"/>
      <c r="OZX108" s="116"/>
      <c r="OZY108" s="116"/>
      <c r="OZZ108" s="116"/>
      <c r="PAA108" s="116"/>
      <c r="PAB108" s="116"/>
      <c r="PAC108" s="116"/>
      <c r="PAD108" s="116"/>
      <c r="PAE108" s="116"/>
      <c r="PAF108" s="116"/>
      <c r="PAG108" s="116"/>
      <c r="PAH108" s="116"/>
      <c r="PAI108" s="116"/>
      <c r="PAJ108" s="116"/>
      <c r="PAK108" s="116"/>
      <c r="PAL108" s="116"/>
      <c r="PAM108" s="116"/>
      <c r="PAN108" s="116"/>
      <c r="PAO108" s="116"/>
      <c r="PAP108" s="116"/>
      <c r="PAQ108" s="116"/>
      <c r="PAR108" s="116"/>
      <c r="PAS108" s="116"/>
      <c r="PAT108" s="116"/>
      <c r="PAU108" s="116"/>
      <c r="PAV108" s="116"/>
      <c r="PAW108" s="116"/>
      <c r="PAX108" s="116"/>
      <c r="PAY108" s="116"/>
      <c r="PAZ108" s="116"/>
      <c r="PBA108" s="116"/>
      <c r="PBB108" s="116"/>
      <c r="PBC108" s="116"/>
      <c r="PBD108" s="116"/>
      <c r="PBE108" s="116"/>
      <c r="PBF108" s="116"/>
      <c r="PBG108" s="116"/>
      <c r="PBH108" s="116"/>
      <c r="PBI108" s="116"/>
      <c r="PBJ108" s="116"/>
      <c r="PBK108" s="116"/>
      <c r="PBL108" s="116"/>
      <c r="PBM108" s="116"/>
      <c r="PBN108" s="116"/>
      <c r="PBO108" s="116"/>
      <c r="PBP108" s="116"/>
      <c r="PBQ108" s="116"/>
      <c r="PBR108" s="116"/>
      <c r="PBS108" s="116"/>
      <c r="PBT108" s="116"/>
      <c r="PBU108" s="116"/>
      <c r="PBV108" s="116"/>
      <c r="PBW108" s="116"/>
      <c r="PBX108" s="116"/>
      <c r="PBY108" s="116"/>
      <c r="PBZ108" s="116"/>
      <c r="PCA108" s="116"/>
      <c r="PCB108" s="116"/>
      <c r="PCC108" s="116"/>
      <c r="PCD108" s="116"/>
      <c r="PCE108" s="116"/>
      <c r="PCF108" s="116"/>
      <c r="PCG108" s="116"/>
      <c r="PCH108" s="116"/>
      <c r="PCI108" s="116"/>
      <c r="PCJ108" s="116"/>
      <c r="PCK108" s="116"/>
      <c r="PCL108" s="116"/>
      <c r="PCM108" s="116"/>
      <c r="PCN108" s="116"/>
      <c r="PCO108" s="116"/>
      <c r="PCP108" s="116"/>
      <c r="PCQ108" s="116"/>
      <c r="PCR108" s="116"/>
      <c r="PCS108" s="116"/>
      <c r="PCT108" s="116"/>
      <c r="PCU108" s="116"/>
      <c r="PCV108" s="116"/>
      <c r="PCW108" s="116"/>
      <c r="PCX108" s="116"/>
      <c r="PCY108" s="116"/>
      <c r="PCZ108" s="116"/>
      <c r="PDA108" s="116"/>
      <c r="PDB108" s="116"/>
      <c r="PDC108" s="116"/>
      <c r="PDD108" s="116"/>
      <c r="PDE108" s="116"/>
      <c r="PDF108" s="116"/>
      <c r="PDG108" s="116"/>
      <c r="PDH108" s="116"/>
      <c r="PDI108" s="116"/>
      <c r="PDJ108" s="116"/>
      <c r="PDK108" s="116"/>
      <c r="PDL108" s="116"/>
      <c r="PDM108" s="116"/>
      <c r="PDN108" s="116"/>
      <c r="PDO108" s="116"/>
      <c r="PDP108" s="116"/>
      <c r="PDQ108" s="116"/>
      <c r="PDR108" s="116"/>
      <c r="PDS108" s="116"/>
      <c r="PDT108" s="116"/>
      <c r="PDU108" s="116"/>
      <c r="PDV108" s="116"/>
      <c r="PDW108" s="116"/>
      <c r="PDX108" s="116"/>
      <c r="PDY108" s="116"/>
      <c r="PDZ108" s="116"/>
      <c r="PEA108" s="116"/>
      <c r="PEB108" s="116"/>
      <c r="PEC108" s="116"/>
      <c r="PED108" s="116"/>
      <c r="PEE108" s="116"/>
      <c r="PEF108" s="116"/>
      <c r="PEG108" s="116"/>
      <c r="PEH108" s="116"/>
      <c r="PEI108" s="116"/>
      <c r="PEJ108" s="116"/>
      <c r="PEK108" s="116"/>
      <c r="PEL108" s="116"/>
      <c r="PEM108" s="116"/>
      <c r="PEN108" s="116"/>
      <c r="PEO108" s="116"/>
      <c r="PEP108" s="116"/>
      <c r="PEQ108" s="116"/>
      <c r="PER108" s="116"/>
      <c r="PES108" s="116"/>
      <c r="PET108" s="116"/>
      <c r="PEU108" s="116"/>
      <c r="PEV108" s="116"/>
      <c r="PEW108" s="116"/>
      <c r="PEX108" s="116"/>
      <c r="PEY108" s="116"/>
      <c r="PEZ108" s="116"/>
      <c r="PFA108" s="116"/>
      <c r="PFB108" s="116"/>
      <c r="PFC108" s="116"/>
      <c r="PFD108" s="116"/>
      <c r="PFE108" s="116"/>
      <c r="PFF108" s="116"/>
      <c r="PFG108" s="116"/>
      <c r="PFH108" s="116"/>
      <c r="PFI108" s="116"/>
      <c r="PFJ108" s="116"/>
      <c r="PFK108" s="116"/>
      <c r="PFL108" s="116"/>
      <c r="PFM108" s="116"/>
      <c r="PFN108" s="116"/>
      <c r="PFO108" s="116"/>
      <c r="PFP108" s="116"/>
      <c r="PFQ108" s="116"/>
      <c r="PFR108" s="116"/>
      <c r="PFS108" s="116"/>
      <c r="PFT108" s="116"/>
      <c r="PFU108" s="116"/>
      <c r="PFV108" s="116"/>
      <c r="PFW108" s="116"/>
      <c r="PFX108" s="116"/>
      <c r="PFY108" s="116"/>
      <c r="PFZ108" s="116"/>
      <c r="PGA108" s="116"/>
      <c r="PGB108" s="116"/>
      <c r="PGC108" s="116"/>
      <c r="PGD108" s="116"/>
      <c r="PGE108" s="116"/>
      <c r="PGF108" s="116"/>
      <c r="PGG108" s="116"/>
      <c r="PGH108" s="116"/>
      <c r="PGI108" s="116"/>
      <c r="PGJ108" s="116"/>
      <c r="PGK108" s="116"/>
      <c r="PGL108" s="116"/>
      <c r="PGM108" s="116"/>
      <c r="PGN108" s="116"/>
      <c r="PGO108" s="116"/>
      <c r="PGP108" s="116"/>
      <c r="PGQ108" s="116"/>
      <c r="PGR108" s="116"/>
      <c r="PGS108" s="116"/>
      <c r="PGT108" s="116"/>
      <c r="PGU108" s="116"/>
      <c r="PGV108" s="116"/>
      <c r="PGW108" s="116"/>
      <c r="PGX108" s="116"/>
      <c r="PGY108" s="116"/>
      <c r="PGZ108" s="116"/>
      <c r="PHA108" s="116"/>
      <c r="PHB108" s="116"/>
      <c r="PHC108" s="116"/>
      <c r="PHD108" s="116"/>
      <c r="PHE108" s="116"/>
      <c r="PHF108" s="116"/>
      <c r="PHG108" s="116"/>
      <c r="PHH108" s="116"/>
      <c r="PHI108" s="116"/>
      <c r="PHJ108" s="116"/>
      <c r="PHK108" s="116"/>
      <c r="PHL108" s="116"/>
      <c r="PHM108" s="116"/>
      <c r="PHN108" s="116"/>
      <c r="PHO108" s="116"/>
      <c r="PHP108" s="116"/>
      <c r="PHQ108" s="116"/>
      <c r="PHR108" s="116"/>
      <c r="PHS108" s="116"/>
      <c r="PHT108" s="116"/>
      <c r="PHU108" s="116"/>
      <c r="PHV108" s="116"/>
      <c r="PHW108" s="116"/>
      <c r="PHX108" s="116"/>
      <c r="PHY108" s="116"/>
      <c r="PHZ108" s="116"/>
      <c r="PIA108" s="116"/>
      <c r="PIB108" s="116"/>
      <c r="PIC108" s="116"/>
      <c r="PID108" s="116"/>
      <c r="PIE108" s="116"/>
      <c r="PIF108" s="116"/>
      <c r="PIG108" s="116"/>
      <c r="PIH108" s="116"/>
      <c r="PII108" s="116"/>
      <c r="PIJ108" s="116"/>
      <c r="PIK108" s="116"/>
      <c r="PIL108" s="116"/>
      <c r="PIM108" s="116"/>
      <c r="PIN108" s="116"/>
      <c r="PIO108" s="116"/>
      <c r="PIP108" s="116"/>
      <c r="PIQ108" s="116"/>
      <c r="PIR108" s="116"/>
      <c r="PIS108" s="116"/>
      <c r="PIT108" s="116"/>
      <c r="PIU108" s="116"/>
      <c r="PIV108" s="116"/>
      <c r="PIW108" s="116"/>
      <c r="PIX108" s="116"/>
      <c r="PIY108" s="116"/>
      <c r="PIZ108" s="116"/>
      <c r="PJA108" s="116"/>
      <c r="PJB108" s="116"/>
      <c r="PJC108" s="116"/>
      <c r="PJD108" s="116"/>
      <c r="PJE108" s="116"/>
      <c r="PJF108" s="116"/>
      <c r="PJG108" s="116"/>
      <c r="PJH108" s="116"/>
      <c r="PJI108" s="116"/>
      <c r="PJJ108" s="116"/>
      <c r="PJK108" s="116"/>
      <c r="PJL108" s="116"/>
      <c r="PJM108" s="116"/>
      <c r="PJN108" s="116"/>
      <c r="PJO108" s="116"/>
      <c r="PJP108" s="116"/>
      <c r="PJQ108" s="116"/>
      <c r="PJR108" s="116"/>
      <c r="PJS108" s="116"/>
      <c r="PJT108" s="116"/>
      <c r="PJU108" s="116"/>
      <c r="PJV108" s="116"/>
      <c r="PJW108" s="116"/>
      <c r="PJX108" s="116"/>
      <c r="PJY108" s="116"/>
      <c r="PJZ108" s="116"/>
      <c r="PKA108" s="116"/>
      <c r="PKB108" s="116"/>
      <c r="PKC108" s="116"/>
      <c r="PKD108" s="116"/>
      <c r="PKE108" s="116"/>
      <c r="PKF108" s="116"/>
      <c r="PKG108" s="116"/>
      <c r="PKH108" s="116"/>
      <c r="PKI108" s="116"/>
      <c r="PKJ108" s="116"/>
      <c r="PKK108" s="116"/>
      <c r="PKL108" s="116"/>
      <c r="PKM108" s="116"/>
      <c r="PKN108" s="116"/>
      <c r="PKO108" s="116"/>
      <c r="PKP108" s="116"/>
      <c r="PKQ108" s="116"/>
      <c r="PKR108" s="116"/>
      <c r="PKS108" s="116"/>
      <c r="PKT108" s="116"/>
      <c r="PKU108" s="116"/>
      <c r="PKV108" s="116"/>
      <c r="PKW108" s="116"/>
      <c r="PKX108" s="116"/>
      <c r="PKY108" s="116"/>
      <c r="PKZ108" s="116"/>
      <c r="PLA108" s="116"/>
      <c r="PLB108" s="116"/>
      <c r="PLC108" s="116"/>
      <c r="PLD108" s="116"/>
      <c r="PLE108" s="116"/>
      <c r="PLF108" s="116"/>
      <c r="PLG108" s="116"/>
      <c r="PLH108" s="116"/>
      <c r="PLI108" s="116"/>
      <c r="PLJ108" s="116"/>
      <c r="PLK108" s="116"/>
      <c r="PLL108" s="116"/>
      <c r="PLM108" s="116"/>
      <c r="PLN108" s="116"/>
      <c r="PLO108" s="116"/>
      <c r="PLP108" s="116"/>
      <c r="PLQ108" s="116"/>
      <c r="PLR108" s="116"/>
      <c r="PLS108" s="116"/>
      <c r="PLT108" s="116"/>
      <c r="PLU108" s="116"/>
      <c r="PLV108" s="116"/>
      <c r="PLW108" s="116"/>
      <c r="PLX108" s="116"/>
      <c r="PLY108" s="116"/>
      <c r="PLZ108" s="116"/>
      <c r="PMA108" s="116"/>
      <c r="PMB108" s="116"/>
      <c r="PMC108" s="116"/>
      <c r="PMD108" s="116"/>
      <c r="PME108" s="116"/>
      <c r="PMF108" s="116"/>
      <c r="PMG108" s="116"/>
      <c r="PMH108" s="116"/>
      <c r="PMI108" s="116"/>
      <c r="PMJ108" s="116"/>
      <c r="PMK108" s="116"/>
      <c r="PML108" s="116"/>
      <c r="PMM108" s="116"/>
      <c r="PMN108" s="116"/>
      <c r="PMO108" s="116"/>
      <c r="PMP108" s="116"/>
      <c r="PMQ108" s="116"/>
      <c r="PMR108" s="116"/>
      <c r="PMS108" s="116"/>
      <c r="PMT108" s="116"/>
      <c r="PMU108" s="116"/>
      <c r="PMV108" s="116"/>
      <c r="PMW108" s="116"/>
      <c r="PMX108" s="116"/>
      <c r="PMY108" s="116"/>
      <c r="PMZ108" s="116"/>
      <c r="PNA108" s="116"/>
      <c r="PNB108" s="116"/>
      <c r="PNC108" s="116"/>
      <c r="PND108" s="116"/>
      <c r="PNE108" s="116"/>
      <c r="PNF108" s="116"/>
      <c r="PNG108" s="116"/>
      <c r="PNH108" s="116"/>
      <c r="PNI108" s="116"/>
      <c r="PNJ108" s="116"/>
      <c r="PNK108" s="116"/>
      <c r="PNL108" s="116"/>
      <c r="PNM108" s="116"/>
      <c r="PNN108" s="116"/>
      <c r="PNO108" s="116"/>
      <c r="PNP108" s="116"/>
      <c r="PNQ108" s="116"/>
      <c r="PNR108" s="116"/>
      <c r="PNS108" s="116"/>
      <c r="PNT108" s="116"/>
      <c r="PNU108" s="116"/>
      <c r="PNV108" s="116"/>
      <c r="PNW108" s="116"/>
      <c r="PNX108" s="116"/>
      <c r="PNY108" s="116"/>
      <c r="PNZ108" s="116"/>
      <c r="POA108" s="116"/>
      <c r="POB108" s="116"/>
      <c r="POC108" s="116"/>
      <c r="POD108" s="116"/>
      <c r="POE108" s="116"/>
      <c r="POF108" s="116"/>
      <c r="POG108" s="116"/>
      <c r="POH108" s="116"/>
      <c r="POI108" s="116"/>
      <c r="POJ108" s="116"/>
      <c r="POK108" s="116"/>
      <c r="POL108" s="116"/>
      <c r="POM108" s="116"/>
      <c r="PON108" s="116"/>
      <c r="POO108" s="116"/>
      <c r="POP108" s="116"/>
      <c r="POQ108" s="116"/>
      <c r="POR108" s="116"/>
      <c r="POS108" s="116"/>
      <c r="POT108" s="116"/>
      <c r="POU108" s="116"/>
      <c r="POV108" s="116"/>
      <c r="POW108" s="116"/>
      <c r="POX108" s="116"/>
      <c r="POY108" s="116"/>
      <c r="POZ108" s="116"/>
      <c r="PPA108" s="116"/>
      <c r="PPB108" s="116"/>
      <c r="PPC108" s="116"/>
      <c r="PPD108" s="116"/>
      <c r="PPE108" s="116"/>
      <c r="PPF108" s="116"/>
      <c r="PPG108" s="116"/>
      <c r="PPH108" s="116"/>
      <c r="PPI108" s="116"/>
      <c r="PPJ108" s="116"/>
      <c r="PPK108" s="116"/>
      <c r="PPL108" s="116"/>
      <c r="PPM108" s="116"/>
      <c r="PPN108" s="116"/>
      <c r="PPO108" s="116"/>
      <c r="PPP108" s="116"/>
      <c r="PPQ108" s="116"/>
      <c r="PPR108" s="116"/>
      <c r="PPS108" s="116"/>
      <c r="PPT108" s="116"/>
      <c r="PPU108" s="116"/>
      <c r="PPV108" s="116"/>
      <c r="PPW108" s="116"/>
      <c r="PPX108" s="116"/>
      <c r="PPY108" s="116"/>
      <c r="PPZ108" s="116"/>
      <c r="PQA108" s="116"/>
      <c r="PQB108" s="116"/>
      <c r="PQC108" s="116"/>
      <c r="PQD108" s="116"/>
      <c r="PQE108" s="116"/>
      <c r="PQF108" s="116"/>
      <c r="PQG108" s="116"/>
      <c r="PQH108" s="116"/>
      <c r="PQI108" s="116"/>
      <c r="PQJ108" s="116"/>
      <c r="PQK108" s="116"/>
      <c r="PQL108" s="116"/>
      <c r="PQM108" s="116"/>
      <c r="PQN108" s="116"/>
      <c r="PQO108" s="116"/>
      <c r="PQP108" s="116"/>
      <c r="PQQ108" s="116"/>
      <c r="PQR108" s="116"/>
      <c r="PQS108" s="116"/>
      <c r="PQT108" s="116"/>
      <c r="PQU108" s="116"/>
      <c r="PQV108" s="116"/>
      <c r="PQW108" s="116"/>
      <c r="PQX108" s="116"/>
      <c r="PQY108" s="116"/>
      <c r="PQZ108" s="116"/>
      <c r="PRA108" s="116"/>
      <c r="PRB108" s="116"/>
      <c r="PRC108" s="116"/>
      <c r="PRD108" s="116"/>
      <c r="PRE108" s="116"/>
      <c r="PRF108" s="116"/>
      <c r="PRG108" s="116"/>
      <c r="PRH108" s="116"/>
      <c r="PRI108" s="116"/>
      <c r="PRJ108" s="116"/>
      <c r="PRK108" s="116"/>
      <c r="PRL108" s="116"/>
      <c r="PRM108" s="116"/>
      <c r="PRN108" s="116"/>
      <c r="PRO108" s="116"/>
      <c r="PRP108" s="116"/>
      <c r="PRQ108" s="116"/>
      <c r="PRR108" s="116"/>
      <c r="PRS108" s="116"/>
      <c r="PRT108" s="116"/>
      <c r="PRU108" s="116"/>
      <c r="PRV108" s="116"/>
      <c r="PRW108" s="116"/>
      <c r="PRX108" s="116"/>
      <c r="PRY108" s="116"/>
      <c r="PRZ108" s="116"/>
      <c r="PSA108" s="116"/>
      <c r="PSB108" s="116"/>
      <c r="PSC108" s="116"/>
      <c r="PSD108" s="116"/>
      <c r="PSE108" s="116"/>
      <c r="PSF108" s="116"/>
      <c r="PSG108" s="116"/>
      <c r="PSH108" s="116"/>
      <c r="PSI108" s="116"/>
      <c r="PSJ108" s="116"/>
      <c r="PSK108" s="116"/>
      <c r="PSL108" s="116"/>
      <c r="PSM108" s="116"/>
      <c r="PSN108" s="116"/>
      <c r="PSO108" s="116"/>
      <c r="PSP108" s="116"/>
      <c r="PSQ108" s="116"/>
      <c r="PSR108" s="116"/>
      <c r="PSS108" s="116"/>
      <c r="PST108" s="116"/>
      <c r="PSU108" s="116"/>
      <c r="PSV108" s="116"/>
      <c r="PSW108" s="116"/>
      <c r="PSX108" s="116"/>
      <c r="PSY108" s="116"/>
      <c r="PSZ108" s="116"/>
      <c r="PTA108" s="116"/>
      <c r="PTB108" s="116"/>
      <c r="PTC108" s="116"/>
      <c r="PTD108" s="116"/>
      <c r="PTE108" s="116"/>
      <c r="PTF108" s="116"/>
      <c r="PTG108" s="116"/>
      <c r="PTH108" s="116"/>
      <c r="PTI108" s="116"/>
      <c r="PTJ108" s="116"/>
      <c r="PTK108" s="116"/>
      <c r="PTL108" s="116"/>
      <c r="PTM108" s="116"/>
      <c r="PTN108" s="116"/>
      <c r="PTO108" s="116"/>
      <c r="PTP108" s="116"/>
      <c r="PTQ108" s="116"/>
      <c r="PTR108" s="116"/>
      <c r="PTS108" s="116"/>
      <c r="PTT108" s="116"/>
      <c r="PTU108" s="116"/>
      <c r="PTV108" s="116"/>
      <c r="PTW108" s="116"/>
      <c r="PTX108" s="116"/>
      <c r="PTY108" s="116"/>
      <c r="PTZ108" s="116"/>
      <c r="PUA108" s="116"/>
      <c r="PUB108" s="116"/>
      <c r="PUC108" s="116"/>
      <c r="PUD108" s="116"/>
      <c r="PUE108" s="116"/>
      <c r="PUF108" s="116"/>
      <c r="PUG108" s="116"/>
      <c r="PUH108" s="116"/>
      <c r="PUI108" s="116"/>
      <c r="PUJ108" s="116"/>
      <c r="PUK108" s="116"/>
      <c r="PUL108" s="116"/>
      <c r="PUM108" s="116"/>
      <c r="PUN108" s="116"/>
      <c r="PUO108" s="116"/>
      <c r="PUP108" s="116"/>
      <c r="PUQ108" s="116"/>
      <c r="PUR108" s="116"/>
      <c r="PUS108" s="116"/>
      <c r="PUT108" s="116"/>
      <c r="PUU108" s="116"/>
      <c r="PUV108" s="116"/>
      <c r="PUW108" s="116"/>
      <c r="PUX108" s="116"/>
      <c r="PUY108" s="116"/>
      <c r="PUZ108" s="116"/>
      <c r="PVA108" s="116"/>
      <c r="PVB108" s="116"/>
      <c r="PVC108" s="116"/>
      <c r="PVD108" s="116"/>
      <c r="PVE108" s="116"/>
      <c r="PVF108" s="116"/>
      <c r="PVG108" s="116"/>
      <c r="PVH108" s="116"/>
      <c r="PVI108" s="116"/>
      <c r="PVJ108" s="116"/>
      <c r="PVK108" s="116"/>
      <c r="PVL108" s="116"/>
      <c r="PVM108" s="116"/>
      <c r="PVN108" s="116"/>
      <c r="PVO108" s="116"/>
      <c r="PVP108" s="116"/>
      <c r="PVQ108" s="116"/>
      <c r="PVR108" s="116"/>
      <c r="PVS108" s="116"/>
      <c r="PVT108" s="116"/>
      <c r="PVU108" s="116"/>
      <c r="PVV108" s="116"/>
      <c r="PVW108" s="116"/>
      <c r="PVX108" s="116"/>
      <c r="PVY108" s="116"/>
      <c r="PVZ108" s="116"/>
      <c r="PWA108" s="116"/>
      <c r="PWB108" s="116"/>
      <c r="PWC108" s="116"/>
      <c r="PWD108" s="116"/>
      <c r="PWE108" s="116"/>
      <c r="PWF108" s="116"/>
      <c r="PWG108" s="116"/>
      <c r="PWH108" s="116"/>
      <c r="PWI108" s="116"/>
      <c r="PWJ108" s="116"/>
      <c r="PWK108" s="116"/>
      <c r="PWL108" s="116"/>
      <c r="PWM108" s="116"/>
      <c r="PWN108" s="116"/>
      <c r="PWO108" s="116"/>
      <c r="PWP108" s="116"/>
      <c r="PWQ108" s="116"/>
      <c r="PWR108" s="116"/>
      <c r="PWS108" s="116"/>
      <c r="PWT108" s="116"/>
      <c r="PWU108" s="116"/>
      <c r="PWV108" s="116"/>
      <c r="PWW108" s="116"/>
      <c r="PWX108" s="116"/>
      <c r="PWY108" s="116"/>
      <c r="PWZ108" s="116"/>
      <c r="PXA108" s="116"/>
      <c r="PXB108" s="116"/>
      <c r="PXC108" s="116"/>
      <c r="PXD108" s="116"/>
      <c r="PXE108" s="116"/>
      <c r="PXF108" s="116"/>
      <c r="PXG108" s="116"/>
      <c r="PXH108" s="116"/>
      <c r="PXI108" s="116"/>
      <c r="PXJ108" s="116"/>
      <c r="PXK108" s="116"/>
      <c r="PXL108" s="116"/>
      <c r="PXM108" s="116"/>
      <c r="PXN108" s="116"/>
      <c r="PXO108" s="116"/>
      <c r="PXP108" s="116"/>
      <c r="PXQ108" s="116"/>
      <c r="PXR108" s="116"/>
      <c r="PXS108" s="116"/>
      <c r="PXT108" s="116"/>
      <c r="PXU108" s="116"/>
      <c r="PXV108" s="116"/>
      <c r="PXW108" s="116"/>
      <c r="PXX108" s="116"/>
      <c r="PXY108" s="116"/>
      <c r="PXZ108" s="116"/>
      <c r="PYA108" s="116"/>
      <c r="PYB108" s="116"/>
      <c r="PYC108" s="116"/>
      <c r="PYD108" s="116"/>
      <c r="PYE108" s="116"/>
      <c r="PYF108" s="116"/>
      <c r="PYG108" s="116"/>
      <c r="PYH108" s="116"/>
      <c r="PYI108" s="116"/>
      <c r="PYJ108" s="116"/>
      <c r="PYK108" s="116"/>
      <c r="PYL108" s="116"/>
      <c r="PYM108" s="116"/>
      <c r="PYN108" s="116"/>
      <c r="PYO108" s="116"/>
      <c r="PYP108" s="116"/>
      <c r="PYQ108" s="116"/>
      <c r="PYR108" s="116"/>
      <c r="PYS108" s="116"/>
      <c r="PYT108" s="116"/>
      <c r="PYU108" s="116"/>
      <c r="PYV108" s="116"/>
      <c r="PYW108" s="116"/>
      <c r="PYX108" s="116"/>
      <c r="PYY108" s="116"/>
      <c r="PYZ108" s="116"/>
      <c r="PZA108" s="116"/>
      <c r="PZB108" s="116"/>
      <c r="PZC108" s="116"/>
      <c r="PZD108" s="116"/>
      <c r="PZE108" s="116"/>
      <c r="PZF108" s="116"/>
      <c r="PZG108" s="116"/>
      <c r="PZH108" s="116"/>
      <c r="PZI108" s="116"/>
      <c r="PZJ108" s="116"/>
      <c r="PZK108" s="116"/>
      <c r="PZL108" s="116"/>
      <c r="PZM108" s="116"/>
      <c r="PZN108" s="116"/>
      <c r="PZO108" s="116"/>
      <c r="PZP108" s="116"/>
      <c r="PZQ108" s="116"/>
      <c r="PZR108" s="116"/>
      <c r="PZS108" s="116"/>
      <c r="PZT108" s="116"/>
      <c r="PZU108" s="116"/>
      <c r="PZV108" s="116"/>
      <c r="PZW108" s="116"/>
      <c r="PZX108" s="116"/>
      <c r="PZY108" s="116"/>
      <c r="PZZ108" s="116"/>
      <c r="QAA108" s="116"/>
      <c r="QAB108" s="116"/>
      <c r="QAC108" s="116"/>
      <c r="QAD108" s="116"/>
      <c r="QAE108" s="116"/>
      <c r="QAF108" s="116"/>
      <c r="QAG108" s="116"/>
      <c r="QAH108" s="116"/>
      <c r="QAI108" s="116"/>
      <c r="QAJ108" s="116"/>
      <c r="QAK108" s="116"/>
      <c r="QAL108" s="116"/>
      <c r="QAM108" s="116"/>
      <c r="QAN108" s="116"/>
      <c r="QAO108" s="116"/>
      <c r="QAP108" s="116"/>
      <c r="QAQ108" s="116"/>
      <c r="QAR108" s="116"/>
      <c r="QAS108" s="116"/>
      <c r="QAT108" s="116"/>
      <c r="QAU108" s="116"/>
      <c r="QAV108" s="116"/>
      <c r="QAW108" s="116"/>
      <c r="QAX108" s="116"/>
      <c r="QAY108" s="116"/>
      <c r="QAZ108" s="116"/>
      <c r="QBA108" s="116"/>
      <c r="QBB108" s="116"/>
      <c r="QBC108" s="116"/>
      <c r="QBD108" s="116"/>
      <c r="QBE108" s="116"/>
      <c r="QBF108" s="116"/>
      <c r="QBG108" s="116"/>
      <c r="QBH108" s="116"/>
      <c r="QBI108" s="116"/>
      <c r="QBJ108" s="116"/>
      <c r="QBK108" s="116"/>
      <c r="QBL108" s="116"/>
      <c r="QBM108" s="116"/>
      <c r="QBN108" s="116"/>
      <c r="QBO108" s="116"/>
      <c r="QBP108" s="116"/>
      <c r="QBQ108" s="116"/>
      <c r="QBR108" s="116"/>
      <c r="QBS108" s="116"/>
      <c r="QBT108" s="116"/>
      <c r="QBU108" s="116"/>
      <c r="QBV108" s="116"/>
      <c r="QBW108" s="116"/>
      <c r="QBX108" s="116"/>
      <c r="QBY108" s="116"/>
      <c r="QBZ108" s="116"/>
      <c r="QCA108" s="116"/>
      <c r="QCB108" s="116"/>
      <c r="QCC108" s="116"/>
      <c r="QCD108" s="116"/>
      <c r="QCE108" s="116"/>
      <c r="QCF108" s="116"/>
      <c r="QCG108" s="116"/>
      <c r="QCH108" s="116"/>
      <c r="QCI108" s="116"/>
      <c r="QCJ108" s="116"/>
      <c r="QCK108" s="116"/>
      <c r="QCL108" s="116"/>
      <c r="QCM108" s="116"/>
      <c r="QCN108" s="116"/>
      <c r="QCO108" s="116"/>
      <c r="QCP108" s="116"/>
      <c r="QCQ108" s="116"/>
      <c r="QCR108" s="116"/>
      <c r="QCS108" s="116"/>
      <c r="QCT108" s="116"/>
      <c r="QCU108" s="116"/>
      <c r="QCV108" s="116"/>
      <c r="QCW108" s="116"/>
      <c r="QCX108" s="116"/>
      <c r="QCY108" s="116"/>
      <c r="QCZ108" s="116"/>
      <c r="QDA108" s="116"/>
      <c r="QDB108" s="116"/>
      <c r="QDC108" s="116"/>
      <c r="QDD108" s="116"/>
      <c r="QDE108" s="116"/>
      <c r="QDF108" s="116"/>
      <c r="QDG108" s="116"/>
      <c r="QDH108" s="116"/>
      <c r="QDI108" s="116"/>
      <c r="QDJ108" s="116"/>
      <c r="QDK108" s="116"/>
      <c r="QDL108" s="116"/>
      <c r="QDM108" s="116"/>
      <c r="QDN108" s="116"/>
      <c r="QDO108" s="116"/>
      <c r="QDP108" s="116"/>
      <c r="QDQ108" s="116"/>
      <c r="QDR108" s="116"/>
      <c r="QDS108" s="116"/>
      <c r="QDT108" s="116"/>
      <c r="QDU108" s="116"/>
      <c r="QDV108" s="116"/>
      <c r="QDW108" s="116"/>
      <c r="QDX108" s="116"/>
      <c r="QDY108" s="116"/>
      <c r="QDZ108" s="116"/>
      <c r="QEA108" s="116"/>
      <c r="QEB108" s="116"/>
      <c r="QEC108" s="116"/>
      <c r="QED108" s="116"/>
      <c r="QEE108" s="116"/>
      <c r="QEF108" s="116"/>
      <c r="QEG108" s="116"/>
      <c r="QEH108" s="116"/>
      <c r="QEI108" s="116"/>
      <c r="QEJ108" s="116"/>
      <c r="QEK108" s="116"/>
      <c r="QEL108" s="116"/>
      <c r="QEM108" s="116"/>
      <c r="QEN108" s="116"/>
      <c r="QEO108" s="116"/>
      <c r="QEP108" s="116"/>
      <c r="QEQ108" s="116"/>
      <c r="QER108" s="116"/>
      <c r="QES108" s="116"/>
      <c r="QET108" s="116"/>
      <c r="QEU108" s="116"/>
      <c r="QEV108" s="116"/>
      <c r="QEW108" s="116"/>
      <c r="QEX108" s="116"/>
      <c r="QEY108" s="116"/>
      <c r="QEZ108" s="116"/>
      <c r="QFA108" s="116"/>
      <c r="QFB108" s="116"/>
      <c r="QFC108" s="116"/>
      <c r="QFD108" s="116"/>
      <c r="QFE108" s="116"/>
      <c r="QFF108" s="116"/>
      <c r="QFG108" s="116"/>
      <c r="QFH108" s="116"/>
      <c r="QFI108" s="116"/>
      <c r="QFJ108" s="116"/>
      <c r="QFK108" s="116"/>
      <c r="QFL108" s="116"/>
      <c r="QFM108" s="116"/>
      <c r="QFN108" s="116"/>
      <c r="QFO108" s="116"/>
      <c r="QFP108" s="116"/>
      <c r="QFQ108" s="116"/>
      <c r="QFR108" s="116"/>
      <c r="QFS108" s="116"/>
      <c r="QFT108" s="116"/>
      <c r="QFU108" s="116"/>
      <c r="QFV108" s="116"/>
      <c r="QFW108" s="116"/>
      <c r="QFX108" s="116"/>
      <c r="QFY108" s="116"/>
      <c r="QFZ108" s="116"/>
      <c r="QGA108" s="116"/>
      <c r="QGB108" s="116"/>
      <c r="QGC108" s="116"/>
      <c r="QGD108" s="116"/>
      <c r="QGE108" s="116"/>
      <c r="QGF108" s="116"/>
      <c r="QGG108" s="116"/>
      <c r="QGH108" s="116"/>
      <c r="QGI108" s="116"/>
      <c r="QGJ108" s="116"/>
      <c r="QGK108" s="116"/>
      <c r="QGL108" s="116"/>
      <c r="QGM108" s="116"/>
      <c r="QGN108" s="116"/>
      <c r="QGO108" s="116"/>
      <c r="QGP108" s="116"/>
      <c r="QGQ108" s="116"/>
      <c r="QGR108" s="116"/>
      <c r="QGS108" s="116"/>
      <c r="QGT108" s="116"/>
      <c r="QGU108" s="116"/>
      <c r="QGV108" s="116"/>
      <c r="QGW108" s="116"/>
      <c r="QGX108" s="116"/>
      <c r="QGY108" s="116"/>
      <c r="QGZ108" s="116"/>
      <c r="QHA108" s="116"/>
      <c r="QHB108" s="116"/>
      <c r="QHC108" s="116"/>
      <c r="QHD108" s="116"/>
      <c r="QHE108" s="116"/>
      <c r="QHF108" s="116"/>
      <c r="QHG108" s="116"/>
      <c r="QHH108" s="116"/>
      <c r="QHI108" s="116"/>
      <c r="QHJ108" s="116"/>
      <c r="QHK108" s="116"/>
      <c r="QHL108" s="116"/>
      <c r="QHM108" s="116"/>
      <c r="QHN108" s="116"/>
      <c r="QHO108" s="116"/>
      <c r="QHP108" s="116"/>
      <c r="QHQ108" s="116"/>
      <c r="QHR108" s="116"/>
      <c r="QHS108" s="116"/>
      <c r="QHT108" s="116"/>
      <c r="QHU108" s="116"/>
      <c r="QHV108" s="116"/>
      <c r="QHW108" s="116"/>
      <c r="QHX108" s="116"/>
      <c r="QHY108" s="116"/>
      <c r="QHZ108" s="116"/>
      <c r="QIA108" s="116"/>
      <c r="QIB108" s="116"/>
      <c r="QIC108" s="116"/>
      <c r="QID108" s="116"/>
      <c r="QIE108" s="116"/>
      <c r="QIF108" s="116"/>
      <c r="QIG108" s="116"/>
      <c r="QIH108" s="116"/>
      <c r="QII108" s="116"/>
      <c r="QIJ108" s="116"/>
      <c r="QIK108" s="116"/>
      <c r="QIL108" s="116"/>
      <c r="QIM108" s="116"/>
      <c r="QIN108" s="116"/>
      <c r="QIO108" s="116"/>
      <c r="QIP108" s="116"/>
      <c r="QIQ108" s="116"/>
      <c r="QIR108" s="116"/>
      <c r="QIS108" s="116"/>
      <c r="QIT108" s="116"/>
      <c r="QIU108" s="116"/>
      <c r="QIV108" s="116"/>
      <c r="QIW108" s="116"/>
      <c r="QIX108" s="116"/>
      <c r="QIY108" s="116"/>
      <c r="QIZ108" s="116"/>
      <c r="QJA108" s="116"/>
      <c r="QJB108" s="116"/>
      <c r="QJC108" s="116"/>
      <c r="QJD108" s="116"/>
      <c r="QJE108" s="116"/>
      <c r="QJF108" s="116"/>
      <c r="QJG108" s="116"/>
      <c r="QJH108" s="116"/>
      <c r="QJI108" s="116"/>
      <c r="QJJ108" s="116"/>
      <c r="QJK108" s="116"/>
      <c r="QJL108" s="116"/>
      <c r="QJM108" s="116"/>
      <c r="QJN108" s="116"/>
      <c r="QJO108" s="116"/>
      <c r="QJP108" s="116"/>
      <c r="QJQ108" s="116"/>
      <c r="QJR108" s="116"/>
      <c r="QJS108" s="116"/>
      <c r="QJT108" s="116"/>
      <c r="QJU108" s="116"/>
      <c r="QJV108" s="116"/>
      <c r="QJW108" s="116"/>
      <c r="QJX108" s="116"/>
      <c r="QJY108" s="116"/>
      <c r="QJZ108" s="116"/>
      <c r="QKA108" s="116"/>
      <c r="QKB108" s="116"/>
      <c r="QKC108" s="116"/>
      <c r="QKD108" s="116"/>
      <c r="QKE108" s="116"/>
      <c r="QKF108" s="116"/>
      <c r="QKG108" s="116"/>
      <c r="QKH108" s="116"/>
      <c r="QKI108" s="116"/>
      <c r="QKJ108" s="116"/>
      <c r="QKK108" s="116"/>
      <c r="QKL108" s="116"/>
      <c r="QKM108" s="116"/>
      <c r="QKN108" s="116"/>
      <c r="QKO108" s="116"/>
      <c r="QKP108" s="116"/>
      <c r="QKQ108" s="116"/>
      <c r="QKR108" s="116"/>
      <c r="QKS108" s="116"/>
      <c r="QKT108" s="116"/>
      <c r="QKU108" s="116"/>
      <c r="QKV108" s="116"/>
      <c r="QKW108" s="116"/>
      <c r="QKX108" s="116"/>
      <c r="QKY108" s="116"/>
      <c r="QKZ108" s="116"/>
      <c r="QLA108" s="116"/>
      <c r="QLB108" s="116"/>
      <c r="QLC108" s="116"/>
      <c r="QLD108" s="116"/>
      <c r="QLE108" s="116"/>
      <c r="QLF108" s="116"/>
      <c r="QLG108" s="116"/>
      <c r="QLH108" s="116"/>
      <c r="QLI108" s="116"/>
      <c r="QLJ108" s="116"/>
      <c r="QLK108" s="116"/>
      <c r="QLL108" s="116"/>
      <c r="QLM108" s="116"/>
      <c r="QLN108" s="116"/>
      <c r="QLO108" s="116"/>
      <c r="QLP108" s="116"/>
      <c r="QLQ108" s="116"/>
      <c r="QLR108" s="116"/>
      <c r="QLS108" s="116"/>
      <c r="QLT108" s="116"/>
      <c r="QLU108" s="116"/>
      <c r="QLV108" s="116"/>
      <c r="QLW108" s="116"/>
      <c r="QLX108" s="116"/>
      <c r="QLY108" s="116"/>
      <c r="QLZ108" s="116"/>
      <c r="QMA108" s="116"/>
      <c r="QMB108" s="116"/>
      <c r="QMC108" s="116"/>
      <c r="QMD108" s="116"/>
      <c r="QME108" s="116"/>
      <c r="QMF108" s="116"/>
      <c r="QMG108" s="116"/>
      <c r="QMH108" s="116"/>
      <c r="QMI108" s="116"/>
      <c r="QMJ108" s="116"/>
      <c r="QMK108" s="116"/>
      <c r="QML108" s="116"/>
      <c r="QMM108" s="116"/>
      <c r="QMN108" s="116"/>
      <c r="QMO108" s="116"/>
      <c r="QMP108" s="116"/>
      <c r="QMQ108" s="116"/>
      <c r="QMR108" s="116"/>
      <c r="QMS108" s="116"/>
      <c r="QMT108" s="116"/>
      <c r="QMU108" s="116"/>
      <c r="QMV108" s="116"/>
      <c r="QMW108" s="116"/>
      <c r="QMX108" s="116"/>
      <c r="QMY108" s="116"/>
      <c r="QMZ108" s="116"/>
      <c r="QNA108" s="116"/>
      <c r="QNB108" s="116"/>
      <c r="QNC108" s="116"/>
      <c r="QND108" s="116"/>
      <c r="QNE108" s="116"/>
      <c r="QNF108" s="116"/>
      <c r="QNG108" s="116"/>
      <c r="QNH108" s="116"/>
      <c r="QNI108" s="116"/>
      <c r="QNJ108" s="116"/>
      <c r="QNK108" s="116"/>
      <c r="QNL108" s="116"/>
      <c r="QNM108" s="116"/>
      <c r="QNN108" s="116"/>
      <c r="QNO108" s="116"/>
      <c r="QNP108" s="116"/>
      <c r="QNQ108" s="116"/>
      <c r="QNR108" s="116"/>
      <c r="QNS108" s="116"/>
      <c r="QNT108" s="116"/>
      <c r="QNU108" s="116"/>
      <c r="QNV108" s="116"/>
      <c r="QNW108" s="116"/>
      <c r="QNX108" s="116"/>
      <c r="QNY108" s="116"/>
      <c r="QNZ108" s="116"/>
      <c r="QOA108" s="116"/>
      <c r="QOB108" s="116"/>
      <c r="QOC108" s="116"/>
      <c r="QOD108" s="116"/>
      <c r="QOE108" s="116"/>
      <c r="QOF108" s="116"/>
      <c r="QOG108" s="116"/>
      <c r="QOH108" s="116"/>
      <c r="QOI108" s="116"/>
      <c r="QOJ108" s="116"/>
      <c r="QOK108" s="116"/>
      <c r="QOL108" s="116"/>
      <c r="QOM108" s="116"/>
      <c r="QON108" s="116"/>
      <c r="QOO108" s="116"/>
      <c r="QOP108" s="116"/>
      <c r="QOQ108" s="116"/>
      <c r="QOR108" s="116"/>
      <c r="QOS108" s="116"/>
      <c r="QOT108" s="116"/>
      <c r="QOU108" s="116"/>
      <c r="QOV108" s="116"/>
      <c r="QOW108" s="116"/>
      <c r="QOX108" s="116"/>
      <c r="QOY108" s="116"/>
      <c r="QOZ108" s="116"/>
      <c r="QPA108" s="116"/>
      <c r="QPB108" s="116"/>
      <c r="QPC108" s="116"/>
      <c r="QPD108" s="116"/>
      <c r="QPE108" s="116"/>
      <c r="QPF108" s="116"/>
      <c r="QPG108" s="116"/>
      <c r="QPH108" s="116"/>
      <c r="QPI108" s="116"/>
      <c r="QPJ108" s="116"/>
      <c r="QPK108" s="116"/>
      <c r="QPL108" s="116"/>
      <c r="QPM108" s="116"/>
      <c r="QPN108" s="116"/>
      <c r="QPO108" s="116"/>
      <c r="QPP108" s="116"/>
      <c r="QPQ108" s="116"/>
      <c r="QPR108" s="116"/>
      <c r="QPS108" s="116"/>
      <c r="QPT108" s="116"/>
      <c r="QPU108" s="116"/>
      <c r="QPV108" s="116"/>
      <c r="QPW108" s="116"/>
      <c r="QPX108" s="116"/>
      <c r="QPY108" s="116"/>
      <c r="QPZ108" s="116"/>
      <c r="QQA108" s="116"/>
      <c r="QQB108" s="116"/>
      <c r="QQC108" s="116"/>
      <c r="QQD108" s="116"/>
      <c r="QQE108" s="116"/>
      <c r="QQF108" s="116"/>
      <c r="QQG108" s="116"/>
      <c r="QQH108" s="116"/>
      <c r="QQI108" s="116"/>
      <c r="QQJ108" s="116"/>
      <c r="QQK108" s="116"/>
      <c r="QQL108" s="116"/>
      <c r="QQM108" s="116"/>
      <c r="QQN108" s="116"/>
      <c r="QQO108" s="116"/>
      <c r="QQP108" s="116"/>
      <c r="QQQ108" s="116"/>
      <c r="QQR108" s="116"/>
      <c r="QQS108" s="116"/>
      <c r="QQT108" s="116"/>
      <c r="QQU108" s="116"/>
      <c r="QQV108" s="116"/>
      <c r="QQW108" s="116"/>
      <c r="QQX108" s="116"/>
      <c r="QQY108" s="116"/>
      <c r="QQZ108" s="116"/>
      <c r="QRA108" s="116"/>
      <c r="QRB108" s="116"/>
      <c r="QRC108" s="116"/>
      <c r="QRD108" s="116"/>
      <c r="QRE108" s="116"/>
      <c r="QRF108" s="116"/>
      <c r="QRG108" s="116"/>
      <c r="QRH108" s="116"/>
      <c r="QRI108" s="116"/>
      <c r="QRJ108" s="116"/>
      <c r="QRK108" s="116"/>
      <c r="QRL108" s="116"/>
      <c r="QRM108" s="116"/>
      <c r="QRN108" s="116"/>
      <c r="QRO108" s="116"/>
      <c r="QRP108" s="116"/>
      <c r="QRQ108" s="116"/>
      <c r="QRR108" s="116"/>
      <c r="QRS108" s="116"/>
      <c r="QRT108" s="116"/>
      <c r="QRU108" s="116"/>
      <c r="QRV108" s="116"/>
      <c r="QRW108" s="116"/>
      <c r="QRX108" s="116"/>
      <c r="QRY108" s="116"/>
      <c r="QRZ108" s="116"/>
      <c r="QSA108" s="116"/>
      <c r="QSB108" s="116"/>
      <c r="QSC108" s="116"/>
      <c r="QSD108" s="116"/>
      <c r="QSE108" s="116"/>
      <c r="QSF108" s="116"/>
      <c r="QSG108" s="116"/>
      <c r="QSH108" s="116"/>
      <c r="QSI108" s="116"/>
      <c r="QSJ108" s="116"/>
      <c r="QSK108" s="116"/>
      <c r="QSL108" s="116"/>
      <c r="QSM108" s="116"/>
      <c r="QSN108" s="116"/>
      <c r="QSO108" s="116"/>
      <c r="QSP108" s="116"/>
      <c r="QSQ108" s="116"/>
      <c r="QSR108" s="116"/>
      <c r="QSS108" s="116"/>
      <c r="QST108" s="116"/>
      <c r="QSU108" s="116"/>
      <c r="QSV108" s="116"/>
      <c r="QSW108" s="116"/>
      <c r="QSX108" s="116"/>
      <c r="QSY108" s="116"/>
      <c r="QSZ108" s="116"/>
      <c r="QTA108" s="116"/>
      <c r="QTB108" s="116"/>
      <c r="QTC108" s="116"/>
      <c r="QTD108" s="116"/>
      <c r="QTE108" s="116"/>
      <c r="QTF108" s="116"/>
      <c r="QTG108" s="116"/>
      <c r="QTH108" s="116"/>
      <c r="QTI108" s="116"/>
      <c r="QTJ108" s="116"/>
      <c r="QTK108" s="116"/>
      <c r="QTL108" s="116"/>
      <c r="QTM108" s="116"/>
      <c r="QTN108" s="116"/>
      <c r="QTO108" s="116"/>
      <c r="QTP108" s="116"/>
      <c r="QTQ108" s="116"/>
      <c r="QTR108" s="116"/>
      <c r="QTS108" s="116"/>
      <c r="QTT108" s="116"/>
      <c r="QTU108" s="116"/>
      <c r="QTV108" s="116"/>
      <c r="QTW108" s="116"/>
      <c r="QTX108" s="116"/>
      <c r="QTY108" s="116"/>
      <c r="QTZ108" s="116"/>
      <c r="QUA108" s="116"/>
      <c r="QUB108" s="116"/>
      <c r="QUC108" s="116"/>
      <c r="QUD108" s="116"/>
      <c r="QUE108" s="116"/>
      <c r="QUF108" s="116"/>
      <c r="QUG108" s="116"/>
      <c r="QUH108" s="116"/>
      <c r="QUI108" s="116"/>
      <c r="QUJ108" s="116"/>
      <c r="QUK108" s="116"/>
      <c r="QUL108" s="116"/>
      <c r="QUM108" s="116"/>
      <c r="QUN108" s="116"/>
      <c r="QUO108" s="116"/>
      <c r="QUP108" s="116"/>
      <c r="QUQ108" s="116"/>
      <c r="QUR108" s="116"/>
      <c r="QUS108" s="116"/>
      <c r="QUT108" s="116"/>
      <c r="QUU108" s="116"/>
      <c r="QUV108" s="116"/>
      <c r="QUW108" s="116"/>
      <c r="QUX108" s="116"/>
      <c r="QUY108" s="116"/>
      <c r="QUZ108" s="116"/>
      <c r="QVA108" s="116"/>
      <c r="QVB108" s="116"/>
      <c r="QVC108" s="116"/>
      <c r="QVD108" s="116"/>
      <c r="QVE108" s="116"/>
      <c r="QVF108" s="116"/>
      <c r="QVG108" s="116"/>
      <c r="QVH108" s="116"/>
      <c r="QVI108" s="116"/>
      <c r="QVJ108" s="116"/>
      <c r="QVK108" s="116"/>
      <c r="QVL108" s="116"/>
      <c r="QVM108" s="116"/>
      <c r="QVN108" s="116"/>
      <c r="QVO108" s="116"/>
      <c r="QVP108" s="116"/>
      <c r="QVQ108" s="116"/>
      <c r="QVR108" s="116"/>
      <c r="QVS108" s="116"/>
      <c r="QVT108" s="116"/>
      <c r="QVU108" s="116"/>
      <c r="QVV108" s="116"/>
      <c r="QVW108" s="116"/>
      <c r="QVX108" s="116"/>
      <c r="QVY108" s="116"/>
      <c r="QVZ108" s="116"/>
      <c r="QWA108" s="116"/>
      <c r="QWB108" s="116"/>
      <c r="QWC108" s="116"/>
      <c r="QWD108" s="116"/>
      <c r="QWE108" s="116"/>
      <c r="QWF108" s="116"/>
      <c r="QWG108" s="116"/>
      <c r="QWH108" s="116"/>
      <c r="QWI108" s="116"/>
      <c r="QWJ108" s="116"/>
      <c r="QWK108" s="116"/>
      <c r="QWL108" s="116"/>
      <c r="QWM108" s="116"/>
      <c r="QWN108" s="116"/>
      <c r="QWO108" s="116"/>
      <c r="QWP108" s="116"/>
      <c r="QWQ108" s="116"/>
      <c r="QWR108" s="116"/>
      <c r="QWS108" s="116"/>
      <c r="QWT108" s="116"/>
      <c r="QWU108" s="116"/>
      <c r="QWV108" s="116"/>
      <c r="QWW108" s="116"/>
      <c r="QWX108" s="116"/>
      <c r="QWY108" s="116"/>
      <c r="QWZ108" s="116"/>
      <c r="QXA108" s="116"/>
      <c r="QXB108" s="116"/>
      <c r="QXC108" s="116"/>
      <c r="QXD108" s="116"/>
      <c r="QXE108" s="116"/>
      <c r="QXF108" s="116"/>
      <c r="QXG108" s="116"/>
      <c r="QXH108" s="116"/>
      <c r="QXI108" s="116"/>
      <c r="QXJ108" s="116"/>
      <c r="QXK108" s="116"/>
      <c r="QXL108" s="116"/>
      <c r="QXM108" s="116"/>
      <c r="QXN108" s="116"/>
      <c r="QXO108" s="116"/>
      <c r="QXP108" s="116"/>
      <c r="QXQ108" s="116"/>
      <c r="QXR108" s="116"/>
      <c r="QXS108" s="116"/>
      <c r="QXT108" s="116"/>
      <c r="QXU108" s="116"/>
      <c r="QXV108" s="116"/>
      <c r="QXW108" s="116"/>
      <c r="QXX108" s="116"/>
      <c r="QXY108" s="116"/>
      <c r="QXZ108" s="116"/>
      <c r="QYA108" s="116"/>
      <c r="QYB108" s="116"/>
      <c r="QYC108" s="116"/>
      <c r="QYD108" s="116"/>
      <c r="QYE108" s="116"/>
      <c r="QYF108" s="116"/>
      <c r="QYG108" s="116"/>
      <c r="QYH108" s="116"/>
      <c r="QYI108" s="116"/>
      <c r="QYJ108" s="116"/>
      <c r="QYK108" s="116"/>
      <c r="QYL108" s="116"/>
      <c r="QYM108" s="116"/>
      <c r="QYN108" s="116"/>
      <c r="QYO108" s="116"/>
      <c r="QYP108" s="116"/>
      <c r="QYQ108" s="116"/>
      <c r="QYR108" s="116"/>
      <c r="QYS108" s="116"/>
      <c r="QYT108" s="116"/>
      <c r="QYU108" s="116"/>
      <c r="QYV108" s="116"/>
      <c r="QYW108" s="116"/>
      <c r="QYX108" s="116"/>
      <c r="QYY108" s="116"/>
      <c r="QYZ108" s="116"/>
      <c r="QZA108" s="116"/>
      <c r="QZB108" s="116"/>
      <c r="QZC108" s="116"/>
      <c r="QZD108" s="116"/>
      <c r="QZE108" s="116"/>
      <c r="QZF108" s="116"/>
      <c r="QZG108" s="116"/>
      <c r="QZH108" s="116"/>
      <c r="QZI108" s="116"/>
      <c r="QZJ108" s="116"/>
      <c r="QZK108" s="116"/>
      <c r="QZL108" s="116"/>
      <c r="QZM108" s="116"/>
      <c r="QZN108" s="116"/>
      <c r="QZO108" s="116"/>
      <c r="QZP108" s="116"/>
      <c r="QZQ108" s="116"/>
      <c r="QZR108" s="116"/>
      <c r="QZS108" s="116"/>
      <c r="QZT108" s="116"/>
      <c r="QZU108" s="116"/>
      <c r="QZV108" s="116"/>
      <c r="QZW108" s="116"/>
      <c r="QZX108" s="116"/>
      <c r="QZY108" s="116"/>
      <c r="QZZ108" s="116"/>
      <c r="RAA108" s="116"/>
      <c r="RAB108" s="116"/>
      <c r="RAC108" s="116"/>
      <c r="RAD108" s="116"/>
      <c r="RAE108" s="116"/>
      <c r="RAF108" s="116"/>
      <c r="RAG108" s="116"/>
      <c r="RAH108" s="116"/>
      <c r="RAI108" s="116"/>
      <c r="RAJ108" s="116"/>
      <c r="RAK108" s="116"/>
      <c r="RAL108" s="116"/>
      <c r="RAM108" s="116"/>
      <c r="RAN108" s="116"/>
      <c r="RAO108" s="116"/>
      <c r="RAP108" s="116"/>
      <c r="RAQ108" s="116"/>
      <c r="RAR108" s="116"/>
      <c r="RAS108" s="116"/>
      <c r="RAT108" s="116"/>
      <c r="RAU108" s="116"/>
      <c r="RAV108" s="116"/>
      <c r="RAW108" s="116"/>
      <c r="RAX108" s="116"/>
      <c r="RAY108" s="116"/>
      <c r="RAZ108" s="116"/>
      <c r="RBA108" s="116"/>
      <c r="RBB108" s="116"/>
      <c r="RBC108" s="116"/>
      <c r="RBD108" s="116"/>
      <c r="RBE108" s="116"/>
      <c r="RBF108" s="116"/>
      <c r="RBG108" s="116"/>
      <c r="RBH108" s="116"/>
      <c r="RBI108" s="116"/>
      <c r="RBJ108" s="116"/>
      <c r="RBK108" s="116"/>
      <c r="RBL108" s="116"/>
      <c r="RBM108" s="116"/>
      <c r="RBN108" s="116"/>
      <c r="RBO108" s="116"/>
      <c r="RBP108" s="116"/>
      <c r="RBQ108" s="116"/>
      <c r="RBR108" s="116"/>
      <c r="RBS108" s="116"/>
      <c r="RBT108" s="116"/>
      <c r="RBU108" s="116"/>
      <c r="RBV108" s="116"/>
      <c r="RBW108" s="116"/>
      <c r="RBX108" s="116"/>
      <c r="RBY108" s="116"/>
      <c r="RBZ108" s="116"/>
      <c r="RCA108" s="116"/>
      <c r="RCB108" s="116"/>
      <c r="RCC108" s="116"/>
      <c r="RCD108" s="116"/>
      <c r="RCE108" s="116"/>
      <c r="RCF108" s="116"/>
      <c r="RCG108" s="116"/>
      <c r="RCH108" s="116"/>
      <c r="RCI108" s="116"/>
      <c r="RCJ108" s="116"/>
      <c r="RCK108" s="116"/>
      <c r="RCL108" s="116"/>
      <c r="RCM108" s="116"/>
      <c r="RCN108" s="116"/>
      <c r="RCO108" s="116"/>
      <c r="RCP108" s="116"/>
      <c r="RCQ108" s="116"/>
      <c r="RCR108" s="116"/>
      <c r="RCS108" s="116"/>
      <c r="RCT108" s="116"/>
      <c r="RCU108" s="116"/>
      <c r="RCV108" s="116"/>
      <c r="RCW108" s="116"/>
      <c r="RCX108" s="116"/>
      <c r="RCY108" s="116"/>
      <c r="RCZ108" s="116"/>
      <c r="RDA108" s="116"/>
      <c r="RDB108" s="116"/>
      <c r="RDC108" s="116"/>
      <c r="RDD108" s="116"/>
      <c r="RDE108" s="116"/>
      <c r="RDF108" s="116"/>
      <c r="RDG108" s="116"/>
      <c r="RDH108" s="116"/>
      <c r="RDI108" s="116"/>
      <c r="RDJ108" s="116"/>
      <c r="RDK108" s="116"/>
      <c r="RDL108" s="116"/>
      <c r="RDM108" s="116"/>
      <c r="RDN108" s="116"/>
      <c r="RDO108" s="116"/>
      <c r="RDP108" s="116"/>
      <c r="RDQ108" s="116"/>
      <c r="RDR108" s="116"/>
      <c r="RDS108" s="116"/>
      <c r="RDT108" s="116"/>
      <c r="RDU108" s="116"/>
      <c r="RDV108" s="116"/>
      <c r="RDW108" s="116"/>
      <c r="RDX108" s="116"/>
      <c r="RDY108" s="116"/>
      <c r="RDZ108" s="116"/>
      <c r="REA108" s="116"/>
      <c r="REB108" s="116"/>
      <c r="REC108" s="116"/>
      <c r="RED108" s="116"/>
      <c r="REE108" s="116"/>
      <c r="REF108" s="116"/>
      <c r="REG108" s="116"/>
      <c r="REH108" s="116"/>
      <c r="REI108" s="116"/>
      <c r="REJ108" s="116"/>
      <c r="REK108" s="116"/>
      <c r="REL108" s="116"/>
      <c r="REM108" s="116"/>
      <c r="REN108" s="116"/>
      <c r="REO108" s="116"/>
      <c r="REP108" s="116"/>
      <c r="REQ108" s="116"/>
      <c r="RER108" s="116"/>
      <c r="RES108" s="116"/>
      <c r="RET108" s="116"/>
      <c r="REU108" s="116"/>
      <c r="REV108" s="116"/>
      <c r="REW108" s="116"/>
      <c r="REX108" s="116"/>
      <c r="REY108" s="116"/>
      <c r="REZ108" s="116"/>
      <c r="RFA108" s="116"/>
      <c r="RFB108" s="116"/>
      <c r="RFC108" s="116"/>
      <c r="RFD108" s="116"/>
      <c r="RFE108" s="116"/>
      <c r="RFF108" s="116"/>
      <c r="RFG108" s="116"/>
      <c r="RFH108" s="116"/>
      <c r="RFI108" s="116"/>
      <c r="RFJ108" s="116"/>
      <c r="RFK108" s="116"/>
      <c r="RFL108" s="116"/>
      <c r="RFM108" s="116"/>
      <c r="RFN108" s="116"/>
      <c r="RFO108" s="116"/>
      <c r="RFP108" s="116"/>
      <c r="RFQ108" s="116"/>
      <c r="RFR108" s="116"/>
      <c r="RFS108" s="116"/>
      <c r="RFT108" s="116"/>
      <c r="RFU108" s="116"/>
      <c r="RFV108" s="116"/>
      <c r="RFW108" s="116"/>
      <c r="RFX108" s="116"/>
      <c r="RFY108" s="116"/>
      <c r="RFZ108" s="116"/>
      <c r="RGA108" s="116"/>
      <c r="RGB108" s="116"/>
      <c r="RGC108" s="116"/>
      <c r="RGD108" s="116"/>
      <c r="RGE108" s="116"/>
      <c r="RGF108" s="116"/>
      <c r="RGG108" s="116"/>
      <c r="RGH108" s="116"/>
      <c r="RGI108" s="116"/>
      <c r="RGJ108" s="116"/>
      <c r="RGK108" s="116"/>
      <c r="RGL108" s="116"/>
      <c r="RGM108" s="116"/>
      <c r="RGN108" s="116"/>
      <c r="RGO108" s="116"/>
      <c r="RGP108" s="116"/>
      <c r="RGQ108" s="116"/>
      <c r="RGR108" s="116"/>
      <c r="RGS108" s="116"/>
      <c r="RGT108" s="116"/>
      <c r="RGU108" s="116"/>
      <c r="RGV108" s="116"/>
      <c r="RGW108" s="116"/>
      <c r="RGX108" s="116"/>
      <c r="RGY108" s="116"/>
      <c r="RGZ108" s="116"/>
      <c r="RHA108" s="116"/>
      <c r="RHB108" s="116"/>
      <c r="RHC108" s="116"/>
      <c r="RHD108" s="116"/>
      <c r="RHE108" s="116"/>
      <c r="RHF108" s="116"/>
      <c r="RHG108" s="116"/>
      <c r="RHH108" s="116"/>
      <c r="RHI108" s="116"/>
      <c r="RHJ108" s="116"/>
      <c r="RHK108" s="116"/>
      <c r="RHL108" s="116"/>
      <c r="RHM108" s="116"/>
      <c r="RHN108" s="116"/>
      <c r="RHO108" s="116"/>
      <c r="RHP108" s="116"/>
      <c r="RHQ108" s="116"/>
      <c r="RHR108" s="116"/>
      <c r="RHS108" s="116"/>
      <c r="RHT108" s="116"/>
      <c r="RHU108" s="116"/>
      <c r="RHV108" s="116"/>
      <c r="RHW108" s="116"/>
      <c r="RHX108" s="116"/>
      <c r="RHY108" s="116"/>
      <c r="RHZ108" s="116"/>
      <c r="RIA108" s="116"/>
      <c r="RIB108" s="116"/>
      <c r="RIC108" s="116"/>
      <c r="RID108" s="116"/>
      <c r="RIE108" s="116"/>
      <c r="RIF108" s="116"/>
      <c r="RIG108" s="116"/>
      <c r="RIH108" s="116"/>
      <c r="RII108" s="116"/>
      <c r="RIJ108" s="116"/>
      <c r="RIK108" s="116"/>
      <c r="RIL108" s="116"/>
      <c r="RIM108" s="116"/>
      <c r="RIN108" s="116"/>
      <c r="RIO108" s="116"/>
      <c r="RIP108" s="116"/>
      <c r="RIQ108" s="116"/>
      <c r="RIR108" s="116"/>
      <c r="RIS108" s="116"/>
      <c r="RIT108" s="116"/>
      <c r="RIU108" s="116"/>
      <c r="RIV108" s="116"/>
      <c r="RIW108" s="116"/>
      <c r="RIX108" s="116"/>
      <c r="RIY108" s="116"/>
      <c r="RIZ108" s="116"/>
      <c r="RJA108" s="116"/>
      <c r="RJB108" s="116"/>
      <c r="RJC108" s="116"/>
      <c r="RJD108" s="116"/>
      <c r="RJE108" s="116"/>
      <c r="RJF108" s="116"/>
      <c r="RJG108" s="116"/>
      <c r="RJH108" s="116"/>
      <c r="RJI108" s="116"/>
      <c r="RJJ108" s="116"/>
      <c r="RJK108" s="116"/>
      <c r="RJL108" s="116"/>
      <c r="RJM108" s="116"/>
      <c r="RJN108" s="116"/>
      <c r="RJO108" s="116"/>
      <c r="RJP108" s="116"/>
      <c r="RJQ108" s="116"/>
      <c r="RJR108" s="116"/>
      <c r="RJS108" s="116"/>
      <c r="RJT108" s="116"/>
      <c r="RJU108" s="116"/>
      <c r="RJV108" s="116"/>
      <c r="RJW108" s="116"/>
      <c r="RJX108" s="116"/>
      <c r="RJY108" s="116"/>
      <c r="RJZ108" s="116"/>
      <c r="RKA108" s="116"/>
      <c r="RKB108" s="116"/>
      <c r="RKC108" s="116"/>
      <c r="RKD108" s="116"/>
      <c r="RKE108" s="116"/>
      <c r="RKF108" s="116"/>
      <c r="RKG108" s="116"/>
      <c r="RKH108" s="116"/>
      <c r="RKI108" s="116"/>
      <c r="RKJ108" s="116"/>
      <c r="RKK108" s="116"/>
      <c r="RKL108" s="116"/>
      <c r="RKM108" s="116"/>
      <c r="RKN108" s="116"/>
      <c r="RKO108" s="116"/>
      <c r="RKP108" s="116"/>
      <c r="RKQ108" s="116"/>
      <c r="RKR108" s="116"/>
      <c r="RKS108" s="116"/>
      <c r="RKT108" s="116"/>
      <c r="RKU108" s="116"/>
      <c r="RKV108" s="116"/>
      <c r="RKW108" s="116"/>
      <c r="RKX108" s="116"/>
      <c r="RKY108" s="116"/>
      <c r="RKZ108" s="116"/>
      <c r="RLA108" s="116"/>
      <c r="RLB108" s="116"/>
      <c r="RLC108" s="116"/>
      <c r="RLD108" s="116"/>
      <c r="RLE108" s="116"/>
      <c r="RLF108" s="116"/>
      <c r="RLG108" s="116"/>
      <c r="RLH108" s="116"/>
      <c r="RLI108" s="116"/>
      <c r="RLJ108" s="116"/>
      <c r="RLK108" s="116"/>
      <c r="RLL108" s="116"/>
      <c r="RLM108" s="116"/>
      <c r="RLN108" s="116"/>
      <c r="RLO108" s="116"/>
      <c r="RLP108" s="116"/>
      <c r="RLQ108" s="116"/>
      <c r="RLR108" s="116"/>
      <c r="RLS108" s="116"/>
      <c r="RLT108" s="116"/>
      <c r="RLU108" s="116"/>
      <c r="RLV108" s="116"/>
      <c r="RLW108" s="116"/>
      <c r="RLX108" s="116"/>
      <c r="RLY108" s="116"/>
      <c r="RLZ108" s="116"/>
      <c r="RMA108" s="116"/>
      <c r="RMB108" s="116"/>
      <c r="RMC108" s="116"/>
      <c r="RMD108" s="116"/>
      <c r="RME108" s="116"/>
      <c r="RMF108" s="116"/>
      <c r="RMG108" s="116"/>
      <c r="RMH108" s="116"/>
      <c r="RMI108" s="116"/>
      <c r="RMJ108" s="116"/>
      <c r="RMK108" s="116"/>
      <c r="RML108" s="116"/>
      <c r="RMM108" s="116"/>
      <c r="RMN108" s="116"/>
      <c r="RMO108" s="116"/>
      <c r="RMP108" s="116"/>
      <c r="RMQ108" s="116"/>
      <c r="RMR108" s="116"/>
      <c r="RMS108" s="116"/>
      <c r="RMT108" s="116"/>
      <c r="RMU108" s="116"/>
      <c r="RMV108" s="116"/>
      <c r="RMW108" s="116"/>
      <c r="RMX108" s="116"/>
      <c r="RMY108" s="116"/>
      <c r="RMZ108" s="116"/>
      <c r="RNA108" s="116"/>
      <c r="RNB108" s="116"/>
      <c r="RNC108" s="116"/>
      <c r="RND108" s="116"/>
      <c r="RNE108" s="116"/>
      <c r="RNF108" s="116"/>
      <c r="RNG108" s="116"/>
      <c r="RNH108" s="116"/>
      <c r="RNI108" s="116"/>
      <c r="RNJ108" s="116"/>
      <c r="RNK108" s="116"/>
      <c r="RNL108" s="116"/>
      <c r="RNM108" s="116"/>
      <c r="RNN108" s="116"/>
      <c r="RNO108" s="116"/>
      <c r="RNP108" s="116"/>
      <c r="RNQ108" s="116"/>
      <c r="RNR108" s="116"/>
      <c r="RNS108" s="116"/>
      <c r="RNT108" s="116"/>
      <c r="RNU108" s="116"/>
      <c r="RNV108" s="116"/>
      <c r="RNW108" s="116"/>
      <c r="RNX108" s="116"/>
      <c r="RNY108" s="116"/>
      <c r="RNZ108" s="116"/>
      <c r="ROA108" s="116"/>
      <c r="ROB108" s="116"/>
      <c r="ROC108" s="116"/>
      <c r="ROD108" s="116"/>
      <c r="ROE108" s="116"/>
      <c r="ROF108" s="116"/>
      <c r="ROG108" s="116"/>
      <c r="ROH108" s="116"/>
      <c r="ROI108" s="116"/>
      <c r="ROJ108" s="116"/>
      <c r="ROK108" s="116"/>
      <c r="ROL108" s="116"/>
      <c r="ROM108" s="116"/>
      <c r="RON108" s="116"/>
      <c r="ROO108" s="116"/>
      <c r="ROP108" s="116"/>
      <c r="ROQ108" s="116"/>
      <c r="ROR108" s="116"/>
      <c r="ROS108" s="116"/>
      <c r="ROT108" s="116"/>
      <c r="ROU108" s="116"/>
      <c r="ROV108" s="116"/>
      <c r="ROW108" s="116"/>
      <c r="ROX108" s="116"/>
      <c r="ROY108" s="116"/>
      <c r="ROZ108" s="116"/>
      <c r="RPA108" s="116"/>
      <c r="RPB108" s="116"/>
      <c r="RPC108" s="116"/>
      <c r="RPD108" s="116"/>
      <c r="RPE108" s="116"/>
      <c r="RPF108" s="116"/>
      <c r="RPG108" s="116"/>
      <c r="RPH108" s="116"/>
      <c r="RPI108" s="116"/>
      <c r="RPJ108" s="116"/>
      <c r="RPK108" s="116"/>
      <c r="RPL108" s="116"/>
      <c r="RPM108" s="116"/>
      <c r="RPN108" s="116"/>
      <c r="RPO108" s="116"/>
      <c r="RPP108" s="116"/>
      <c r="RPQ108" s="116"/>
      <c r="RPR108" s="116"/>
      <c r="RPS108" s="116"/>
      <c r="RPT108" s="116"/>
      <c r="RPU108" s="116"/>
      <c r="RPV108" s="116"/>
      <c r="RPW108" s="116"/>
      <c r="RPX108" s="116"/>
      <c r="RPY108" s="116"/>
      <c r="RPZ108" s="116"/>
      <c r="RQA108" s="116"/>
      <c r="RQB108" s="116"/>
      <c r="RQC108" s="116"/>
      <c r="RQD108" s="116"/>
      <c r="RQE108" s="116"/>
      <c r="RQF108" s="116"/>
      <c r="RQG108" s="116"/>
      <c r="RQH108" s="116"/>
      <c r="RQI108" s="116"/>
      <c r="RQJ108" s="116"/>
      <c r="RQK108" s="116"/>
      <c r="RQL108" s="116"/>
      <c r="RQM108" s="116"/>
      <c r="RQN108" s="116"/>
      <c r="RQO108" s="116"/>
      <c r="RQP108" s="116"/>
      <c r="RQQ108" s="116"/>
      <c r="RQR108" s="116"/>
      <c r="RQS108" s="116"/>
      <c r="RQT108" s="116"/>
      <c r="RQU108" s="116"/>
      <c r="RQV108" s="116"/>
      <c r="RQW108" s="116"/>
      <c r="RQX108" s="116"/>
      <c r="RQY108" s="116"/>
      <c r="RQZ108" s="116"/>
      <c r="RRA108" s="116"/>
      <c r="RRB108" s="116"/>
      <c r="RRC108" s="116"/>
      <c r="RRD108" s="116"/>
      <c r="RRE108" s="116"/>
      <c r="RRF108" s="116"/>
      <c r="RRG108" s="116"/>
      <c r="RRH108" s="116"/>
      <c r="RRI108" s="116"/>
      <c r="RRJ108" s="116"/>
      <c r="RRK108" s="116"/>
      <c r="RRL108" s="116"/>
      <c r="RRM108" s="116"/>
      <c r="RRN108" s="116"/>
      <c r="RRO108" s="116"/>
      <c r="RRP108" s="116"/>
      <c r="RRQ108" s="116"/>
      <c r="RRR108" s="116"/>
      <c r="RRS108" s="116"/>
      <c r="RRT108" s="116"/>
      <c r="RRU108" s="116"/>
      <c r="RRV108" s="116"/>
      <c r="RRW108" s="116"/>
      <c r="RRX108" s="116"/>
      <c r="RRY108" s="116"/>
      <c r="RRZ108" s="116"/>
      <c r="RSA108" s="116"/>
      <c r="RSB108" s="116"/>
      <c r="RSC108" s="116"/>
      <c r="RSD108" s="116"/>
      <c r="RSE108" s="116"/>
      <c r="RSF108" s="116"/>
      <c r="RSG108" s="116"/>
      <c r="RSH108" s="116"/>
      <c r="RSI108" s="116"/>
      <c r="RSJ108" s="116"/>
      <c r="RSK108" s="116"/>
      <c r="RSL108" s="116"/>
      <c r="RSM108" s="116"/>
      <c r="RSN108" s="116"/>
      <c r="RSO108" s="116"/>
      <c r="RSP108" s="116"/>
      <c r="RSQ108" s="116"/>
      <c r="RSR108" s="116"/>
      <c r="RSS108" s="116"/>
      <c r="RST108" s="116"/>
      <c r="RSU108" s="116"/>
      <c r="RSV108" s="116"/>
      <c r="RSW108" s="116"/>
      <c r="RSX108" s="116"/>
      <c r="RSY108" s="116"/>
      <c r="RSZ108" s="116"/>
      <c r="RTA108" s="116"/>
      <c r="RTB108" s="116"/>
      <c r="RTC108" s="116"/>
      <c r="RTD108" s="116"/>
      <c r="RTE108" s="116"/>
      <c r="RTF108" s="116"/>
      <c r="RTG108" s="116"/>
      <c r="RTH108" s="116"/>
      <c r="RTI108" s="116"/>
      <c r="RTJ108" s="116"/>
      <c r="RTK108" s="116"/>
      <c r="RTL108" s="116"/>
      <c r="RTM108" s="116"/>
      <c r="RTN108" s="116"/>
      <c r="RTO108" s="116"/>
      <c r="RTP108" s="116"/>
      <c r="RTQ108" s="116"/>
      <c r="RTR108" s="116"/>
      <c r="RTS108" s="116"/>
      <c r="RTT108" s="116"/>
      <c r="RTU108" s="116"/>
      <c r="RTV108" s="116"/>
      <c r="RTW108" s="116"/>
      <c r="RTX108" s="116"/>
      <c r="RTY108" s="116"/>
      <c r="RTZ108" s="116"/>
      <c r="RUA108" s="116"/>
      <c r="RUB108" s="116"/>
      <c r="RUC108" s="116"/>
      <c r="RUD108" s="116"/>
      <c r="RUE108" s="116"/>
      <c r="RUF108" s="116"/>
      <c r="RUG108" s="116"/>
      <c r="RUH108" s="116"/>
      <c r="RUI108" s="116"/>
      <c r="RUJ108" s="116"/>
      <c r="RUK108" s="116"/>
      <c r="RUL108" s="116"/>
      <c r="RUM108" s="116"/>
      <c r="RUN108" s="116"/>
      <c r="RUO108" s="116"/>
      <c r="RUP108" s="116"/>
      <c r="RUQ108" s="116"/>
      <c r="RUR108" s="116"/>
      <c r="RUS108" s="116"/>
      <c r="RUT108" s="116"/>
      <c r="RUU108" s="116"/>
      <c r="RUV108" s="116"/>
      <c r="RUW108" s="116"/>
      <c r="RUX108" s="116"/>
      <c r="RUY108" s="116"/>
      <c r="RUZ108" s="116"/>
      <c r="RVA108" s="116"/>
      <c r="RVB108" s="116"/>
      <c r="RVC108" s="116"/>
      <c r="RVD108" s="116"/>
      <c r="RVE108" s="116"/>
      <c r="RVF108" s="116"/>
      <c r="RVG108" s="116"/>
      <c r="RVH108" s="116"/>
      <c r="RVI108" s="116"/>
      <c r="RVJ108" s="116"/>
      <c r="RVK108" s="116"/>
      <c r="RVL108" s="116"/>
      <c r="RVM108" s="116"/>
      <c r="RVN108" s="116"/>
      <c r="RVO108" s="116"/>
      <c r="RVP108" s="116"/>
      <c r="RVQ108" s="116"/>
      <c r="RVR108" s="116"/>
      <c r="RVS108" s="116"/>
      <c r="RVT108" s="116"/>
      <c r="RVU108" s="116"/>
      <c r="RVV108" s="116"/>
      <c r="RVW108" s="116"/>
      <c r="RVX108" s="116"/>
      <c r="RVY108" s="116"/>
      <c r="RVZ108" s="116"/>
      <c r="RWA108" s="116"/>
      <c r="RWB108" s="116"/>
      <c r="RWC108" s="116"/>
      <c r="RWD108" s="116"/>
      <c r="RWE108" s="116"/>
      <c r="RWF108" s="116"/>
      <c r="RWG108" s="116"/>
      <c r="RWH108" s="116"/>
      <c r="RWI108" s="116"/>
      <c r="RWJ108" s="116"/>
      <c r="RWK108" s="116"/>
      <c r="RWL108" s="116"/>
      <c r="RWM108" s="116"/>
      <c r="RWN108" s="116"/>
      <c r="RWO108" s="116"/>
      <c r="RWP108" s="116"/>
      <c r="RWQ108" s="116"/>
      <c r="RWR108" s="116"/>
      <c r="RWS108" s="116"/>
      <c r="RWT108" s="116"/>
      <c r="RWU108" s="116"/>
      <c r="RWV108" s="116"/>
      <c r="RWW108" s="116"/>
      <c r="RWX108" s="116"/>
      <c r="RWY108" s="116"/>
      <c r="RWZ108" s="116"/>
      <c r="RXA108" s="116"/>
      <c r="RXB108" s="116"/>
      <c r="RXC108" s="116"/>
      <c r="RXD108" s="116"/>
      <c r="RXE108" s="116"/>
      <c r="RXF108" s="116"/>
      <c r="RXG108" s="116"/>
      <c r="RXH108" s="116"/>
      <c r="RXI108" s="116"/>
      <c r="RXJ108" s="116"/>
      <c r="RXK108" s="116"/>
      <c r="RXL108" s="116"/>
      <c r="RXM108" s="116"/>
      <c r="RXN108" s="116"/>
      <c r="RXO108" s="116"/>
      <c r="RXP108" s="116"/>
      <c r="RXQ108" s="116"/>
      <c r="RXR108" s="116"/>
      <c r="RXS108" s="116"/>
      <c r="RXT108" s="116"/>
      <c r="RXU108" s="116"/>
      <c r="RXV108" s="116"/>
      <c r="RXW108" s="116"/>
      <c r="RXX108" s="116"/>
      <c r="RXY108" s="116"/>
      <c r="RXZ108" s="116"/>
      <c r="RYA108" s="116"/>
      <c r="RYB108" s="116"/>
      <c r="RYC108" s="116"/>
      <c r="RYD108" s="116"/>
      <c r="RYE108" s="116"/>
      <c r="RYF108" s="116"/>
      <c r="RYG108" s="116"/>
      <c r="RYH108" s="116"/>
      <c r="RYI108" s="116"/>
      <c r="RYJ108" s="116"/>
      <c r="RYK108" s="116"/>
      <c r="RYL108" s="116"/>
      <c r="RYM108" s="116"/>
      <c r="RYN108" s="116"/>
      <c r="RYO108" s="116"/>
      <c r="RYP108" s="116"/>
      <c r="RYQ108" s="116"/>
      <c r="RYR108" s="116"/>
      <c r="RYS108" s="116"/>
      <c r="RYT108" s="116"/>
      <c r="RYU108" s="116"/>
      <c r="RYV108" s="116"/>
      <c r="RYW108" s="116"/>
      <c r="RYX108" s="116"/>
      <c r="RYY108" s="116"/>
      <c r="RYZ108" s="116"/>
      <c r="RZA108" s="116"/>
      <c r="RZB108" s="116"/>
      <c r="RZC108" s="116"/>
      <c r="RZD108" s="116"/>
      <c r="RZE108" s="116"/>
      <c r="RZF108" s="116"/>
      <c r="RZG108" s="116"/>
      <c r="RZH108" s="116"/>
      <c r="RZI108" s="116"/>
      <c r="RZJ108" s="116"/>
      <c r="RZK108" s="116"/>
      <c r="RZL108" s="116"/>
      <c r="RZM108" s="116"/>
      <c r="RZN108" s="116"/>
      <c r="RZO108" s="116"/>
      <c r="RZP108" s="116"/>
      <c r="RZQ108" s="116"/>
      <c r="RZR108" s="116"/>
      <c r="RZS108" s="116"/>
      <c r="RZT108" s="116"/>
      <c r="RZU108" s="116"/>
      <c r="RZV108" s="116"/>
      <c r="RZW108" s="116"/>
      <c r="RZX108" s="116"/>
      <c r="RZY108" s="116"/>
      <c r="RZZ108" s="116"/>
      <c r="SAA108" s="116"/>
      <c r="SAB108" s="116"/>
      <c r="SAC108" s="116"/>
      <c r="SAD108" s="116"/>
      <c r="SAE108" s="116"/>
      <c r="SAF108" s="116"/>
      <c r="SAG108" s="116"/>
      <c r="SAH108" s="116"/>
      <c r="SAI108" s="116"/>
      <c r="SAJ108" s="116"/>
      <c r="SAK108" s="116"/>
      <c r="SAL108" s="116"/>
      <c r="SAM108" s="116"/>
      <c r="SAN108" s="116"/>
      <c r="SAO108" s="116"/>
      <c r="SAP108" s="116"/>
      <c r="SAQ108" s="116"/>
      <c r="SAR108" s="116"/>
      <c r="SAS108" s="116"/>
      <c r="SAT108" s="116"/>
      <c r="SAU108" s="116"/>
      <c r="SAV108" s="116"/>
      <c r="SAW108" s="116"/>
      <c r="SAX108" s="116"/>
      <c r="SAY108" s="116"/>
      <c r="SAZ108" s="116"/>
      <c r="SBA108" s="116"/>
      <c r="SBB108" s="116"/>
      <c r="SBC108" s="116"/>
      <c r="SBD108" s="116"/>
      <c r="SBE108" s="116"/>
      <c r="SBF108" s="116"/>
      <c r="SBG108" s="116"/>
      <c r="SBH108" s="116"/>
      <c r="SBI108" s="116"/>
      <c r="SBJ108" s="116"/>
      <c r="SBK108" s="116"/>
      <c r="SBL108" s="116"/>
      <c r="SBM108" s="116"/>
      <c r="SBN108" s="116"/>
      <c r="SBO108" s="116"/>
      <c r="SBP108" s="116"/>
      <c r="SBQ108" s="116"/>
      <c r="SBR108" s="116"/>
      <c r="SBS108" s="116"/>
      <c r="SBT108" s="116"/>
      <c r="SBU108" s="116"/>
      <c r="SBV108" s="116"/>
      <c r="SBW108" s="116"/>
      <c r="SBX108" s="116"/>
      <c r="SBY108" s="116"/>
      <c r="SBZ108" s="116"/>
      <c r="SCA108" s="116"/>
      <c r="SCB108" s="116"/>
      <c r="SCC108" s="116"/>
      <c r="SCD108" s="116"/>
      <c r="SCE108" s="116"/>
      <c r="SCF108" s="116"/>
      <c r="SCG108" s="116"/>
      <c r="SCH108" s="116"/>
      <c r="SCI108" s="116"/>
      <c r="SCJ108" s="116"/>
      <c r="SCK108" s="116"/>
      <c r="SCL108" s="116"/>
      <c r="SCM108" s="116"/>
      <c r="SCN108" s="116"/>
      <c r="SCO108" s="116"/>
      <c r="SCP108" s="116"/>
      <c r="SCQ108" s="116"/>
      <c r="SCR108" s="116"/>
      <c r="SCS108" s="116"/>
      <c r="SCT108" s="116"/>
      <c r="SCU108" s="116"/>
      <c r="SCV108" s="116"/>
      <c r="SCW108" s="116"/>
      <c r="SCX108" s="116"/>
      <c r="SCY108" s="116"/>
      <c r="SCZ108" s="116"/>
      <c r="SDA108" s="116"/>
      <c r="SDB108" s="116"/>
      <c r="SDC108" s="116"/>
      <c r="SDD108" s="116"/>
      <c r="SDE108" s="116"/>
      <c r="SDF108" s="116"/>
      <c r="SDG108" s="116"/>
      <c r="SDH108" s="116"/>
      <c r="SDI108" s="116"/>
      <c r="SDJ108" s="116"/>
      <c r="SDK108" s="116"/>
      <c r="SDL108" s="116"/>
      <c r="SDM108" s="116"/>
      <c r="SDN108" s="116"/>
      <c r="SDO108" s="116"/>
      <c r="SDP108" s="116"/>
      <c r="SDQ108" s="116"/>
      <c r="SDR108" s="116"/>
      <c r="SDS108" s="116"/>
      <c r="SDT108" s="116"/>
      <c r="SDU108" s="116"/>
      <c r="SDV108" s="116"/>
      <c r="SDW108" s="116"/>
      <c r="SDX108" s="116"/>
      <c r="SDY108" s="116"/>
      <c r="SDZ108" s="116"/>
      <c r="SEA108" s="116"/>
      <c r="SEB108" s="116"/>
      <c r="SEC108" s="116"/>
      <c r="SED108" s="116"/>
      <c r="SEE108" s="116"/>
      <c r="SEF108" s="116"/>
      <c r="SEG108" s="116"/>
      <c r="SEH108" s="116"/>
      <c r="SEI108" s="116"/>
      <c r="SEJ108" s="116"/>
      <c r="SEK108" s="116"/>
      <c r="SEL108" s="116"/>
      <c r="SEM108" s="116"/>
      <c r="SEN108" s="116"/>
      <c r="SEO108" s="116"/>
      <c r="SEP108" s="116"/>
      <c r="SEQ108" s="116"/>
      <c r="SER108" s="116"/>
      <c r="SES108" s="116"/>
      <c r="SET108" s="116"/>
      <c r="SEU108" s="116"/>
      <c r="SEV108" s="116"/>
      <c r="SEW108" s="116"/>
      <c r="SEX108" s="116"/>
      <c r="SEY108" s="116"/>
      <c r="SEZ108" s="116"/>
      <c r="SFA108" s="116"/>
      <c r="SFB108" s="116"/>
      <c r="SFC108" s="116"/>
      <c r="SFD108" s="116"/>
      <c r="SFE108" s="116"/>
      <c r="SFF108" s="116"/>
      <c r="SFG108" s="116"/>
      <c r="SFH108" s="116"/>
      <c r="SFI108" s="116"/>
      <c r="SFJ108" s="116"/>
      <c r="SFK108" s="116"/>
      <c r="SFL108" s="116"/>
      <c r="SFM108" s="116"/>
      <c r="SFN108" s="116"/>
      <c r="SFO108" s="116"/>
      <c r="SFP108" s="116"/>
      <c r="SFQ108" s="116"/>
      <c r="SFR108" s="116"/>
      <c r="SFS108" s="116"/>
      <c r="SFT108" s="116"/>
      <c r="SFU108" s="116"/>
      <c r="SFV108" s="116"/>
      <c r="SFW108" s="116"/>
      <c r="SFX108" s="116"/>
      <c r="SFY108" s="116"/>
      <c r="SFZ108" s="116"/>
      <c r="SGA108" s="116"/>
      <c r="SGB108" s="116"/>
      <c r="SGC108" s="116"/>
      <c r="SGD108" s="116"/>
      <c r="SGE108" s="116"/>
      <c r="SGF108" s="116"/>
      <c r="SGG108" s="116"/>
      <c r="SGH108" s="116"/>
      <c r="SGI108" s="116"/>
      <c r="SGJ108" s="116"/>
      <c r="SGK108" s="116"/>
      <c r="SGL108" s="116"/>
      <c r="SGM108" s="116"/>
      <c r="SGN108" s="116"/>
      <c r="SGO108" s="116"/>
      <c r="SGP108" s="116"/>
      <c r="SGQ108" s="116"/>
      <c r="SGR108" s="116"/>
      <c r="SGS108" s="116"/>
      <c r="SGT108" s="116"/>
      <c r="SGU108" s="116"/>
      <c r="SGV108" s="116"/>
      <c r="SGW108" s="116"/>
      <c r="SGX108" s="116"/>
      <c r="SGY108" s="116"/>
      <c r="SGZ108" s="116"/>
      <c r="SHA108" s="116"/>
      <c r="SHB108" s="116"/>
      <c r="SHC108" s="116"/>
      <c r="SHD108" s="116"/>
      <c r="SHE108" s="116"/>
      <c r="SHF108" s="116"/>
      <c r="SHG108" s="116"/>
      <c r="SHH108" s="116"/>
      <c r="SHI108" s="116"/>
      <c r="SHJ108" s="116"/>
      <c r="SHK108" s="116"/>
      <c r="SHL108" s="116"/>
      <c r="SHM108" s="116"/>
      <c r="SHN108" s="116"/>
      <c r="SHO108" s="116"/>
      <c r="SHP108" s="116"/>
      <c r="SHQ108" s="116"/>
      <c r="SHR108" s="116"/>
      <c r="SHS108" s="116"/>
      <c r="SHT108" s="116"/>
      <c r="SHU108" s="116"/>
      <c r="SHV108" s="116"/>
      <c r="SHW108" s="116"/>
      <c r="SHX108" s="116"/>
      <c r="SHY108" s="116"/>
      <c r="SHZ108" s="116"/>
      <c r="SIA108" s="116"/>
      <c r="SIB108" s="116"/>
      <c r="SIC108" s="116"/>
      <c r="SID108" s="116"/>
      <c r="SIE108" s="116"/>
      <c r="SIF108" s="116"/>
      <c r="SIG108" s="116"/>
      <c r="SIH108" s="116"/>
      <c r="SII108" s="116"/>
      <c r="SIJ108" s="116"/>
      <c r="SIK108" s="116"/>
      <c r="SIL108" s="116"/>
      <c r="SIM108" s="116"/>
      <c r="SIN108" s="116"/>
      <c r="SIO108" s="116"/>
      <c r="SIP108" s="116"/>
      <c r="SIQ108" s="116"/>
      <c r="SIR108" s="116"/>
      <c r="SIS108" s="116"/>
      <c r="SIT108" s="116"/>
      <c r="SIU108" s="116"/>
      <c r="SIV108" s="116"/>
      <c r="SIW108" s="116"/>
      <c r="SIX108" s="116"/>
      <c r="SIY108" s="116"/>
      <c r="SIZ108" s="116"/>
      <c r="SJA108" s="116"/>
      <c r="SJB108" s="116"/>
      <c r="SJC108" s="116"/>
      <c r="SJD108" s="116"/>
      <c r="SJE108" s="116"/>
      <c r="SJF108" s="116"/>
      <c r="SJG108" s="116"/>
      <c r="SJH108" s="116"/>
      <c r="SJI108" s="116"/>
      <c r="SJJ108" s="116"/>
      <c r="SJK108" s="116"/>
      <c r="SJL108" s="116"/>
      <c r="SJM108" s="116"/>
      <c r="SJN108" s="116"/>
      <c r="SJO108" s="116"/>
      <c r="SJP108" s="116"/>
      <c r="SJQ108" s="116"/>
      <c r="SJR108" s="116"/>
      <c r="SJS108" s="116"/>
      <c r="SJT108" s="116"/>
      <c r="SJU108" s="116"/>
      <c r="SJV108" s="116"/>
      <c r="SJW108" s="116"/>
      <c r="SJX108" s="116"/>
      <c r="SJY108" s="116"/>
      <c r="SJZ108" s="116"/>
      <c r="SKA108" s="116"/>
      <c r="SKB108" s="116"/>
      <c r="SKC108" s="116"/>
      <c r="SKD108" s="116"/>
      <c r="SKE108" s="116"/>
      <c r="SKF108" s="116"/>
      <c r="SKG108" s="116"/>
      <c r="SKH108" s="116"/>
      <c r="SKI108" s="116"/>
      <c r="SKJ108" s="116"/>
      <c r="SKK108" s="116"/>
      <c r="SKL108" s="116"/>
      <c r="SKM108" s="116"/>
      <c r="SKN108" s="116"/>
      <c r="SKO108" s="116"/>
      <c r="SKP108" s="116"/>
      <c r="SKQ108" s="116"/>
      <c r="SKR108" s="116"/>
      <c r="SKS108" s="116"/>
      <c r="SKT108" s="116"/>
      <c r="SKU108" s="116"/>
      <c r="SKV108" s="116"/>
      <c r="SKW108" s="116"/>
      <c r="SKX108" s="116"/>
      <c r="SKY108" s="116"/>
      <c r="SKZ108" s="116"/>
      <c r="SLA108" s="116"/>
      <c r="SLB108" s="116"/>
      <c r="SLC108" s="116"/>
      <c r="SLD108" s="116"/>
      <c r="SLE108" s="116"/>
      <c r="SLF108" s="116"/>
      <c r="SLG108" s="116"/>
      <c r="SLH108" s="116"/>
      <c r="SLI108" s="116"/>
      <c r="SLJ108" s="116"/>
      <c r="SLK108" s="116"/>
      <c r="SLL108" s="116"/>
      <c r="SLM108" s="116"/>
      <c r="SLN108" s="116"/>
      <c r="SLO108" s="116"/>
      <c r="SLP108" s="116"/>
      <c r="SLQ108" s="116"/>
      <c r="SLR108" s="116"/>
      <c r="SLS108" s="116"/>
      <c r="SLT108" s="116"/>
      <c r="SLU108" s="116"/>
      <c r="SLV108" s="116"/>
      <c r="SLW108" s="116"/>
      <c r="SLX108" s="116"/>
      <c r="SLY108" s="116"/>
      <c r="SLZ108" s="116"/>
      <c r="SMA108" s="116"/>
      <c r="SMB108" s="116"/>
      <c r="SMC108" s="116"/>
      <c r="SMD108" s="116"/>
      <c r="SME108" s="116"/>
      <c r="SMF108" s="116"/>
      <c r="SMG108" s="116"/>
      <c r="SMH108" s="116"/>
      <c r="SMI108" s="116"/>
      <c r="SMJ108" s="116"/>
      <c r="SMK108" s="116"/>
      <c r="SML108" s="116"/>
      <c r="SMM108" s="116"/>
      <c r="SMN108" s="116"/>
      <c r="SMO108" s="116"/>
      <c r="SMP108" s="116"/>
      <c r="SMQ108" s="116"/>
      <c r="SMR108" s="116"/>
      <c r="SMS108" s="116"/>
      <c r="SMT108" s="116"/>
      <c r="SMU108" s="116"/>
      <c r="SMV108" s="116"/>
      <c r="SMW108" s="116"/>
      <c r="SMX108" s="116"/>
      <c r="SMY108" s="116"/>
      <c r="SMZ108" s="116"/>
      <c r="SNA108" s="116"/>
      <c r="SNB108" s="116"/>
      <c r="SNC108" s="116"/>
      <c r="SND108" s="116"/>
      <c r="SNE108" s="116"/>
      <c r="SNF108" s="116"/>
      <c r="SNG108" s="116"/>
      <c r="SNH108" s="116"/>
      <c r="SNI108" s="116"/>
      <c r="SNJ108" s="116"/>
      <c r="SNK108" s="116"/>
      <c r="SNL108" s="116"/>
      <c r="SNM108" s="116"/>
      <c r="SNN108" s="116"/>
      <c r="SNO108" s="116"/>
      <c r="SNP108" s="116"/>
      <c r="SNQ108" s="116"/>
      <c r="SNR108" s="116"/>
      <c r="SNS108" s="116"/>
      <c r="SNT108" s="116"/>
      <c r="SNU108" s="116"/>
      <c r="SNV108" s="116"/>
      <c r="SNW108" s="116"/>
      <c r="SNX108" s="116"/>
      <c r="SNY108" s="116"/>
      <c r="SNZ108" s="116"/>
      <c r="SOA108" s="116"/>
      <c r="SOB108" s="116"/>
      <c r="SOC108" s="116"/>
      <c r="SOD108" s="116"/>
      <c r="SOE108" s="116"/>
      <c r="SOF108" s="116"/>
      <c r="SOG108" s="116"/>
      <c r="SOH108" s="116"/>
      <c r="SOI108" s="116"/>
      <c r="SOJ108" s="116"/>
      <c r="SOK108" s="116"/>
      <c r="SOL108" s="116"/>
      <c r="SOM108" s="116"/>
      <c r="SON108" s="116"/>
      <c r="SOO108" s="116"/>
      <c r="SOP108" s="116"/>
      <c r="SOQ108" s="116"/>
      <c r="SOR108" s="116"/>
      <c r="SOS108" s="116"/>
      <c r="SOT108" s="116"/>
      <c r="SOU108" s="116"/>
      <c r="SOV108" s="116"/>
      <c r="SOW108" s="116"/>
      <c r="SOX108" s="116"/>
      <c r="SOY108" s="116"/>
      <c r="SOZ108" s="116"/>
      <c r="SPA108" s="116"/>
      <c r="SPB108" s="116"/>
      <c r="SPC108" s="116"/>
      <c r="SPD108" s="116"/>
      <c r="SPE108" s="116"/>
      <c r="SPF108" s="116"/>
      <c r="SPG108" s="116"/>
      <c r="SPH108" s="116"/>
      <c r="SPI108" s="116"/>
      <c r="SPJ108" s="116"/>
      <c r="SPK108" s="116"/>
      <c r="SPL108" s="116"/>
      <c r="SPM108" s="116"/>
      <c r="SPN108" s="116"/>
      <c r="SPO108" s="116"/>
      <c r="SPP108" s="116"/>
      <c r="SPQ108" s="116"/>
      <c r="SPR108" s="116"/>
      <c r="SPS108" s="116"/>
      <c r="SPT108" s="116"/>
      <c r="SPU108" s="116"/>
      <c r="SPV108" s="116"/>
      <c r="SPW108" s="116"/>
      <c r="SPX108" s="116"/>
      <c r="SPY108" s="116"/>
      <c r="SPZ108" s="116"/>
      <c r="SQA108" s="116"/>
      <c r="SQB108" s="116"/>
      <c r="SQC108" s="116"/>
      <c r="SQD108" s="116"/>
      <c r="SQE108" s="116"/>
      <c r="SQF108" s="116"/>
      <c r="SQG108" s="116"/>
      <c r="SQH108" s="116"/>
      <c r="SQI108" s="116"/>
      <c r="SQJ108" s="116"/>
      <c r="SQK108" s="116"/>
      <c r="SQL108" s="116"/>
      <c r="SQM108" s="116"/>
      <c r="SQN108" s="116"/>
      <c r="SQO108" s="116"/>
      <c r="SQP108" s="116"/>
      <c r="SQQ108" s="116"/>
      <c r="SQR108" s="116"/>
      <c r="SQS108" s="116"/>
      <c r="SQT108" s="116"/>
      <c r="SQU108" s="116"/>
      <c r="SQV108" s="116"/>
      <c r="SQW108" s="116"/>
      <c r="SQX108" s="116"/>
      <c r="SQY108" s="116"/>
      <c r="SQZ108" s="116"/>
      <c r="SRA108" s="116"/>
      <c r="SRB108" s="116"/>
      <c r="SRC108" s="116"/>
      <c r="SRD108" s="116"/>
      <c r="SRE108" s="116"/>
      <c r="SRF108" s="116"/>
      <c r="SRG108" s="116"/>
      <c r="SRH108" s="116"/>
      <c r="SRI108" s="116"/>
      <c r="SRJ108" s="116"/>
      <c r="SRK108" s="116"/>
      <c r="SRL108" s="116"/>
      <c r="SRM108" s="116"/>
      <c r="SRN108" s="116"/>
      <c r="SRO108" s="116"/>
      <c r="SRP108" s="116"/>
      <c r="SRQ108" s="116"/>
      <c r="SRR108" s="116"/>
      <c r="SRS108" s="116"/>
      <c r="SRT108" s="116"/>
      <c r="SRU108" s="116"/>
      <c r="SRV108" s="116"/>
      <c r="SRW108" s="116"/>
      <c r="SRX108" s="116"/>
      <c r="SRY108" s="116"/>
      <c r="SRZ108" s="116"/>
      <c r="SSA108" s="116"/>
      <c r="SSB108" s="116"/>
      <c r="SSC108" s="116"/>
      <c r="SSD108" s="116"/>
      <c r="SSE108" s="116"/>
      <c r="SSF108" s="116"/>
      <c r="SSG108" s="116"/>
      <c r="SSH108" s="116"/>
      <c r="SSI108" s="116"/>
      <c r="SSJ108" s="116"/>
      <c r="SSK108" s="116"/>
      <c r="SSL108" s="116"/>
      <c r="SSM108" s="116"/>
      <c r="SSN108" s="116"/>
      <c r="SSO108" s="116"/>
      <c r="SSP108" s="116"/>
      <c r="SSQ108" s="116"/>
      <c r="SSR108" s="116"/>
      <c r="SSS108" s="116"/>
      <c r="SST108" s="116"/>
      <c r="SSU108" s="116"/>
      <c r="SSV108" s="116"/>
      <c r="SSW108" s="116"/>
      <c r="SSX108" s="116"/>
      <c r="SSY108" s="116"/>
      <c r="SSZ108" s="116"/>
      <c r="STA108" s="116"/>
      <c r="STB108" s="116"/>
      <c r="STC108" s="116"/>
      <c r="STD108" s="116"/>
      <c r="STE108" s="116"/>
      <c r="STF108" s="116"/>
      <c r="STG108" s="116"/>
      <c r="STH108" s="116"/>
      <c r="STI108" s="116"/>
      <c r="STJ108" s="116"/>
      <c r="STK108" s="116"/>
      <c r="STL108" s="116"/>
      <c r="STM108" s="116"/>
      <c r="STN108" s="116"/>
      <c r="STO108" s="116"/>
      <c r="STP108" s="116"/>
      <c r="STQ108" s="116"/>
      <c r="STR108" s="116"/>
      <c r="STS108" s="116"/>
      <c r="STT108" s="116"/>
      <c r="STU108" s="116"/>
      <c r="STV108" s="116"/>
      <c r="STW108" s="116"/>
      <c r="STX108" s="116"/>
      <c r="STY108" s="116"/>
      <c r="STZ108" s="116"/>
      <c r="SUA108" s="116"/>
      <c r="SUB108" s="116"/>
      <c r="SUC108" s="116"/>
      <c r="SUD108" s="116"/>
      <c r="SUE108" s="116"/>
      <c r="SUF108" s="116"/>
      <c r="SUG108" s="116"/>
      <c r="SUH108" s="116"/>
      <c r="SUI108" s="116"/>
      <c r="SUJ108" s="116"/>
      <c r="SUK108" s="116"/>
      <c r="SUL108" s="116"/>
      <c r="SUM108" s="116"/>
      <c r="SUN108" s="116"/>
      <c r="SUO108" s="116"/>
      <c r="SUP108" s="116"/>
      <c r="SUQ108" s="116"/>
      <c r="SUR108" s="116"/>
      <c r="SUS108" s="116"/>
      <c r="SUT108" s="116"/>
      <c r="SUU108" s="116"/>
      <c r="SUV108" s="116"/>
      <c r="SUW108" s="116"/>
      <c r="SUX108" s="116"/>
      <c r="SUY108" s="116"/>
      <c r="SUZ108" s="116"/>
      <c r="SVA108" s="116"/>
      <c r="SVB108" s="116"/>
      <c r="SVC108" s="116"/>
      <c r="SVD108" s="116"/>
      <c r="SVE108" s="116"/>
      <c r="SVF108" s="116"/>
      <c r="SVG108" s="116"/>
      <c r="SVH108" s="116"/>
      <c r="SVI108" s="116"/>
      <c r="SVJ108" s="116"/>
      <c r="SVK108" s="116"/>
      <c r="SVL108" s="116"/>
      <c r="SVM108" s="116"/>
      <c r="SVN108" s="116"/>
      <c r="SVO108" s="116"/>
      <c r="SVP108" s="116"/>
      <c r="SVQ108" s="116"/>
      <c r="SVR108" s="116"/>
      <c r="SVS108" s="116"/>
      <c r="SVT108" s="116"/>
      <c r="SVU108" s="116"/>
      <c r="SVV108" s="116"/>
      <c r="SVW108" s="116"/>
      <c r="SVX108" s="116"/>
      <c r="SVY108" s="116"/>
      <c r="SVZ108" s="116"/>
      <c r="SWA108" s="116"/>
      <c r="SWB108" s="116"/>
      <c r="SWC108" s="116"/>
      <c r="SWD108" s="116"/>
      <c r="SWE108" s="116"/>
      <c r="SWF108" s="116"/>
      <c r="SWG108" s="116"/>
      <c r="SWH108" s="116"/>
      <c r="SWI108" s="116"/>
      <c r="SWJ108" s="116"/>
      <c r="SWK108" s="116"/>
      <c r="SWL108" s="116"/>
      <c r="SWM108" s="116"/>
      <c r="SWN108" s="116"/>
      <c r="SWO108" s="116"/>
      <c r="SWP108" s="116"/>
      <c r="SWQ108" s="116"/>
      <c r="SWR108" s="116"/>
      <c r="SWS108" s="116"/>
      <c r="SWT108" s="116"/>
      <c r="SWU108" s="116"/>
      <c r="SWV108" s="116"/>
      <c r="SWW108" s="116"/>
      <c r="SWX108" s="116"/>
      <c r="SWY108" s="116"/>
      <c r="SWZ108" s="116"/>
      <c r="SXA108" s="116"/>
      <c r="SXB108" s="116"/>
      <c r="SXC108" s="116"/>
      <c r="SXD108" s="116"/>
      <c r="SXE108" s="116"/>
      <c r="SXF108" s="116"/>
      <c r="SXG108" s="116"/>
      <c r="SXH108" s="116"/>
      <c r="SXI108" s="116"/>
      <c r="SXJ108" s="116"/>
      <c r="SXK108" s="116"/>
      <c r="SXL108" s="116"/>
      <c r="SXM108" s="116"/>
      <c r="SXN108" s="116"/>
      <c r="SXO108" s="116"/>
      <c r="SXP108" s="116"/>
      <c r="SXQ108" s="116"/>
      <c r="SXR108" s="116"/>
      <c r="SXS108" s="116"/>
      <c r="SXT108" s="116"/>
      <c r="SXU108" s="116"/>
      <c r="SXV108" s="116"/>
      <c r="SXW108" s="116"/>
      <c r="SXX108" s="116"/>
      <c r="SXY108" s="116"/>
      <c r="SXZ108" s="116"/>
      <c r="SYA108" s="116"/>
      <c r="SYB108" s="116"/>
      <c r="SYC108" s="116"/>
      <c r="SYD108" s="116"/>
      <c r="SYE108" s="116"/>
      <c r="SYF108" s="116"/>
      <c r="SYG108" s="116"/>
      <c r="SYH108" s="116"/>
      <c r="SYI108" s="116"/>
      <c r="SYJ108" s="116"/>
      <c r="SYK108" s="116"/>
      <c r="SYL108" s="116"/>
      <c r="SYM108" s="116"/>
      <c r="SYN108" s="116"/>
      <c r="SYO108" s="116"/>
      <c r="SYP108" s="116"/>
      <c r="SYQ108" s="116"/>
      <c r="SYR108" s="116"/>
      <c r="SYS108" s="116"/>
      <c r="SYT108" s="116"/>
      <c r="SYU108" s="116"/>
      <c r="SYV108" s="116"/>
      <c r="SYW108" s="116"/>
      <c r="SYX108" s="116"/>
      <c r="SYY108" s="116"/>
      <c r="SYZ108" s="116"/>
      <c r="SZA108" s="116"/>
      <c r="SZB108" s="116"/>
      <c r="SZC108" s="116"/>
      <c r="SZD108" s="116"/>
      <c r="SZE108" s="116"/>
      <c r="SZF108" s="116"/>
      <c r="SZG108" s="116"/>
      <c r="SZH108" s="116"/>
      <c r="SZI108" s="116"/>
      <c r="SZJ108" s="116"/>
      <c r="SZK108" s="116"/>
      <c r="SZL108" s="116"/>
      <c r="SZM108" s="116"/>
      <c r="SZN108" s="116"/>
      <c r="SZO108" s="116"/>
      <c r="SZP108" s="116"/>
      <c r="SZQ108" s="116"/>
      <c r="SZR108" s="116"/>
      <c r="SZS108" s="116"/>
      <c r="SZT108" s="116"/>
      <c r="SZU108" s="116"/>
      <c r="SZV108" s="116"/>
      <c r="SZW108" s="116"/>
      <c r="SZX108" s="116"/>
      <c r="SZY108" s="116"/>
      <c r="SZZ108" s="116"/>
      <c r="TAA108" s="116"/>
      <c r="TAB108" s="116"/>
      <c r="TAC108" s="116"/>
      <c r="TAD108" s="116"/>
      <c r="TAE108" s="116"/>
      <c r="TAF108" s="116"/>
      <c r="TAG108" s="116"/>
      <c r="TAH108" s="116"/>
      <c r="TAI108" s="116"/>
      <c r="TAJ108" s="116"/>
      <c r="TAK108" s="116"/>
      <c r="TAL108" s="116"/>
      <c r="TAM108" s="116"/>
      <c r="TAN108" s="116"/>
      <c r="TAO108" s="116"/>
      <c r="TAP108" s="116"/>
      <c r="TAQ108" s="116"/>
      <c r="TAR108" s="116"/>
      <c r="TAS108" s="116"/>
      <c r="TAT108" s="116"/>
      <c r="TAU108" s="116"/>
      <c r="TAV108" s="116"/>
      <c r="TAW108" s="116"/>
      <c r="TAX108" s="116"/>
      <c r="TAY108" s="116"/>
      <c r="TAZ108" s="116"/>
      <c r="TBA108" s="116"/>
      <c r="TBB108" s="116"/>
      <c r="TBC108" s="116"/>
      <c r="TBD108" s="116"/>
      <c r="TBE108" s="116"/>
      <c r="TBF108" s="116"/>
      <c r="TBG108" s="116"/>
      <c r="TBH108" s="116"/>
      <c r="TBI108" s="116"/>
      <c r="TBJ108" s="116"/>
      <c r="TBK108" s="116"/>
      <c r="TBL108" s="116"/>
      <c r="TBM108" s="116"/>
      <c r="TBN108" s="116"/>
      <c r="TBO108" s="116"/>
      <c r="TBP108" s="116"/>
      <c r="TBQ108" s="116"/>
      <c r="TBR108" s="116"/>
      <c r="TBS108" s="116"/>
      <c r="TBT108" s="116"/>
      <c r="TBU108" s="116"/>
      <c r="TBV108" s="116"/>
      <c r="TBW108" s="116"/>
      <c r="TBX108" s="116"/>
      <c r="TBY108" s="116"/>
      <c r="TBZ108" s="116"/>
      <c r="TCA108" s="116"/>
      <c r="TCB108" s="116"/>
      <c r="TCC108" s="116"/>
      <c r="TCD108" s="116"/>
      <c r="TCE108" s="116"/>
      <c r="TCF108" s="116"/>
      <c r="TCG108" s="116"/>
      <c r="TCH108" s="116"/>
      <c r="TCI108" s="116"/>
      <c r="TCJ108" s="116"/>
      <c r="TCK108" s="116"/>
      <c r="TCL108" s="116"/>
      <c r="TCM108" s="116"/>
      <c r="TCN108" s="116"/>
      <c r="TCO108" s="116"/>
      <c r="TCP108" s="116"/>
      <c r="TCQ108" s="116"/>
      <c r="TCR108" s="116"/>
      <c r="TCS108" s="116"/>
      <c r="TCT108" s="116"/>
      <c r="TCU108" s="116"/>
      <c r="TCV108" s="116"/>
      <c r="TCW108" s="116"/>
      <c r="TCX108" s="116"/>
      <c r="TCY108" s="116"/>
      <c r="TCZ108" s="116"/>
      <c r="TDA108" s="116"/>
      <c r="TDB108" s="116"/>
      <c r="TDC108" s="116"/>
      <c r="TDD108" s="116"/>
      <c r="TDE108" s="116"/>
      <c r="TDF108" s="116"/>
      <c r="TDG108" s="116"/>
      <c r="TDH108" s="116"/>
      <c r="TDI108" s="116"/>
      <c r="TDJ108" s="116"/>
      <c r="TDK108" s="116"/>
      <c r="TDL108" s="116"/>
      <c r="TDM108" s="116"/>
      <c r="TDN108" s="116"/>
      <c r="TDO108" s="116"/>
      <c r="TDP108" s="116"/>
      <c r="TDQ108" s="116"/>
      <c r="TDR108" s="116"/>
      <c r="TDS108" s="116"/>
      <c r="TDT108" s="116"/>
      <c r="TDU108" s="116"/>
      <c r="TDV108" s="116"/>
      <c r="TDW108" s="116"/>
      <c r="TDX108" s="116"/>
      <c r="TDY108" s="116"/>
      <c r="TDZ108" s="116"/>
      <c r="TEA108" s="116"/>
      <c r="TEB108" s="116"/>
      <c r="TEC108" s="116"/>
      <c r="TED108" s="116"/>
      <c r="TEE108" s="116"/>
      <c r="TEF108" s="116"/>
      <c r="TEG108" s="116"/>
      <c r="TEH108" s="116"/>
      <c r="TEI108" s="116"/>
      <c r="TEJ108" s="116"/>
      <c r="TEK108" s="116"/>
      <c r="TEL108" s="116"/>
      <c r="TEM108" s="116"/>
      <c r="TEN108" s="116"/>
      <c r="TEO108" s="116"/>
      <c r="TEP108" s="116"/>
      <c r="TEQ108" s="116"/>
      <c r="TER108" s="116"/>
      <c r="TES108" s="116"/>
      <c r="TET108" s="116"/>
      <c r="TEU108" s="116"/>
      <c r="TEV108" s="116"/>
      <c r="TEW108" s="116"/>
      <c r="TEX108" s="116"/>
      <c r="TEY108" s="116"/>
      <c r="TEZ108" s="116"/>
      <c r="TFA108" s="116"/>
      <c r="TFB108" s="116"/>
      <c r="TFC108" s="116"/>
      <c r="TFD108" s="116"/>
      <c r="TFE108" s="116"/>
      <c r="TFF108" s="116"/>
      <c r="TFG108" s="116"/>
      <c r="TFH108" s="116"/>
      <c r="TFI108" s="116"/>
      <c r="TFJ108" s="116"/>
      <c r="TFK108" s="116"/>
      <c r="TFL108" s="116"/>
      <c r="TFM108" s="116"/>
      <c r="TFN108" s="116"/>
      <c r="TFO108" s="116"/>
      <c r="TFP108" s="116"/>
      <c r="TFQ108" s="116"/>
      <c r="TFR108" s="116"/>
      <c r="TFS108" s="116"/>
      <c r="TFT108" s="116"/>
      <c r="TFU108" s="116"/>
      <c r="TFV108" s="116"/>
      <c r="TFW108" s="116"/>
      <c r="TFX108" s="116"/>
      <c r="TFY108" s="116"/>
      <c r="TFZ108" s="116"/>
      <c r="TGA108" s="116"/>
      <c r="TGB108" s="116"/>
      <c r="TGC108" s="116"/>
      <c r="TGD108" s="116"/>
      <c r="TGE108" s="116"/>
      <c r="TGF108" s="116"/>
      <c r="TGG108" s="116"/>
      <c r="TGH108" s="116"/>
      <c r="TGI108" s="116"/>
      <c r="TGJ108" s="116"/>
      <c r="TGK108" s="116"/>
      <c r="TGL108" s="116"/>
      <c r="TGM108" s="116"/>
      <c r="TGN108" s="116"/>
      <c r="TGO108" s="116"/>
      <c r="TGP108" s="116"/>
      <c r="TGQ108" s="116"/>
      <c r="TGR108" s="116"/>
      <c r="TGS108" s="116"/>
      <c r="TGT108" s="116"/>
      <c r="TGU108" s="116"/>
      <c r="TGV108" s="116"/>
      <c r="TGW108" s="116"/>
      <c r="TGX108" s="116"/>
      <c r="TGY108" s="116"/>
      <c r="TGZ108" s="116"/>
      <c r="THA108" s="116"/>
      <c r="THB108" s="116"/>
      <c r="THC108" s="116"/>
      <c r="THD108" s="116"/>
      <c r="THE108" s="116"/>
      <c r="THF108" s="116"/>
      <c r="THG108" s="116"/>
      <c r="THH108" s="116"/>
      <c r="THI108" s="116"/>
      <c r="THJ108" s="116"/>
      <c r="THK108" s="116"/>
      <c r="THL108" s="116"/>
      <c r="THM108" s="116"/>
      <c r="THN108" s="116"/>
      <c r="THO108" s="116"/>
      <c r="THP108" s="116"/>
      <c r="THQ108" s="116"/>
      <c r="THR108" s="116"/>
      <c r="THS108" s="116"/>
      <c r="THT108" s="116"/>
      <c r="THU108" s="116"/>
      <c r="THV108" s="116"/>
      <c r="THW108" s="116"/>
      <c r="THX108" s="116"/>
      <c r="THY108" s="116"/>
      <c r="THZ108" s="116"/>
      <c r="TIA108" s="116"/>
      <c r="TIB108" s="116"/>
      <c r="TIC108" s="116"/>
      <c r="TID108" s="116"/>
      <c r="TIE108" s="116"/>
      <c r="TIF108" s="116"/>
      <c r="TIG108" s="116"/>
      <c r="TIH108" s="116"/>
      <c r="TII108" s="116"/>
      <c r="TIJ108" s="116"/>
      <c r="TIK108" s="116"/>
      <c r="TIL108" s="116"/>
      <c r="TIM108" s="116"/>
      <c r="TIN108" s="116"/>
      <c r="TIO108" s="116"/>
      <c r="TIP108" s="116"/>
      <c r="TIQ108" s="116"/>
      <c r="TIR108" s="116"/>
      <c r="TIS108" s="116"/>
      <c r="TIT108" s="116"/>
      <c r="TIU108" s="116"/>
      <c r="TIV108" s="116"/>
      <c r="TIW108" s="116"/>
      <c r="TIX108" s="116"/>
      <c r="TIY108" s="116"/>
      <c r="TIZ108" s="116"/>
      <c r="TJA108" s="116"/>
      <c r="TJB108" s="116"/>
      <c r="TJC108" s="116"/>
      <c r="TJD108" s="116"/>
      <c r="TJE108" s="116"/>
      <c r="TJF108" s="116"/>
      <c r="TJG108" s="116"/>
      <c r="TJH108" s="116"/>
      <c r="TJI108" s="116"/>
      <c r="TJJ108" s="116"/>
      <c r="TJK108" s="116"/>
      <c r="TJL108" s="116"/>
      <c r="TJM108" s="116"/>
      <c r="TJN108" s="116"/>
      <c r="TJO108" s="116"/>
      <c r="TJP108" s="116"/>
      <c r="TJQ108" s="116"/>
      <c r="TJR108" s="116"/>
      <c r="TJS108" s="116"/>
      <c r="TJT108" s="116"/>
      <c r="TJU108" s="116"/>
      <c r="TJV108" s="116"/>
      <c r="TJW108" s="116"/>
      <c r="TJX108" s="116"/>
      <c r="TJY108" s="116"/>
      <c r="TJZ108" s="116"/>
      <c r="TKA108" s="116"/>
      <c r="TKB108" s="116"/>
      <c r="TKC108" s="116"/>
      <c r="TKD108" s="116"/>
      <c r="TKE108" s="116"/>
      <c r="TKF108" s="116"/>
      <c r="TKG108" s="116"/>
      <c r="TKH108" s="116"/>
      <c r="TKI108" s="116"/>
      <c r="TKJ108" s="116"/>
      <c r="TKK108" s="116"/>
      <c r="TKL108" s="116"/>
      <c r="TKM108" s="116"/>
      <c r="TKN108" s="116"/>
      <c r="TKO108" s="116"/>
      <c r="TKP108" s="116"/>
      <c r="TKQ108" s="116"/>
      <c r="TKR108" s="116"/>
      <c r="TKS108" s="116"/>
      <c r="TKT108" s="116"/>
      <c r="TKU108" s="116"/>
      <c r="TKV108" s="116"/>
      <c r="TKW108" s="116"/>
      <c r="TKX108" s="116"/>
      <c r="TKY108" s="116"/>
      <c r="TKZ108" s="116"/>
      <c r="TLA108" s="116"/>
      <c r="TLB108" s="116"/>
      <c r="TLC108" s="116"/>
      <c r="TLD108" s="116"/>
      <c r="TLE108" s="116"/>
      <c r="TLF108" s="116"/>
      <c r="TLG108" s="116"/>
      <c r="TLH108" s="116"/>
      <c r="TLI108" s="116"/>
      <c r="TLJ108" s="116"/>
      <c r="TLK108" s="116"/>
      <c r="TLL108" s="116"/>
      <c r="TLM108" s="116"/>
      <c r="TLN108" s="116"/>
      <c r="TLO108" s="116"/>
      <c r="TLP108" s="116"/>
      <c r="TLQ108" s="116"/>
      <c r="TLR108" s="116"/>
      <c r="TLS108" s="116"/>
      <c r="TLT108" s="116"/>
      <c r="TLU108" s="116"/>
      <c r="TLV108" s="116"/>
      <c r="TLW108" s="116"/>
      <c r="TLX108" s="116"/>
      <c r="TLY108" s="116"/>
      <c r="TLZ108" s="116"/>
      <c r="TMA108" s="116"/>
      <c r="TMB108" s="116"/>
      <c r="TMC108" s="116"/>
      <c r="TMD108" s="116"/>
      <c r="TME108" s="116"/>
      <c r="TMF108" s="116"/>
      <c r="TMG108" s="116"/>
      <c r="TMH108" s="116"/>
      <c r="TMI108" s="116"/>
      <c r="TMJ108" s="116"/>
      <c r="TMK108" s="116"/>
      <c r="TML108" s="116"/>
      <c r="TMM108" s="116"/>
      <c r="TMN108" s="116"/>
      <c r="TMO108" s="116"/>
      <c r="TMP108" s="116"/>
      <c r="TMQ108" s="116"/>
      <c r="TMR108" s="116"/>
      <c r="TMS108" s="116"/>
      <c r="TMT108" s="116"/>
      <c r="TMU108" s="116"/>
      <c r="TMV108" s="116"/>
      <c r="TMW108" s="116"/>
      <c r="TMX108" s="116"/>
      <c r="TMY108" s="116"/>
      <c r="TMZ108" s="116"/>
      <c r="TNA108" s="116"/>
      <c r="TNB108" s="116"/>
      <c r="TNC108" s="116"/>
      <c r="TND108" s="116"/>
      <c r="TNE108" s="116"/>
      <c r="TNF108" s="116"/>
      <c r="TNG108" s="116"/>
      <c r="TNH108" s="116"/>
      <c r="TNI108" s="116"/>
      <c r="TNJ108" s="116"/>
      <c r="TNK108" s="116"/>
      <c r="TNL108" s="116"/>
      <c r="TNM108" s="116"/>
      <c r="TNN108" s="116"/>
      <c r="TNO108" s="116"/>
      <c r="TNP108" s="116"/>
      <c r="TNQ108" s="116"/>
      <c r="TNR108" s="116"/>
      <c r="TNS108" s="116"/>
      <c r="TNT108" s="116"/>
      <c r="TNU108" s="116"/>
      <c r="TNV108" s="116"/>
      <c r="TNW108" s="116"/>
      <c r="TNX108" s="116"/>
      <c r="TNY108" s="116"/>
      <c r="TNZ108" s="116"/>
      <c r="TOA108" s="116"/>
      <c r="TOB108" s="116"/>
      <c r="TOC108" s="116"/>
      <c r="TOD108" s="116"/>
      <c r="TOE108" s="116"/>
      <c r="TOF108" s="116"/>
      <c r="TOG108" s="116"/>
      <c r="TOH108" s="116"/>
      <c r="TOI108" s="116"/>
      <c r="TOJ108" s="116"/>
      <c r="TOK108" s="116"/>
      <c r="TOL108" s="116"/>
      <c r="TOM108" s="116"/>
      <c r="TON108" s="116"/>
      <c r="TOO108" s="116"/>
      <c r="TOP108" s="116"/>
      <c r="TOQ108" s="116"/>
      <c r="TOR108" s="116"/>
      <c r="TOS108" s="116"/>
      <c r="TOT108" s="116"/>
      <c r="TOU108" s="116"/>
      <c r="TOV108" s="116"/>
      <c r="TOW108" s="116"/>
      <c r="TOX108" s="116"/>
      <c r="TOY108" s="116"/>
      <c r="TOZ108" s="116"/>
      <c r="TPA108" s="116"/>
      <c r="TPB108" s="116"/>
      <c r="TPC108" s="116"/>
      <c r="TPD108" s="116"/>
      <c r="TPE108" s="116"/>
      <c r="TPF108" s="116"/>
      <c r="TPG108" s="116"/>
      <c r="TPH108" s="116"/>
      <c r="TPI108" s="116"/>
      <c r="TPJ108" s="116"/>
      <c r="TPK108" s="116"/>
      <c r="TPL108" s="116"/>
      <c r="TPM108" s="116"/>
      <c r="TPN108" s="116"/>
      <c r="TPO108" s="116"/>
      <c r="TPP108" s="116"/>
      <c r="TPQ108" s="116"/>
      <c r="TPR108" s="116"/>
      <c r="TPS108" s="116"/>
      <c r="TPT108" s="116"/>
      <c r="TPU108" s="116"/>
      <c r="TPV108" s="116"/>
      <c r="TPW108" s="116"/>
      <c r="TPX108" s="116"/>
      <c r="TPY108" s="116"/>
      <c r="TPZ108" s="116"/>
      <c r="TQA108" s="116"/>
      <c r="TQB108" s="116"/>
      <c r="TQC108" s="116"/>
      <c r="TQD108" s="116"/>
      <c r="TQE108" s="116"/>
      <c r="TQF108" s="116"/>
      <c r="TQG108" s="116"/>
      <c r="TQH108" s="116"/>
      <c r="TQI108" s="116"/>
      <c r="TQJ108" s="116"/>
      <c r="TQK108" s="116"/>
      <c r="TQL108" s="116"/>
      <c r="TQM108" s="116"/>
      <c r="TQN108" s="116"/>
      <c r="TQO108" s="116"/>
      <c r="TQP108" s="116"/>
      <c r="TQQ108" s="116"/>
      <c r="TQR108" s="116"/>
      <c r="TQS108" s="116"/>
      <c r="TQT108" s="116"/>
      <c r="TQU108" s="116"/>
      <c r="TQV108" s="116"/>
      <c r="TQW108" s="116"/>
      <c r="TQX108" s="116"/>
      <c r="TQY108" s="116"/>
      <c r="TQZ108" s="116"/>
      <c r="TRA108" s="116"/>
      <c r="TRB108" s="116"/>
      <c r="TRC108" s="116"/>
      <c r="TRD108" s="116"/>
      <c r="TRE108" s="116"/>
      <c r="TRF108" s="116"/>
      <c r="TRG108" s="116"/>
      <c r="TRH108" s="116"/>
      <c r="TRI108" s="116"/>
      <c r="TRJ108" s="116"/>
      <c r="TRK108" s="116"/>
      <c r="TRL108" s="116"/>
      <c r="TRM108" s="116"/>
      <c r="TRN108" s="116"/>
      <c r="TRO108" s="116"/>
      <c r="TRP108" s="116"/>
      <c r="TRQ108" s="116"/>
      <c r="TRR108" s="116"/>
      <c r="TRS108" s="116"/>
      <c r="TRT108" s="116"/>
      <c r="TRU108" s="116"/>
      <c r="TRV108" s="116"/>
      <c r="TRW108" s="116"/>
      <c r="TRX108" s="116"/>
      <c r="TRY108" s="116"/>
      <c r="TRZ108" s="116"/>
      <c r="TSA108" s="116"/>
      <c r="TSB108" s="116"/>
      <c r="TSC108" s="116"/>
      <c r="TSD108" s="116"/>
      <c r="TSE108" s="116"/>
      <c r="TSF108" s="116"/>
      <c r="TSG108" s="116"/>
      <c r="TSH108" s="116"/>
      <c r="TSI108" s="116"/>
      <c r="TSJ108" s="116"/>
      <c r="TSK108" s="116"/>
      <c r="TSL108" s="116"/>
      <c r="TSM108" s="116"/>
      <c r="TSN108" s="116"/>
      <c r="TSO108" s="116"/>
      <c r="TSP108" s="116"/>
      <c r="TSQ108" s="116"/>
      <c r="TSR108" s="116"/>
      <c r="TSS108" s="116"/>
      <c r="TST108" s="116"/>
      <c r="TSU108" s="116"/>
      <c r="TSV108" s="116"/>
      <c r="TSW108" s="116"/>
      <c r="TSX108" s="116"/>
      <c r="TSY108" s="116"/>
      <c r="TSZ108" s="116"/>
      <c r="TTA108" s="116"/>
      <c r="TTB108" s="116"/>
      <c r="TTC108" s="116"/>
      <c r="TTD108" s="116"/>
      <c r="TTE108" s="116"/>
      <c r="TTF108" s="116"/>
      <c r="TTG108" s="116"/>
      <c r="TTH108" s="116"/>
      <c r="TTI108" s="116"/>
      <c r="TTJ108" s="116"/>
      <c r="TTK108" s="116"/>
      <c r="TTL108" s="116"/>
      <c r="TTM108" s="116"/>
      <c r="TTN108" s="116"/>
      <c r="TTO108" s="116"/>
      <c r="TTP108" s="116"/>
      <c r="TTQ108" s="116"/>
      <c r="TTR108" s="116"/>
      <c r="TTS108" s="116"/>
      <c r="TTT108" s="116"/>
      <c r="TTU108" s="116"/>
      <c r="TTV108" s="116"/>
      <c r="TTW108" s="116"/>
      <c r="TTX108" s="116"/>
      <c r="TTY108" s="116"/>
      <c r="TTZ108" s="116"/>
      <c r="TUA108" s="116"/>
      <c r="TUB108" s="116"/>
      <c r="TUC108" s="116"/>
      <c r="TUD108" s="116"/>
      <c r="TUE108" s="116"/>
      <c r="TUF108" s="116"/>
      <c r="TUG108" s="116"/>
      <c r="TUH108" s="116"/>
      <c r="TUI108" s="116"/>
      <c r="TUJ108" s="116"/>
      <c r="TUK108" s="116"/>
      <c r="TUL108" s="116"/>
      <c r="TUM108" s="116"/>
      <c r="TUN108" s="116"/>
      <c r="TUO108" s="116"/>
      <c r="TUP108" s="116"/>
      <c r="TUQ108" s="116"/>
      <c r="TUR108" s="116"/>
      <c r="TUS108" s="116"/>
      <c r="TUT108" s="116"/>
      <c r="TUU108" s="116"/>
      <c r="TUV108" s="116"/>
      <c r="TUW108" s="116"/>
      <c r="TUX108" s="116"/>
      <c r="TUY108" s="116"/>
      <c r="TUZ108" s="116"/>
      <c r="TVA108" s="116"/>
      <c r="TVB108" s="116"/>
      <c r="TVC108" s="116"/>
      <c r="TVD108" s="116"/>
      <c r="TVE108" s="116"/>
      <c r="TVF108" s="116"/>
      <c r="TVG108" s="116"/>
      <c r="TVH108" s="116"/>
      <c r="TVI108" s="116"/>
      <c r="TVJ108" s="116"/>
      <c r="TVK108" s="116"/>
      <c r="TVL108" s="116"/>
      <c r="TVM108" s="116"/>
      <c r="TVN108" s="116"/>
      <c r="TVO108" s="116"/>
      <c r="TVP108" s="116"/>
      <c r="TVQ108" s="116"/>
      <c r="TVR108" s="116"/>
      <c r="TVS108" s="116"/>
      <c r="TVT108" s="116"/>
      <c r="TVU108" s="116"/>
      <c r="TVV108" s="116"/>
      <c r="TVW108" s="116"/>
      <c r="TVX108" s="116"/>
      <c r="TVY108" s="116"/>
      <c r="TVZ108" s="116"/>
      <c r="TWA108" s="116"/>
      <c r="TWB108" s="116"/>
      <c r="TWC108" s="116"/>
      <c r="TWD108" s="116"/>
      <c r="TWE108" s="116"/>
      <c r="TWF108" s="116"/>
      <c r="TWG108" s="116"/>
      <c r="TWH108" s="116"/>
      <c r="TWI108" s="116"/>
      <c r="TWJ108" s="116"/>
      <c r="TWK108" s="116"/>
      <c r="TWL108" s="116"/>
      <c r="TWM108" s="116"/>
      <c r="TWN108" s="116"/>
      <c r="TWO108" s="116"/>
      <c r="TWP108" s="116"/>
      <c r="TWQ108" s="116"/>
      <c r="TWR108" s="116"/>
      <c r="TWS108" s="116"/>
      <c r="TWT108" s="116"/>
      <c r="TWU108" s="116"/>
      <c r="TWV108" s="116"/>
      <c r="TWW108" s="116"/>
      <c r="TWX108" s="116"/>
      <c r="TWY108" s="116"/>
      <c r="TWZ108" s="116"/>
      <c r="TXA108" s="116"/>
      <c r="TXB108" s="116"/>
      <c r="TXC108" s="116"/>
      <c r="TXD108" s="116"/>
      <c r="TXE108" s="116"/>
      <c r="TXF108" s="116"/>
      <c r="TXG108" s="116"/>
      <c r="TXH108" s="116"/>
      <c r="TXI108" s="116"/>
      <c r="TXJ108" s="116"/>
      <c r="TXK108" s="116"/>
      <c r="TXL108" s="116"/>
      <c r="TXM108" s="116"/>
      <c r="TXN108" s="116"/>
      <c r="TXO108" s="116"/>
      <c r="TXP108" s="116"/>
      <c r="TXQ108" s="116"/>
      <c r="TXR108" s="116"/>
      <c r="TXS108" s="116"/>
      <c r="TXT108" s="116"/>
      <c r="TXU108" s="116"/>
      <c r="TXV108" s="116"/>
      <c r="TXW108" s="116"/>
      <c r="TXX108" s="116"/>
      <c r="TXY108" s="116"/>
      <c r="TXZ108" s="116"/>
      <c r="TYA108" s="116"/>
      <c r="TYB108" s="116"/>
      <c r="TYC108" s="116"/>
      <c r="TYD108" s="116"/>
      <c r="TYE108" s="116"/>
      <c r="TYF108" s="116"/>
      <c r="TYG108" s="116"/>
      <c r="TYH108" s="116"/>
      <c r="TYI108" s="116"/>
      <c r="TYJ108" s="116"/>
      <c r="TYK108" s="116"/>
      <c r="TYL108" s="116"/>
      <c r="TYM108" s="116"/>
      <c r="TYN108" s="116"/>
      <c r="TYO108" s="116"/>
      <c r="TYP108" s="116"/>
      <c r="TYQ108" s="116"/>
      <c r="TYR108" s="116"/>
      <c r="TYS108" s="116"/>
      <c r="TYT108" s="116"/>
      <c r="TYU108" s="116"/>
      <c r="TYV108" s="116"/>
      <c r="TYW108" s="116"/>
      <c r="TYX108" s="116"/>
      <c r="TYY108" s="116"/>
      <c r="TYZ108" s="116"/>
      <c r="TZA108" s="116"/>
      <c r="TZB108" s="116"/>
      <c r="TZC108" s="116"/>
      <c r="TZD108" s="116"/>
      <c r="TZE108" s="116"/>
      <c r="TZF108" s="116"/>
      <c r="TZG108" s="116"/>
      <c r="TZH108" s="116"/>
      <c r="TZI108" s="116"/>
      <c r="TZJ108" s="116"/>
      <c r="TZK108" s="116"/>
      <c r="TZL108" s="116"/>
      <c r="TZM108" s="116"/>
      <c r="TZN108" s="116"/>
      <c r="TZO108" s="116"/>
      <c r="TZP108" s="116"/>
      <c r="TZQ108" s="116"/>
      <c r="TZR108" s="116"/>
      <c r="TZS108" s="116"/>
      <c r="TZT108" s="116"/>
      <c r="TZU108" s="116"/>
      <c r="TZV108" s="116"/>
      <c r="TZW108" s="116"/>
      <c r="TZX108" s="116"/>
      <c r="TZY108" s="116"/>
      <c r="TZZ108" s="116"/>
      <c r="UAA108" s="116"/>
      <c r="UAB108" s="116"/>
      <c r="UAC108" s="116"/>
      <c r="UAD108" s="116"/>
      <c r="UAE108" s="116"/>
      <c r="UAF108" s="116"/>
      <c r="UAG108" s="116"/>
      <c r="UAH108" s="116"/>
      <c r="UAI108" s="116"/>
      <c r="UAJ108" s="116"/>
      <c r="UAK108" s="116"/>
      <c r="UAL108" s="116"/>
      <c r="UAM108" s="116"/>
      <c r="UAN108" s="116"/>
      <c r="UAO108" s="116"/>
      <c r="UAP108" s="116"/>
      <c r="UAQ108" s="116"/>
      <c r="UAR108" s="116"/>
      <c r="UAS108" s="116"/>
      <c r="UAT108" s="116"/>
      <c r="UAU108" s="116"/>
      <c r="UAV108" s="116"/>
      <c r="UAW108" s="116"/>
      <c r="UAX108" s="116"/>
      <c r="UAY108" s="116"/>
      <c r="UAZ108" s="116"/>
      <c r="UBA108" s="116"/>
      <c r="UBB108" s="116"/>
      <c r="UBC108" s="116"/>
      <c r="UBD108" s="116"/>
      <c r="UBE108" s="116"/>
      <c r="UBF108" s="116"/>
      <c r="UBG108" s="116"/>
      <c r="UBH108" s="116"/>
      <c r="UBI108" s="116"/>
      <c r="UBJ108" s="116"/>
      <c r="UBK108" s="116"/>
      <c r="UBL108" s="116"/>
      <c r="UBM108" s="116"/>
      <c r="UBN108" s="116"/>
      <c r="UBO108" s="116"/>
      <c r="UBP108" s="116"/>
      <c r="UBQ108" s="116"/>
      <c r="UBR108" s="116"/>
      <c r="UBS108" s="116"/>
      <c r="UBT108" s="116"/>
      <c r="UBU108" s="116"/>
      <c r="UBV108" s="116"/>
      <c r="UBW108" s="116"/>
      <c r="UBX108" s="116"/>
      <c r="UBY108" s="116"/>
      <c r="UBZ108" s="116"/>
      <c r="UCA108" s="116"/>
      <c r="UCB108" s="116"/>
      <c r="UCC108" s="116"/>
      <c r="UCD108" s="116"/>
      <c r="UCE108" s="116"/>
      <c r="UCF108" s="116"/>
      <c r="UCG108" s="116"/>
      <c r="UCH108" s="116"/>
      <c r="UCI108" s="116"/>
      <c r="UCJ108" s="116"/>
      <c r="UCK108" s="116"/>
      <c r="UCL108" s="116"/>
      <c r="UCM108" s="116"/>
      <c r="UCN108" s="116"/>
      <c r="UCO108" s="116"/>
      <c r="UCP108" s="116"/>
      <c r="UCQ108" s="116"/>
      <c r="UCR108" s="116"/>
      <c r="UCS108" s="116"/>
      <c r="UCT108" s="116"/>
      <c r="UCU108" s="116"/>
      <c r="UCV108" s="116"/>
      <c r="UCW108" s="116"/>
      <c r="UCX108" s="116"/>
      <c r="UCY108" s="116"/>
      <c r="UCZ108" s="116"/>
      <c r="UDA108" s="116"/>
      <c r="UDB108" s="116"/>
      <c r="UDC108" s="116"/>
      <c r="UDD108" s="116"/>
      <c r="UDE108" s="116"/>
      <c r="UDF108" s="116"/>
      <c r="UDG108" s="116"/>
      <c r="UDH108" s="116"/>
      <c r="UDI108" s="116"/>
      <c r="UDJ108" s="116"/>
      <c r="UDK108" s="116"/>
      <c r="UDL108" s="116"/>
      <c r="UDM108" s="116"/>
      <c r="UDN108" s="116"/>
      <c r="UDO108" s="116"/>
      <c r="UDP108" s="116"/>
      <c r="UDQ108" s="116"/>
      <c r="UDR108" s="116"/>
      <c r="UDS108" s="116"/>
      <c r="UDT108" s="116"/>
      <c r="UDU108" s="116"/>
      <c r="UDV108" s="116"/>
      <c r="UDW108" s="116"/>
      <c r="UDX108" s="116"/>
      <c r="UDY108" s="116"/>
      <c r="UDZ108" s="116"/>
      <c r="UEA108" s="116"/>
      <c r="UEB108" s="116"/>
      <c r="UEC108" s="116"/>
      <c r="UED108" s="116"/>
      <c r="UEE108" s="116"/>
      <c r="UEF108" s="116"/>
      <c r="UEG108" s="116"/>
      <c r="UEH108" s="116"/>
      <c r="UEI108" s="116"/>
      <c r="UEJ108" s="116"/>
      <c r="UEK108" s="116"/>
      <c r="UEL108" s="116"/>
      <c r="UEM108" s="116"/>
      <c r="UEN108" s="116"/>
      <c r="UEO108" s="116"/>
      <c r="UEP108" s="116"/>
      <c r="UEQ108" s="116"/>
      <c r="UER108" s="116"/>
      <c r="UES108" s="116"/>
      <c r="UET108" s="116"/>
      <c r="UEU108" s="116"/>
      <c r="UEV108" s="116"/>
      <c r="UEW108" s="116"/>
      <c r="UEX108" s="116"/>
      <c r="UEY108" s="116"/>
      <c r="UEZ108" s="116"/>
      <c r="UFA108" s="116"/>
      <c r="UFB108" s="116"/>
      <c r="UFC108" s="116"/>
      <c r="UFD108" s="116"/>
      <c r="UFE108" s="116"/>
      <c r="UFF108" s="116"/>
      <c r="UFG108" s="116"/>
      <c r="UFH108" s="116"/>
      <c r="UFI108" s="116"/>
      <c r="UFJ108" s="116"/>
      <c r="UFK108" s="116"/>
      <c r="UFL108" s="116"/>
      <c r="UFM108" s="116"/>
      <c r="UFN108" s="116"/>
      <c r="UFO108" s="116"/>
      <c r="UFP108" s="116"/>
      <c r="UFQ108" s="116"/>
      <c r="UFR108" s="116"/>
      <c r="UFS108" s="116"/>
      <c r="UFT108" s="116"/>
      <c r="UFU108" s="116"/>
      <c r="UFV108" s="116"/>
      <c r="UFW108" s="116"/>
      <c r="UFX108" s="116"/>
      <c r="UFY108" s="116"/>
      <c r="UFZ108" s="116"/>
      <c r="UGA108" s="116"/>
      <c r="UGB108" s="116"/>
      <c r="UGC108" s="116"/>
      <c r="UGD108" s="116"/>
      <c r="UGE108" s="116"/>
      <c r="UGF108" s="116"/>
      <c r="UGG108" s="116"/>
      <c r="UGH108" s="116"/>
      <c r="UGI108" s="116"/>
      <c r="UGJ108" s="116"/>
      <c r="UGK108" s="116"/>
      <c r="UGL108" s="116"/>
      <c r="UGM108" s="116"/>
      <c r="UGN108" s="116"/>
      <c r="UGO108" s="116"/>
      <c r="UGP108" s="116"/>
      <c r="UGQ108" s="116"/>
      <c r="UGR108" s="116"/>
      <c r="UGS108" s="116"/>
      <c r="UGT108" s="116"/>
      <c r="UGU108" s="116"/>
      <c r="UGV108" s="116"/>
      <c r="UGW108" s="116"/>
      <c r="UGX108" s="116"/>
      <c r="UGY108" s="116"/>
      <c r="UGZ108" s="116"/>
      <c r="UHA108" s="116"/>
      <c r="UHB108" s="116"/>
      <c r="UHC108" s="116"/>
      <c r="UHD108" s="116"/>
      <c r="UHE108" s="116"/>
      <c r="UHF108" s="116"/>
      <c r="UHG108" s="116"/>
      <c r="UHH108" s="116"/>
      <c r="UHI108" s="116"/>
      <c r="UHJ108" s="116"/>
      <c r="UHK108" s="116"/>
      <c r="UHL108" s="116"/>
      <c r="UHM108" s="116"/>
      <c r="UHN108" s="116"/>
      <c r="UHO108" s="116"/>
      <c r="UHP108" s="116"/>
      <c r="UHQ108" s="116"/>
      <c r="UHR108" s="116"/>
      <c r="UHS108" s="116"/>
      <c r="UHT108" s="116"/>
      <c r="UHU108" s="116"/>
      <c r="UHV108" s="116"/>
      <c r="UHW108" s="116"/>
      <c r="UHX108" s="116"/>
      <c r="UHY108" s="116"/>
      <c r="UHZ108" s="116"/>
      <c r="UIA108" s="116"/>
      <c r="UIB108" s="116"/>
      <c r="UIC108" s="116"/>
      <c r="UID108" s="116"/>
      <c r="UIE108" s="116"/>
      <c r="UIF108" s="116"/>
      <c r="UIG108" s="116"/>
      <c r="UIH108" s="116"/>
      <c r="UII108" s="116"/>
      <c r="UIJ108" s="116"/>
      <c r="UIK108" s="116"/>
      <c r="UIL108" s="116"/>
      <c r="UIM108" s="116"/>
      <c r="UIN108" s="116"/>
      <c r="UIO108" s="116"/>
      <c r="UIP108" s="116"/>
      <c r="UIQ108" s="116"/>
      <c r="UIR108" s="116"/>
      <c r="UIS108" s="116"/>
      <c r="UIT108" s="116"/>
      <c r="UIU108" s="116"/>
      <c r="UIV108" s="116"/>
      <c r="UIW108" s="116"/>
      <c r="UIX108" s="116"/>
      <c r="UIY108" s="116"/>
      <c r="UIZ108" s="116"/>
      <c r="UJA108" s="116"/>
      <c r="UJB108" s="116"/>
      <c r="UJC108" s="116"/>
      <c r="UJD108" s="116"/>
      <c r="UJE108" s="116"/>
      <c r="UJF108" s="116"/>
      <c r="UJG108" s="116"/>
      <c r="UJH108" s="116"/>
      <c r="UJI108" s="116"/>
      <c r="UJJ108" s="116"/>
      <c r="UJK108" s="116"/>
      <c r="UJL108" s="116"/>
      <c r="UJM108" s="116"/>
      <c r="UJN108" s="116"/>
      <c r="UJO108" s="116"/>
      <c r="UJP108" s="116"/>
      <c r="UJQ108" s="116"/>
      <c r="UJR108" s="116"/>
      <c r="UJS108" s="116"/>
      <c r="UJT108" s="116"/>
      <c r="UJU108" s="116"/>
      <c r="UJV108" s="116"/>
      <c r="UJW108" s="116"/>
      <c r="UJX108" s="116"/>
      <c r="UJY108" s="116"/>
      <c r="UJZ108" s="116"/>
      <c r="UKA108" s="116"/>
      <c r="UKB108" s="116"/>
      <c r="UKC108" s="116"/>
      <c r="UKD108" s="116"/>
      <c r="UKE108" s="116"/>
      <c r="UKF108" s="116"/>
      <c r="UKG108" s="116"/>
      <c r="UKH108" s="116"/>
      <c r="UKI108" s="116"/>
      <c r="UKJ108" s="116"/>
      <c r="UKK108" s="116"/>
      <c r="UKL108" s="116"/>
      <c r="UKM108" s="116"/>
      <c r="UKN108" s="116"/>
      <c r="UKO108" s="116"/>
      <c r="UKP108" s="116"/>
      <c r="UKQ108" s="116"/>
      <c r="UKR108" s="116"/>
      <c r="UKS108" s="116"/>
      <c r="UKT108" s="116"/>
      <c r="UKU108" s="116"/>
      <c r="UKV108" s="116"/>
      <c r="UKW108" s="116"/>
      <c r="UKX108" s="116"/>
      <c r="UKY108" s="116"/>
      <c r="UKZ108" s="116"/>
      <c r="ULA108" s="116"/>
      <c r="ULB108" s="116"/>
      <c r="ULC108" s="116"/>
      <c r="ULD108" s="116"/>
      <c r="ULE108" s="116"/>
      <c r="ULF108" s="116"/>
      <c r="ULG108" s="116"/>
      <c r="ULH108" s="116"/>
      <c r="ULI108" s="116"/>
      <c r="ULJ108" s="116"/>
      <c r="ULK108" s="116"/>
      <c r="ULL108" s="116"/>
      <c r="ULM108" s="116"/>
      <c r="ULN108" s="116"/>
      <c r="ULO108" s="116"/>
      <c r="ULP108" s="116"/>
      <c r="ULQ108" s="116"/>
      <c r="ULR108" s="116"/>
      <c r="ULS108" s="116"/>
      <c r="ULT108" s="116"/>
      <c r="ULU108" s="116"/>
      <c r="ULV108" s="116"/>
      <c r="ULW108" s="116"/>
      <c r="ULX108" s="116"/>
      <c r="ULY108" s="116"/>
      <c r="ULZ108" s="116"/>
      <c r="UMA108" s="116"/>
      <c r="UMB108" s="116"/>
      <c r="UMC108" s="116"/>
      <c r="UMD108" s="116"/>
      <c r="UME108" s="116"/>
      <c r="UMF108" s="116"/>
      <c r="UMG108" s="116"/>
      <c r="UMH108" s="116"/>
      <c r="UMI108" s="116"/>
      <c r="UMJ108" s="116"/>
      <c r="UMK108" s="116"/>
      <c r="UML108" s="116"/>
      <c r="UMM108" s="116"/>
      <c r="UMN108" s="116"/>
      <c r="UMO108" s="116"/>
      <c r="UMP108" s="116"/>
      <c r="UMQ108" s="116"/>
      <c r="UMR108" s="116"/>
      <c r="UMS108" s="116"/>
      <c r="UMT108" s="116"/>
      <c r="UMU108" s="116"/>
      <c r="UMV108" s="116"/>
      <c r="UMW108" s="116"/>
      <c r="UMX108" s="116"/>
      <c r="UMY108" s="116"/>
      <c r="UMZ108" s="116"/>
      <c r="UNA108" s="116"/>
      <c r="UNB108" s="116"/>
      <c r="UNC108" s="116"/>
      <c r="UND108" s="116"/>
      <c r="UNE108" s="116"/>
      <c r="UNF108" s="116"/>
      <c r="UNG108" s="116"/>
      <c r="UNH108" s="116"/>
      <c r="UNI108" s="116"/>
      <c r="UNJ108" s="116"/>
      <c r="UNK108" s="116"/>
      <c r="UNL108" s="116"/>
      <c r="UNM108" s="116"/>
      <c r="UNN108" s="116"/>
      <c r="UNO108" s="116"/>
      <c r="UNP108" s="116"/>
      <c r="UNQ108" s="116"/>
      <c r="UNR108" s="116"/>
      <c r="UNS108" s="116"/>
      <c r="UNT108" s="116"/>
      <c r="UNU108" s="116"/>
      <c r="UNV108" s="116"/>
      <c r="UNW108" s="116"/>
      <c r="UNX108" s="116"/>
      <c r="UNY108" s="116"/>
      <c r="UNZ108" s="116"/>
      <c r="UOA108" s="116"/>
      <c r="UOB108" s="116"/>
      <c r="UOC108" s="116"/>
      <c r="UOD108" s="116"/>
      <c r="UOE108" s="116"/>
      <c r="UOF108" s="116"/>
      <c r="UOG108" s="116"/>
      <c r="UOH108" s="116"/>
      <c r="UOI108" s="116"/>
      <c r="UOJ108" s="116"/>
      <c r="UOK108" s="116"/>
      <c r="UOL108" s="116"/>
      <c r="UOM108" s="116"/>
      <c r="UON108" s="116"/>
      <c r="UOO108" s="116"/>
      <c r="UOP108" s="116"/>
      <c r="UOQ108" s="116"/>
      <c r="UOR108" s="116"/>
      <c r="UOS108" s="116"/>
      <c r="UOT108" s="116"/>
      <c r="UOU108" s="116"/>
      <c r="UOV108" s="116"/>
      <c r="UOW108" s="116"/>
      <c r="UOX108" s="116"/>
      <c r="UOY108" s="116"/>
      <c r="UOZ108" s="116"/>
      <c r="UPA108" s="116"/>
      <c r="UPB108" s="116"/>
      <c r="UPC108" s="116"/>
      <c r="UPD108" s="116"/>
      <c r="UPE108" s="116"/>
      <c r="UPF108" s="116"/>
      <c r="UPG108" s="116"/>
      <c r="UPH108" s="116"/>
      <c r="UPI108" s="116"/>
      <c r="UPJ108" s="116"/>
      <c r="UPK108" s="116"/>
      <c r="UPL108" s="116"/>
      <c r="UPM108" s="116"/>
      <c r="UPN108" s="116"/>
      <c r="UPO108" s="116"/>
      <c r="UPP108" s="116"/>
      <c r="UPQ108" s="116"/>
      <c r="UPR108" s="116"/>
      <c r="UPS108" s="116"/>
      <c r="UPT108" s="116"/>
      <c r="UPU108" s="116"/>
      <c r="UPV108" s="116"/>
      <c r="UPW108" s="116"/>
      <c r="UPX108" s="116"/>
      <c r="UPY108" s="116"/>
      <c r="UPZ108" s="116"/>
      <c r="UQA108" s="116"/>
      <c r="UQB108" s="116"/>
      <c r="UQC108" s="116"/>
      <c r="UQD108" s="116"/>
      <c r="UQE108" s="116"/>
      <c r="UQF108" s="116"/>
      <c r="UQG108" s="116"/>
      <c r="UQH108" s="116"/>
      <c r="UQI108" s="116"/>
      <c r="UQJ108" s="116"/>
      <c r="UQK108" s="116"/>
      <c r="UQL108" s="116"/>
      <c r="UQM108" s="116"/>
      <c r="UQN108" s="116"/>
      <c r="UQO108" s="116"/>
      <c r="UQP108" s="116"/>
      <c r="UQQ108" s="116"/>
      <c r="UQR108" s="116"/>
      <c r="UQS108" s="116"/>
      <c r="UQT108" s="116"/>
      <c r="UQU108" s="116"/>
      <c r="UQV108" s="116"/>
      <c r="UQW108" s="116"/>
      <c r="UQX108" s="116"/>
      <c r="UQY108" s="116"/>
      <c r="UQZ108" s="116"/>
      <c r="URA108" s="116"/>
      <c r="URB108" s="116"/>
      <c r="URC108" s="116"/>
      <c r="URD108" s="116"/>
      <c r="URE108" s="116"/>
      <c r="URF108" s="116"/>
      <c r="URG108" s="116"/>
      <c r="URH108" s="116"/>
      <c r="URI108" s="116"/>
      <c r="URJ108" s="116"/>
      <c r="URK108" s="116"/>
      <c r="URL108" s="116"/>
      <c r="URM108" s="116"/>
      <c r="URN108" s="116"/>
      <c r="URO108" s="116"/>
      <c r="URP108" s="116"/>
      <c r="URQ108" s="116"/>
      <c r="URR108" s="116"/>
      <c r="URS108" s="116"/>
      <c r="URT108" s="116"/>
      <c r="URU108" s="116"/>
      <c r="URV108" s="116"/>
      <c r="URW108" s="116"/>
      <c r="URX108" s="116"/>
      <c r="URY108" s="116"/>
      <c r="URZ108" s="116"/>
      <c r="USA108" s="116"/>
      <c r="USB108" s="116"/>
      <c r="USC108" s="116"/>
      <c r="USD108" s="116"/>
      <c r="USE108" s="116"/>
      <c r="USF108" s="116"/>
      <c r="USG108" s="116"/>
      <c r="USH108" s="116"/>
      <c r="USI108" s="116"/>
      <c r="USJ108" s="116"/>
      <c r="USK108" s="116"/>
      <c r="USL108" s="116"/>
      <c r="USM108" s="116"/>
      <c r="USN108" s="116"/>
      <c r="USO108" s="116"/>
      <c r="USP108" s="116"/>
      <c r="USQ108" s="116"/>
      <c r="USR108" s="116"/>
      <c r="USS108" s="116"/>
      <c r="UST108" s="116"/>
      <c r="USU108" s="116"/>
      <c r="USV108" s="116"/>
      <c r="USW108" s="116"/>
      <c r="USX108" s="116"/>
      <c r="USY108" s="116"/>
      <c r="USZ108" s="116"/>
      <c r="UTA108" s="116"/>
      <c r="UTB108" s="116"/>
      <c r="UTC108" s="116"/>
      <c r="UTD108" s="116"/>
      <c r="UTE108" s="116"/>
      <c r="UTF108" s="116"/>
      <c r="UTG108" s="116"/>
      <c r="UTH108" s="116"/>
      <c r="UTI108" s="116"/>
      <c r="UTJ108" s="116"/>
      <c r="UTK108" s="116"/>
      <c r="UTL108" s="116"/>
      <c r="UTM108" s="116"/>
      <c r="UTN108" s="116"/>
      <c r="UTO108" s="116"/>
      <c r="UTP108" s="116"/>
      <c r="UTQ108" s="116"/>
      <c r="UTR108" s="116"/>
      <c r="UTS108" s="116"/>
      <c r="UTT108" s="116"/>
      <c r="UTU108" s="116"/>
      <c r="UTV108" s="116"/>
      <c r="UTW108" s="116"/>
      <c r="UTX108" s="116"/>
      <c r="UTY108" s="116"/>
      <c r="UTZ108" s="116"/>
      <c r="UUA108" s="116"/>
      <c r="UUB108" s="116"/>
      <c r="UUC108" s="116"/>
      <c r="UUD108" s="116"/>
      <c r="UUE108" s="116"/>
      <c r="UUF108" s="116"/>
      <c r="UUG108" s="116"/>
      <c r="UUH108" s="116"/>
      <c r="UUI108" s="116"/>
      <c r="UUJ108" s="116"/>
      <c r="UUK108" s="116"/>
      <c r="UUL108" s="116"/>
      <c r="UUM108" s="116"/>
      <c r="UUN108" s="116"/>
      <c r="UUO108" s="116"/>
      <c r="UUP108" s="116"/>
      <c r="UUQ108" s="116"/>
      <c r="UUR108" s="116"/>
      <c r="UUS108" s="116"/>
      <c r="UUT108" s="116"/>
      <c r="UUU108" s="116"/>
      <c r="UUV108" s="116"/>
      <c r="UUW108" s="116"/>
      <c r="UUX108" s="116"/>
      <c r="UUY108" s="116"/>
      <c r="UUZ108" s="116"/>
      <c r="UVA108" s="116"/>
      <c r="UVB108" s="116"/>
      <c r="UVC108" s="116"/>
      <c r="UVD108" s="116"/>
      <c r="UVE108" s="116"/>
      <c r="UVF108" s="116"/>
      <c r="UVG108" s="116"/>
      <c r="UVH108" s="116"/>
      <c r="UVI108" s="116"/>
      <c r="UVJ108" s="116"/>
      <c r="UVK108" s="116"/>
      <c r="UVL108" s="116"/>
      <c r="UVM108" s="116"/>
      <c r="UVN108" s="116"/>
      <c r="UVO108" s="116"/>
      <c r="UVP108" s="116"/>
      <c r="UVQ108" s="116"/>
      <c r="UVR108" s="116"/>
      <c r="UVS108" s="116"/>
      <c r="UVT108" s="116"/>
      <c r="UVU108" s="116"/>
      <c r="UVV108" s="116"/>
      <c r="UVW108" s="116"/>
      <c r="UVX108" s="116"/>
      <c r="UVY108" s="116"/>
      <c r="UVZ108" s="116"/>
      <c r="UWA108" s="116"/>
      <c r="UWB108" s="116"/>
      <c r="UWC108" s="116"/>
      <c r="UWD108" s="116"/>
      <c r="UWE108" s="116"/>
      <c r="UWF108" s="116"/>
      <c r="UWG108" s="116"/>
      <c r="UWH108" s="116"/>
      <c r="UWI108" s="116"/>
      <c r="UWJ108" s="116"/>
      <c r="UWK108" s="116"/>
      <c r="UWL108" s="116"/>
      <c r="UWM108" s="116"/>
      <c r="UWN108" s="116"/>
      <c r="UWO108" s="116"/>
      <c r="UWP108" s="116"/>
      <c r="UWQ108" s="116"/>
      <c r="UWR108" s="116"/>
      <c r="UWS108" s="116"/>
      <c r="UWT108" s="116"/>
      <c r="UWU108" s="116"/>
      <c r="UWV108" s="116"/>
      <c r="UWW108" s="116"/>
      <c r="UWX108" s="116"/>
      <c r="UWY108" s="116"/>
      <c r="UWZ108" s="116"/>
      <c r="UXA108" s="116"/>
      <c r="UXB108" s="116"/>
      <c r="UXC108" s="116"/>
      <c r="UXD108" s="116"/>
      <c r="UXE108" s="116"/>
      <c r="UXF108" s="116"/>
      <c r="UXG108" s="116"/>
      <c r="UXH108" s="116"/>
      <c r="UXI108" s="116"/>
      <c r="UXJ108" s="116"/>
      <c r="UXK108" s="116"/>
      <c r="UXL108" s="116"/>
      <c r="UXM108" s="116"/>
      <c r="UXN108" s="116"/>
      <c r="UXO108" s="116"/>
      <c r="UXP108" s="116"/>
      <c r="UXQ108" s="116"/>
      <c r="UXR108" s="116"/>
      <c r="UXS108" s="116"/>
      <c r="UXT108" s="116"/>
      <c r="UXU108" s="116"/>
      <c r="UXV108" s="116"/>
      <c r="UXW108" s="116"/>
      <c r="UXX108" s="116"/>
      <c r="UXY108" s="116"/>
      <c r="UXZ108" s="116"/>
      <c r="UYA108" s="116"/>
      <c r="UYB108" s="116"/>
      <c r="UYC108" s="116"/>
      <c r="UYD108" s="116"/>
      <c r="UYE108" s="116"/>
      <c r="UYF108" s="116"/>
      <c r="UYG108" s="116"/>
      <c r="UYH108" s="116"/>
      <c r="UYI108" s="116"/>
      <c r="UYJ108" s="116"/>
      <c r="UYK108" s="116"/>
      <c r="UYL108" s="116"/>
      <c r="UYM108" s="116"/>
      <c r="UYN108" s="116"/>
      <c r="UYO108" s="116"/>
      <c r="UYP108" s="116"/>
      <c r="UYQ108" s="116"/>
      <c r="UYR108" s="116"/>
      <c r="UYS108" s="116"/>
      <c r="UYT108" s="116"/>
      <c r="UYU108" s="116"/>
      <c r="UYV108" s="116"/>
      <c r="UYW108" s="116"/>
      <c r="UYX108" s="116"/>
      <c r="UYY108" s="116"/>
      <c r="UYZ108" s="116"/>
      <c r="UZA108" s="116"/>
      <c r="UZB108" s="116"/>
      <c r="UZC108" s="116"/>
      <c r="UZD108" s="116"/>
      <c r="UZE108" s="116"/>
      <c r="UZF108" s="116"/>
      <c r="UZG108" s="116"/>
      <c r="UZH108" s="116"/>
      <c r="UZI108" s="116"/>
      <c r="UZJ108" s="116"/>
      <c r="UZK108" s="116"/>
      <c r="UZL108" s="116"/>
      <c r="UZM108" s="116"/>
      <c r="UZN108" s="116"/>
      <c r="UZO108" s="116"/>
      <c r="UZP108" s="116"/>
      <c r="UZQ108" s="116"/>
      <c r="UZR108" s="116"/>
      <c r="UZS108" s="116"/>
      <c r="UZT108" s="116"/>
      <c r="UZU108" s="116"/>
      <c r="UZV108" s="116"/>
      <c r="UZW108" s="116"/>
      <c r="UZX108" s="116"/>
      <c r="UZY108" s="116"/>
      <c r="UZZ108" s="116"/>
      <c r="VAA108" s="116"/>
      <c r="VAB108" s="116"/>
      <c r="VAC108" s="116"/>
      <c r="VAD108" s="116"/>
      <c r="VAE108" s="116"/>
      <c r="VAF108" s="116"/>
      <c r="VAG108" s="116"/>
      <c r="VAH108" s="116"/>
      <c r="VAI108" s="116"/>
      <c r="VAJ108" s="116"/>
      <c r="VAK108" s="116"/>
      <c r="VAL108" s="116"/>
      <c r="VAM108" s="116"/>
      <c r="VAN108" s="116"/>
      <c r="VAO108" s="116"/>
      <c r="VAP108" s="116"/>
      <c r="VAQ108" s="116"/>
      <c r="VAR108" s="116"/>
      <c r="VAS108" s="116"/>
      <c r="VAT108" s="116"/>
      <c r="VAU108" s="116"/>
      <c r="VAV108" s="116"/>
      <c r="VAW108" s="116"/>
      <c r="VAX108" s="116"/>
      <c r="VAY108" s="116"/>
      <c r="VAZ108" s="116"/>
      <c r="VBA108" s="116"/>
      <c r="VBB108" s="116"/>
      <c r="VBC108" s="116"/>
      <c r="VBD108" s="116"/>
      <c r="VBE108" s="116"/>
      <c r="VBF108" s="116"/>
      <c r="VBG108" s="116"/>
      <c r="VBH108" s="116"/>
      <c r="VBI108" s="116"/>
      <c r="VBJ108" s="116"/>
      <c r="VBK108" s="116"/>
      <c r="VBL108" s="116"/>
      <c r="VBM108" s="116"/>
      <c r="VBN108" s="116"/>
      <c r="VBO108" s="116"/>
      <c r="VBP108" s="116"/>
      <c r="VBQ108" s="116"/>
      <c r="VBR108" s="116"/>
      <c r="VBS108" s="116"/>
      <c r="VBT108" s="116"/>
      <c r="VBU108" s="116"/>
      <c r="VBV108" s="116"/>
      <c r="VBW108" s="116"/>
      <c r="VBX108" s="116"/>
      <c r="VBY108" s="116"/>
      <c r="VBZ108" s="116"/>
      <c r="VCA108" s="116"/>
      <c r="VCB108" s="116"/>
      <c r="VCC108" s="116"/>
      <c r="VCD108" s="116"/>
      <c r="VCE108" s="116"/>
      <c r="VCF108" s="116"/>
      <c r="VCG108" s="116"/>
      <c r="VCH108" s="116"/>
      <c r="VCI108" s="116"/>
      <c r="VCJ108" s="116"/>
      <c r="VCK108" s="116"/>
      <c r="VCL108" s="116"/>
      <c r="VCM108" s="116"/>
      <c r="VCN108" s="116"/>
      <c r="VCO108" s="116"/>
      <c r="VCP108" s="116"/>
      <c r="VCQ108" s="116"/>
      <c r="VCR108" s="116"/>
      <c r="VCS108" s="116"/>
      <c r="VCT108" s="116"/>
      <c r="VCU108" s="116"/>
      <c r="VCV108" s="116"/>
      <c r="VCW108" s="116"/>
      <c r="VCX108" s="116"/>
      <c r="VCY108" s="116"/>
      <c r="VCZ108" s="116"/>
      <c r="VDA108" s="116"/>
      <c r="VDB108" s="116"/>
      <c r="VDC108" s="116"/>
      <c r="VDD108" s="116"/>
      <c r="VDE108" s="116"/>
      <c r="VDF108" s="116"/>
      <c r="VDG108" s="116"/>
      <c r="VDH108" s="116"/>
      <c r="VDI108" s="116"/>
      <c r="VDJ108" s="116"/>
      <c r="VDK108" s="116"/>
      <c r="VDL108" s="116"/>
      <c r="VDM108" s="116"/>
      <c r="VDN108" s="116"/>
      <c r="VDO108" s="116"/>
      <c r="VDP108" s="116"/>
      <c r="VDQ108" s="116"/>
      <c r="VDR108" s="116"/>
      <c r="VDS108" s="116"/>
      <c r="VDT108" s="116"/>
      <c r="VDU108" s="116"/>
      <c r="VDV108" s="116"/>
      <c r="VDW108" s="116"/>
      <c r="VDX108" s="116"/>
      <c r="VDY108" s="116"/>
      <c r="VDZ108" s="116"/>
      <c r="VEA108" s="116"/>
      <c r="VEB108" s="116"/>
      <c r="VEC108" s="116"/>
      <c r="VED108" s="116"/>
      <c r="VEE108" s="116"/>
      <c r="VEF108" s="116"/>
      <c r="VEG108" s="116"/>
      <c r="VEH108" s="116"/>
      <c r="VEI108" s="116"/>
      <c r="VEJ108" s="116"/>
      <c r="VEK108" s="116"/>
      <c r="VEL108" s="116"/>
      <c r="VEM108" s="116"/>
      <c r="VEN108" s="116"/>
      <c r="VEO108" s="116"/>
      <c r="VEP108" s="116"/>
      <c r="VEQ108" s="116"/>
      <c r="VER108" s="116"/>
      <c r="VES108" s="116"/>
      <c r="VET108" s="116"/>
      <c r="VEU108" s="116"/>
      <c r="VEV108" s="116"/>
      <c r="VEW108" s="116"/>
      <c r="VEX108" s="116"/>
      <c r="VEY108" s="116"/>
      <c r="VEZ108" s="116"/>
      <c r="VFA108" s="116"/>
      <c r="VFB108" s="116"/>
      <c r="VFC108" s="116"/>
      <c r="VFD108" s="116"/>
      <c r="VFE108" s="116"/>
      <c r="VFF108" s="116"/>
      <c r="VFG108" s="116"/>
      <c r="VFH108" s="116"/>
      <c r="VFI108" s="116"/>
      <c r="VFJ108" s="116"/>
      <c r="VFK108" s="116"/>
      <c r="VFL108" s="116"/>
      <c r="VFM108" s="116"/>
      <c r="VFN108" s="116"/>
      <c r="VFO108" s="116"/>
      <c r="VFP108" s="116"/>
      <c r="VFQ108" s="116"/>
      <c r="VFR108" s="116"/>
      <c r="VFS108" s="116"/>
      <c r="VFT108" s="116"/>
      <c r="VFU108" s="116"/>
      <c r="VFV108" s="116"/>
      <c r="VFW108" s="116"/>
      <c r="VFX108" s="116"/>
      <c r="VFY108" s="116"/>
      <c r="VFZ108" s="116"/>
      <c r="VGA108" s="116"/>
      <c r="VGB108" s="116"/>
      <c r="VGC108" s="116"/>
      <c r="VGD108" s="116"/>
      <c r="VGE108" s="116"/>
      <c r="VGF108" s="116"/>
      <c r="VGG108" s="116"/>
      <c r="VGH108" s="116"/>
      <c r="VGI108" s="116"/>
      <c r="VGJ108" s="116"/>
      <c r="VGK108" s="116"/>
      <c r="VGL108" s="116"/>
      <c r="VGM108" s="116"/>
      <c r="VGN108" s="116"/>
      <c r="VGO108" s="116"/>
      <c r="VGP108" s="116"/>
      <c r="VGQ108" s="116"/>
      <c r="VGR108" s="116"/>
      <c r="VGS108" s="116"/>
      <c r="VGT108" s="116"/>
      <c r="VGU108" s="116"/>
      <c r="VGV108" s="116"/>
      <c r="VGW108" s="116"/>
      <c r="VGX108" s="116"/>
      <c r="VGY108" s="116"/>
      <c r="VGZ108" s="116"/>
      <c r="VHA108" s="116"/>
      <c r="VHB108" s="116"/>
      <c r="VHC108" s="116"/>
      <c r="VHD108" s="116"/>
      <c r="VHE108" s="116"/>
      <c r="VHF108" s="116"/>
      <c r="VHG108" s="116"/>
      <c r="VHH108" s="116"/>
      <c r="VHI108" s="116"/>
      <c r="VHJ108" s="116"/>
      <c r="VHK108" s="116"/>
      <c r="VHL108" s="116"/>
      <c r="VHM108" s="116"/>
      <c r="VHN108" s="116"/>
      <c r="VHO108" s="116"/>
      <c r="VHP108" s="116"/>
      <c r="VHQ108" s="116"/>
      <c r="VHR108" s="116"/>
      <c r="VHS108" s="116"/>
      <c r="VHT108" s="116"/>
      <c r="VHU108" s="116"/>
      <c r="VHV108" s="116"/>
      <c r="VHW108" s="116"/>
      <c r="VHX108" s="116"/>
      <c r="VHY108" s="116"/>
      <c r="VHZ108" s="116"/>
      <c r="VIA108" s="116"/>
      <c r="VIB108" s="116"/>
      <c r="VIC108" s="116"/>
      <c r="VID108" s="116"/>
      <c r="VIE108" s="116"/>
      <c r="VIF108" s="116"/>
      <c r="VIG108" s="116"/>
      <c r="VIH108" s="116"/>
      <c r="VII108" s="116"/>
      <c r="VIJ108" s="116"/>
      <c r="VIK108" s="116"/>
      <c r="VIL108" s="116"/>
      <c r="VIM108" s="116"/>
      <c r="VIN108" s="116"/>
      <c r="VIO108" s="116"/>
      <c r="VIP108" s="116"/>
      <c r="VIQ108" s="116"/>
      <c r="VIR108" s="116"/>
      <c r="VIS108" s="116"/>
      <c r="VIT108" s="116"/>
      <c r="VIU108" s="116"/>
      <c r="VIV108" s="116"/>
      <c r="VIW108" s="116"/>
      <c r="VIX108" s="116"/>
      <c r="VIY108" s="116"/>
      <c r="VIZ108" s="116"/>
      <c r="VJA108" s="116"/>
      <c r="VJB108" s="116"/>
      <c r="VJC108" s="116"/>
      <c r="VJD108" s="116"/>
      <c r="VJE108" s="116"/>
      <c r="VJF108" s="116"/>
      <c r="VJG108" s="116"/>
      <c r="VJH108" s="116"/>
      <c r="VJI108" s="116"/>
      <c r="VJJ108" s="116"/>
      <c r="VJK108" s="116"/>
      <c r="VJL108" s="116"/>
      <c r="VJM108" s="116"/>
      <c r="VJN108" s="116"/>
      <c r="VJO108" s="116"/>
      <c r="VJP108" s="116"/>
      <c r="VJQ108" s="116"/>
      <c r="VJR108" s="116"/>
      <c r="VJS108" s="116"/>
      <c r="VJT108" s="116"/>
      <c r="VJU108" s="116"/>
      <c r="VJV108" s="116"/>
      <c r="VJW108" s="116"/>
      <c r="VJX108" s="116"/>
      <c r="VJY108" s="116"/>
      <c r="VJZ108" s="116"/>
      <c r="VKA108" s="116"/>
      <c r="VKB108" s="116"/>
      <c r="VKC108" s="116"/>
      <c r="VKD108" s="116"/>
      <c r="VKE108" s="116"/>
      <c r="VKF108" s="116"/>
      <c r="VKG108" s="116"/>
      <c r="VKH108" s="116"/>
      <c r="VKI108" s="116"/>
      <c r="VKJ108" s="116"/>
      <c r="VKK108" s="116"/>
      <c r="VKL108" s="116"/>
      <c r="VKM108" s="116"/>
      <c r="VKN108" s="116"/>
      <c r="VKO108" s="116"/>
      <c r="VKP108" s="116"/>
      <c r="VKQ108" s="116"/>
      <c r="VKR108" s="116"/>
      <c r="VKS108" s="116"/>
      <c r="VKT108" s="116"/>
      <c r="VKU108" s="116"/>
      <c r="VKV108" s="116"/>
      <c r="VKW108" s="116"/>
      <c r="VKX108" s="116"/>
      <c r="VKY108" s="116"/>
      <c r="VKZ108" s="116"/>
      <c r="VLA108" s="116"/>
      <c r="VLB108" s="116"/>
      <c r="VLC108" s="116"/>
      <c r="VLD108" s="116"/>
      <c r="VLE108" s="116"/>
      <c r="VLF108" s="116"/>
      <c r="VLG108" s="116"/>
      <c r="VLH108" s="116"/>
      <c r="VLI108" s="116"/>
      <c r="VLJ108" s="116"/>
      <c r="VLK108" s="116"/>
      <c r="VLL108" s="116"/>
      <c r="VLM108" s="116"/>
      <c r="VLN108" s="116"/>
      <c r="VLO108" s="116"/>
      <c r="VLP108" s="116"/>
      <c r="VLQ108" s="116"/>
      <c r="VLR108" s="116"/>
      <c r="VLS108" s="116"/>
      <c r="VLT108" s="116"/>
      <c r="VLU108" s="116"/>
      <c r="VLV108" s="116"/>
      <c r="VLW108" s="116"/>
      <c r="VLX108" s="116"/>
      <c r="VLY108" s="116"/>
      <c r="VLZ108" s="116"/>
      <c r="VMA108" s="116"/>
      <c r="VMB108" s="116"/>
      <c r="VMC108" s="116"/>
      <c r="VMD108" s="116"/>
      <c r="VME108" s="116"/>
      <c r="VMF108" s="116"/>
      <c r="VMG108" s="116"/>
      <c r="VMH108" s="116"/>
      <c r="VMI108" s="116"/>
      <c r="VMJ108" s="116"/>
      <c r="VMK108" s="116"/>
      <c r="VML108" s="116"/>
      <c r="VMM108" s="116"/>
      <c r="VMN108" s="116"/>
      <c r="VMO108" s="116"/>
      <c r="VMP108" s="116"/>
      <c r="VMQ108" s="116"/>
      <c r="VMR108" s="116"/>
      <c r="VMS108" s="116"/>
      <c r="VMT108" s="116"/>
      <c r="VMU108" s="116"/>
      <c r="VMV108" s="116"/>
      <c r="VMW108" s="116"/>
      <c r="VMX108" s="116"/>
      <c r="VMY108" s="116"/>
      <c r="VMZ108" s="116"/>
      <c r="VNA108" s="116"/>
      <c r="VNB108" s="116"/>
      <c r="VNC108" s="116"/>
      <c r="VND108" s="116"/>
      <c r="VNE108" s="116"/>
      <c r="VNF108" s="116"/>
      <c r="VNG108" s="116"/>
      <c r="VNH108" s="116"/>
      <c r="VNI108" s="116"/>
      <c r="VNJ108" s="116"/>
      <c r="VNK108" s="116"/>
      <c r="VNL108" s="116"/>
      <c r="VNM108" s="116"/>
      <c r="VNN108" s="116"/>
      <c r="VNO108" s="116"/>
      <c r="VNP108" s="116"/>
      <c r="VNQ108" s="116"/>
      <c r="VNR108" s="116"/>
      <c r="VNS108" s="116"/>
      <c r="VNT108" s="116"/>
      <c r="VNU108" s="116"/>
      <c r="VNV108" s="116"/>
      <c r="VNW108" s="116"/>
      <c r="VNX108" s="116"/>
      <c r="VNY108" s="116"/>
      <c r="VNZ108" s="116"/>
      <c r="VOA108" s="116"/>
      <c r="VOB108" s="116"/>
      <c r="VOC108" s="116"/>
      <c r="VOD108" s="116"/>
      <c r="VOE108" s="116"/>
      <c r="VOF108" s="116"/>
      <c r="VOG108" s="116"/>
      <c r="VOH108" s="116"/>
      <c r="VOI108" s="116"/>
      <c r="VOJ108" s="116"/>
      <c r="VOK108" s="116"/>
      <c r="VOL108" s="116"/>
      <c r="VOM108" s="116"/>
      <c r="VON108" s="116"/>
      <c r="VOO108" s="116"/>
      <c r="VOP108" s="116"/>
      <c r="VOQ108" s="116"/>
      <c r="VOR108" s="116"/>
      <c r="VOS108" s="116"/>
      <c r="VOT108" s="116"/>
      <c r="VOU108" s="116"/>
      <c r="VOV108" s="116"/>
      <c r="VOW108" s="116"/>
      <c r="VOX108" s="116"/>
      <c r="VOY108" s="116"/>
      <c r="VOZ108" s="116"/>
      <c r="VPA108" s="116"/>
      <c r="VPB108" s="116"/>
      <c r="VPC108" s="116"/>
      <c r="VPD108" s="116"/>
      <c r="VPE108" s="116"/>
      <c r="VPF108" s="116"/>
      <c r="VPG108" s="116"/>
      <c r="VPH108" s="116"/>
      <c r="VPI108" s="116"/>
      <c r="VPJ108" s="116"/>
      <c r="VPK108" s="116"/>
      <c r="VPL108" s="116"/>
      <c r="VPM108" s="116"/>
      <c r="VPN108" s="116"/>
      <c r="VPO108" s="116"/>
      <c r="VPP108" s="116"/>
      <c r="VPQ108" s="116"/>
      <c r="VPR108" s="116"/>
      <c r="VPS108" s="116"/>
      <c r="VPT108" s="116"/>
      <c r="VPU108" s="116"/>
      <c r="VPV108" s="116"/>
      <c r="VPW108" s="116"/>
      <c r="VPX108" s="116"/>
      <c r="VPY108" s="116"/>
      <c r="VPZ108" s="116"/>
      <c r="VQA108" s="116"/>
      <c r="VQB108" s="116"/>
      <c r="VQC108" s="116"/>
      <c r="VQD108" s="116"/>
      <c r="VQE108" s="116"/>
      <c r="VQF108" s="116"/>
      <c r="VQG108" s="116"/>
      <c r="VQH108" s="116"/>
      <c r="VQI108" s="116"/>
      <c r="VQJ108" s="116"/>
      <c r="VQK108" s="116"/>
      <c r="VQL108" s="116"/>
      <c r="VQM108" s="116"/>
      <c r="VQN108" s="116"/>
      <c r="VQO108" s="116"/>
      <c r="VQP108" s="116"/>
      <c r="VQQ108" s="116"/>
      <c r="VQR108" s="116"/>
      <c r="VQS108" s="116"/>
      <c r="VQT108" s="116"/>
      <c r="VQU108" s="116"/>
      <c r="VQV108" s="116"/>
      <c r="VQW108" s="116"/>
      <c r="VQX108" s="116"/>
      <c r="VQY108" s="116"/>
      <c r="VQZ108" s="116"/>
      <c r="VRA108" s="116"/>
      <c r="VRB108" s="116"/>
      <c r="VRC108" s="116"/>
      <c r="VRD108" s="116"/>
      <c r="VRE108" s="116"/>
      <c r="VRF108" s="116"/>
      <c r="VRG108" s="116"/>
      <c r="VRH108" s="116"/>
      <c r="VRI108" s="116"/>
      <c r="VRJ108" s="116"/>
      <c r="VRK108" s="116"/>
      <c r="VRL108" s="116"/>
      <c r="VRM108" s="116"/>
      <c r="VRN108" s="116"/>
      <c r="VRO108" s="116"/>
      <c r="VRP108" s="116"/>
      <c r="VRQ108" s="116"/>
      <c r="VRR108" s="116"/>
      <c r="VRS108" s="116"/>
      <c r="VRT108" s="116"/>
      <c r="VRU108" s="116"/>
      <c r="VRV108" s="116"/>
      <c r="VRW108" s="116"/>
      <c r="VRX108" s="116"/>
      <c r="VRY108" s="116"/>
      <c r="VRZ108" s="116"/>
      <c r="VSA108" s="116"/>
      <c r="VSB108" s="116"/>
      <c r="VSC108" s="116"/>
      <c r="VSD108" s="116"/>
      <c r="VSE108" s="116"/>
      <c r="VSF108" s="116"/>
      <c r="VSG108" s="116"/>
      <c r="VSH108" s="116"/>
      <c r="VSI108" s="116"/>
      <c r="VSJ108" s="116"/>
      <c r="VSK108" s="116"/>
      <c r="VSL108" s="116"/>
      <c r="VSM108" s="116"/>
      <c r="VSN108" s="116"/>
      <c r="VSO108" s="116"/>
      <c r="VSP108" s="116"/>
      <c r="VSQ108" s="116"/>
      <c r="VSR108" s="116"/>
      <c r="VSS108" s="116"/>
      <c r="VST108" s="116"/>
      <c r="VSU108" s="116"/>
      <c r="VSV108" s="116"/>
      <c r="VSW108" s="116"/>
      <c r="VSX108" s="116"/>
      <c r="VSY108" s="116"/>
      <c r="VSZ108" s="116"/>
      <c r="VTA108" s="116"/>
      <c r="VTB108" s="116"/>
      <c r="VTC108" s="116"/>
      <c r="VTD108" s="116"/>
      <c r="VTE108" s="116"/>
      <c r="VTF108" s="116"/>
      <c r="VTG108" s="116"/>
      <c r="VTH108" s="116"/>
      <c r="VTI108" s="116"/>
      <c r="VTJ108" s="116"/>
      <c r="VTK108" s="116"/>
      <c r="VTL108" s="116"/>
      <c r="VTM108" s="116"/>
      <c r="VTN108" s="116"/>
      <c r="VTO108" s="116"/>
      <c r="VTP108" s="116"/>
      <c r="VTQ108" s="116"/>
      <c r="VTR108" s="116"/>
      <c r="VTS108" s="116"/>
      <c r="VTT108" s="116"/>
      <c r="VTU108" s="116"/>
      <c r="VTV108" s="116"/>
      <c r="VTW108" s="116"/>
      <c r="VTX108" s="116"/>
      <c r="VTY108" s="116"/>
      <c r="VTZ108" s="116"/>
      <c r="VUA108" s="116"/>
      <c r="VUB108" s="116"/>
      <c r="VUC108" s="116"/>
      <c r="VUD108" s="116"/>
      <c r="VUE108" s="116"/>
      <c r="VUF108" s="116"/>
      <c r="VUG108" s="116"/>
      <c r="VUH108" s="116"/>
      <c r="VUI108" s="116"/>
      <c r="VUJ108" s="116"/>
      <c r="VUK108" s="116"/>
      <c r="VUL108" s="116"/>
      <c r="VUM108" s="116"/>
      <c r="VUN108" s="116"/>
      <c r="VUO108" s="116"/>
      <c r="VUP108" s="116"/>
      <c r="VUQ108" s="116"/>
      <c r="VUR108" s="116"/>
      <c r="VUS108" s="116"/>
      <c r="VUT108" s="116"/>
      <c r="VUU108" s="116"/>
      <c r="VUV108" s="116"/>
      <c r="VUW108" s="116"/>
      <c r="VUX108" s="116"/>
      <c r="VUY108" s="116"/>
      <c r="VUZ108" s="116"/>
      <c r="VVA108" s="116"/>
      <c r="VVB108" s="116"/>
      <c r="VVC108" s="116"/>
      <c r="VVD108" s="116"/>
      <c r="VVE108" s="116"/>
      <c r="VVF108" s="116"/>
      <c r="VVG108" s="116"/>
      <c r="VVH108" s="116"/>
      <c r="VVI108" s="116"/>
      <c r="VVJ108" s="116"/>
      <c r="VVK108" s="116"/>
      <c r="VVL108" s="116"/>
      <c r="VVM108" s="116"/>
      <c r="VVN108" s="116"/>
      <c r="VVO108" s="116"/>
      <c r="VVP108" s="116"/>
      <c r="VVQ108" s="116"/>
      <c r="VVR108" s="116"/>
      <c r="VVS108" s="116"/>
      <c r="VVT108" s="116"/>
      <c r="VVU108" s="116"/>
      <c r="VVV108" s="116"/>
      <c r="VVW108" s="116"/>
      <c r="VVX108" s="116"/>
      <c r="VVY108" s="116"/>
      <c r="VVZ108" s="116"/>
      <c r="VWA108" s="116"/>
      <c r="VWB108" s="116"/>
      <c r="VWC108" s="116"/>
      <c r="VWD108" s="116"/>
      <c r="VWE108" s="116"/>
      <c r="VWF108" s="116"/>
      <c r="VWG108" s="116"/>
      <c r="VWH108" s="116"/>
      <c r="VWI108" s="116"/>
      <c r="VWJ108" s="116"/>
      <c r="VWK108" s="116"/>
      <c r="VWL108" s="116"/>
      <c r="VWM108" s="116"/>
      <c r="VWN108" s="116"/>
      <c r="VWO108" s="116"/>
      <c r="VWP108" s="116"/>
      <c r="VWQ108" s="116"/>
      <c r="VWR108" s="116"/>
      <c r="VWS108" s="116"/>
      <c r="VWT108" s="116"/>
      <c r="VWU108" s="116"/>
      <c r="VWV108" s="116"/>
      <c r="VWW108" s="116"/>
      <c r="VWX108" s="116"/>
      <c r="VWY108" s="116"/>
      <c r="VWZ108" s="116"/>
      <c r="VXA108" s="116"/>
      <c r="VXB108" s="116"/>
      <c r="VXC108" s="116"/>
      <c r="VXD108" s="116"/>
      <c r="VXE108" s="116"/>
      <c r="VXF108" s="116"/>
      <c r="VXG108" s="116"/>
      <c r="VXH108" s="116"/>
      <c r="VXI108" s="116"/>
      <c r="VXJ108" s="116"/>
      <c r="VXK108" s="116"/>
      <c r="VXL108" s="116"/>
      <c r="VXM108" s="116"/>
      <c r="VXN108" s="116"/>
      <c r="VXO108" s="116"/>
      <c r="VXP108" s="116"/>
      <c r="VXQ108" s="116"/>
      <c r="VXR108" s="116"/>
      <c r="VXS108" s="116"/>
      <c r="VXT108" s="116"/>
      <c r="VXU108" s="116"/>
      <c r="VXV108" s="116"/>
      <c r="VXW108" s="116"/>
      <c r="VXX108" s="116"/>
      <c r="VXY108" s="116"/>
      <c r="VXZ108" s="116"/>
      <c r="VYA108" s="116"/>
      <c r="VYB108" s="116"/>
      <c r="VYC108" s="116"/>
      <c r="VYD108" s="116"/>
      <c r="VYE108" s="116"/>
      <c r="VYF108" s="116"/>
      <c r="VYG108" s="116"/>
      <c r="VYH108" s="116"/>
      <c r="VYI108" s="116"/>
      <c r="VYJ108" s="116"/>
      <c r="VYK108" s="116"/>
      <c r="VYL108" s="116"/>
      <c r="VYM108" s="116"/>
      <c r="VYN108" s="116"/>
      <c r="VYO108" s="116"/>
      <c r="VYP108" s="116"/>
      <c r="VYQ108" s="116"/>
      <c r="VYR108" s="116"/>
      <c r="VYS108" s="116"/>
      <c r="VYT108" s="116"/>
      <c r="VYU108" s="116"/>
      <c r="VYV108" s="116"/>
      <c r="VYW108" s="116"/>
      <c r="VYX108" s="116"/>
      <c r="VYY108" s="116"/>
      <c r="VYZ108" s="116"/>
      <c r="VZA108" s="116"/>
      <c r="VZB108" s="116"/>
      <c r="VZC108" s="116"/>
      <c r="VZD108" s="116"/>
      <c r="VZE108" s="116"/>
      <c r="VZF108" s="116"/>
      <c r="VZG108" s="116"/>
      <c r="VZH108" s="116"/>
      <c r="VZI108" s="116"/>
      <c r="VZJ108" s="116"/>
      <c r="VZK108" s="116"/>
      <c r="VZL108" s="116"/>
      <c r="VZM108" s="116"/>
      <c r="VZN108" s="116"/>
      <c r="VZO108" s="116"/>
      <c r="VZP108" s="116"/>
      <c r="VZQ108" s="116"/>
      <c r="VZR108" s="116"/>
      <c r="VZS108" s="116"/>
      <c r="VZT108" s="116"/>
      <c r="VZU108" s="116"/>
      <c r="VZV108" s="116"/>
      <c r="VZW108" s="116"/>
      <c r="VZX108" s="116"/>
      <c r="VZY108" s="116"/>
      <c r="VZZ108" s="116"/>
      <c r="WAA108" s="116"/>
      <c r="WAB108" s="116"/>
      <c r="WAC108" s="116"/>
      <c r="WAD108" s="116"/>
      <c r="WAE108" s="116"/>
      <c r="WAF108" s="116"/>
      <c r="WAG108" s="116"/>
      <c r="WAH108" s="116"/>
      <c r="WAI108" s="116"/>
      <c r="WAJ108" s="116"/>
      <c r="WAK108" s="116"/>
      <c r="WAL108" s="116"/>
      <c r="WAM108" s="116"/>
      <c r="WAN108" s="116"/>
      <c r="WAO108" s="116"/>
      <c r="WAP108" s="116"/>
      <c r="WAQ108" s="116"/>
      <c r="WAR108" s="116"/>
      <c r="WAS108" s="116"/>
      <c r="WAT108" s="116"/>
      <c r="WAU108" s="116"/>
      <c r="WAV108" s="116"/>
      <c r="WAW108" s="116"/>
      <c r="WAX108" s="116"/>
      <c r="WAY108" s="116"/>
      <c r="WAZ108" s="116"/>
      <c r="WBA108" s="116"/>
      <c r="WBB108" s="116"/>
      <c r="WBC108" s="116"/>
      <c r="WBD108" s="116"/>
      <c r="WBE108" s="116"/>
      <c r="WBF108" s="116"/>
      <c r="WBG108" s="116"/>
      <c r="WBH108" s="116"/>
      <c r="WBI108" s="116"/>
      <c r="WBJ108" s="116"/>
      <c r="WBK108" s="116"/>
      <c r="WBL108" s="116"/>
      <c r="WBM108" s="116"/>
      <c r="WBN108" s="116"/>
      <c r="WBO108" s="116"/>
      <c r="WBP108" s="116"/>
      <c r="WBQ108" s="116"/>
      <c r="WBR108" s="116"/>
      <c r="WBS108" s="116"/>
      <c r="WBT108" s="116"/>
      <c r="WBU108" s="116"/>
      <c r="WBV108" s="116"/>
      <c r="WBW108" s="116"/>
      <c r="WBX108" s="116"/>
      <c r="WBY108" s="116"/>
      <c r="WBZ108" s="116"/>
      <c r="WCA108" s="116"/>
      <c r="WCB108" s="116"/>
      <c r="WCC108" s="116"/>
      <c r="WCD108" s="116"/>
      <c r="WCE108" s="116"/>
      <c r="WCF108" s="116"/>
      <c r="WCG108" s="116"/>
      <c r="WCH108" s="116"/>
      <c r="WCI108" s="116"/>
      <c r="WCJ108" s="116"/>
      <c r="WCK108" s="116"/>
      <c r="WCL108" s="116"/>
      <c r="WCM108" s="116"/>
      <c r="WCN108" s="116"/>
      <c r="WCO108" s="116"/>
      <c r="WCP108" s="116"/>
      <c r="WCQ108" s="116"/>
      <c r="WCR108" s="116"/>
      <c r="WCS108" s="116"/>
      <c r="WCT108" s="116"/>
      <c r="WCU108" s="116"/>
      <c r="WCV108" s="116"/>
      <c r="WCW108" s="116"/>
      <c r="WCX108" s="116"/>
      <c r="WCY108" s="116"/>
      <c r="WCZ108" s="116"/>
      <c r="WDA108" s="116"/>
      <c r="WDB108" s="116"/>
      <c r="WDC108" s="116"/>
      <c r="WDD108" s="116"/>
      <c r="WDE108" s="116"/>
      <c r="WDF108" s="116"/>
      <c r="WDG108" s="116"/>
      <c r="WDH108" s="116"/>
      <c r="WDI108" s="116"/>
      <c r="WDJ108" s="116"/>
      <c r="WDK108" s="116"/>
      <c r="WDL108" s="116"/>
      <c r="WDM108" s="116"/>
      <c r="WDN108" s="116"/>
      <c r="WDO108" s="116"/>
      <c r="WDP108" s="116"/>
      <c r="WDQ108" s="116"/>
      <c r="WDR108" s="116"/>
      <c r="WDS108" s="116"/>
      <c r="WDT108" s="116"/>
      <c r="WDU108" s="116"/>
      <c r="WDV108" s="116"/>
      <c r="WDW108" s="116"/>
      <c r="WDX108" s="116"/>
      <c r="WDY108" s="116"/>
      <c r="WDZ108" s="116"/>
      <c r="WEA108" s="116"/>
      <c r="WEB108" s="116"/>
      <c r="WEC108" s="116"/>
      <c r="WED108" s="116"/>
      <c r="WEE108" s="116"/>
      <c r="WEF108" s="116"/>
      <c r="WEG108" s="116"/>
      <c r="WEH108" s="116"/>
      <c r="WEI108" s="116"/>
      <c r="WEJ108" s="116"/>
      <c r="WEK108" s="116"/>
      <c r="WEL108" s="116"/>
      <c r="WEM108" s="116"/>
      <c r="WEN108" s="116"/>
      <c r="WEO108" s="116"/>
      <c r="WEP108" s="116"/>
      <c r="WEQ108" s="116"/>
      <c r="WER108" s="116"/>
      <c r="WES108" s="116"/>
      <c r="WET108" s="116"/>
      <c r="WEU108" s="116"/>
      <c r="WEV108" s="116"/>
      <c r="WEW108" s="116"/>
      <c r="WEX108" s="116"/>
      <c r="WEY108" s="116"/>
      <c r="WEZ108" s="116"/>
      <c r="WFA108" s="116"/>
      <c r="WFB108" s="116"/>
      <c r="WFC108" s="116"/>
      <c r="WFD108" s="116"/>
      <c r="WFE108" s="116"/>
      <c r="WFF108" s="116"/>
      <c r="WFG108" s="116"/>
      <c r="WFH108" s="116"/>
      <c r="WFI108" s="116"/>
      <c r="WFJ108" s="116"/>
      <c r="WFK108" s="116"/>
      <c r="WFL108" s="116"/>
      <c r="WFM108" s="116"/>
      <c r="WFN108" s="116"/>
      <c r="WFO108" s="116"/>
      <c r="WFP108" s="116"/>
      <c r="WFQ108" s="116"/>
      <c r="WFR108" s="116"/>
      <c r="WFS108" s="116"/>
      <c r="WFT108" s="116"/>
      <c r="WFU108" s="116"/>
      <c r="WFV108" s="116"/>
      <c r="WFW108" s="116"/>
      <c r="WFX108" s="116"/>
      <c r="WFY108" s="116"/>
      <c r="WFZ108" s="116"/>
      <c r="WGA108" s="116"/>
      <c r="WGB108" s="116"/>
      <c r="WGC108" s="116"/>
      <c r="WGD108" s="116"/>
      <c r="WGE108" s="116"/>
      <c r="WGF108" s="116"/>
      <c r="WGG108" s="116"/>
      <c r="WGH108" s="116"/>
      <c r="WGI108" s="116"/>
      <c r="WGJ108" s="116"/>
      <c r="WGK108" s="116"/>
      <c r="WGL108" s="116"/>
      <c r="WGM108" s="116"/>
      <c r="WGN108" s="116"/>
      <c r="WGO108" s="116"/>
      <c r="WGP108" s="116"/>
      <c r="WGQ108" s="116"/>
      <c r="WGR108" s="116"/>
      <c r="WGS108" s="116"/>
      <c r="WGT108" s="116"/>
      <c r="WGU108" s="116"/>
      <c r="WGV108" s="116"/>
      <c r="WGW108" s="116"/>
      <c r="WGX108" s="116"/>
      <c r="WGY108" s="116"/>
      <c r="WGZ108" s="116"/>
      <c r="WHA108" s="116"/>
      <c r="WHB108" s="116"/>
      <c r="WHC108" s="116"/>
      <c r="WHD108" s="116"/>
      <c r="WHE108" s="116"/>
      <c r="WHF108" s="116"/>
      <c r="WHG108" s="116"/>
      <c r="WHH108" s="116"/>
      <c r="WHI108" s="116"/>
      <c r="WHJ108" s="116"/>
      <c r="WHK108" s="116"/>
      <c r="WHL108" s="116"/>
      <c r="WHM108" s="116"/>
      <c r="WHN108" s="116"/>
      <c r="WHO108" s="116"/>
      <c r="WHP108" s="116"/>
      <c r="WHQ108" s="116"/>
      <c r="WHR108" s="116"/>
      <c r="WHS108" s="116"/>
      <c r="WHT108" s="116"/>
      <c r="WHU108" s="116"/>
      <c r="WHV108" s="116"/>
      <c r="WHW108" s="116"/>
      <c r="WHX108" s="116"/>
      <c r="WHY108" s="116"/>
      <c r="WHZ108" s="116"/>
      <c r="WIA108" s="116"/>
      <c r="WIB108" s="116"/>
      <c r="WIC108" s="116"/>
      <c r="WID108" s="116"/>
      <c r="WIE108" s="116"/>
      <c r="WIF108" s="116"/>
      <c r="WIG108" s="116"/>
      <c r="WIH108" s="116"/>
      <c r="WII108" s="116"/>
      <c r="WIJ108" s="116"/>
      <c r="WIK108" s="116"/>
      <c r="WIL108" s="116"/>
      <c r="WIM108" s="116"/>
      <c r="WIN108" s="116"/>
      <c r="WIO108" s="116"/>
      <c r="WIP108" s="116"/>
      <c r="WIQ108" s="116"/>
      <c r="WIR108" s="116"/>
      <c r="WIS108" s="116"/>
      <c r="WIT108" s="116"/>
      <c r="WIU108" s="116"/>
      <c r="WIV108" s="116"/>
      <c r="WIW108" s="116"/>
      <c r="WIX108" s="116"/>
      <c r="WIY108" s="116"/>
      <c r="WIZ108" s="116"/>
      <c r="WJA108" s="116"/>
      <c r="WJB108" s="116"/>
      <c r="WJC108" s="116"/>
      <c r="WJD108" s="116"/>
      <c r="WJE108" s="116"/>
      <c r="WJF108" s="116"/>
      <c r="WJG108" s="116"/>
      <c r="WJH108" s="116"/>
      <c r="WJI108" s="116"/>
      <c r="WJJ108" s="116"/>
      <c r="WJK108" s="116"/>
      <c r="WJL108" s="116"/>
      <c r="WJM108" s="116"/>
      <c r="WJN108" s="116"/>
      <c r="WJO108" s="116"/>
      <c r="WJP108" s="116"/>
      <c r="WJQ108" s="116"/>
      <c r="WJR108" s="116"/>
      <c r="WJS108" s="116"/>
      <c r="WJT108" s="116"/>
      <c r="WJU108" s="116"/>
      <c r="WJV108" s="116"/>
      <c r="WJW108" s="116"/>
      <c r="WJX108" s="116"/>
      <c r="WJY108" s="116"/>
      <c r="WJZ108" s="116"/>
      <c r="WKA108" s="116"/>
      <c r="WKB108" s="116"/>
      <c r="WKC108" s="116"/>
      <c r="WKD108" s="116"/>
      <c r="WKE108" s="116"/>
      <c r="WKF108" s="116"/>
      <c r="WKG108" s="116"/>
      <c r="WKH108" s="116"/>
      <c r="WKI108" s="116"/>
      <c r="WKJ108" s="116"/>
      <c r="WKK108" s="116"/>
      <c r="WKL108" s="116"/>
      <c r="WKM108" s="116"/>
      <c r="WKN108" s="116"/>
      <c r="WKO108" s="116"/>
      <c r="WKP108" s="116"/>
      <c r="WKQ108" s="116"/>
      <c r="WKR108" s="116"/>
      <c r="WKS108" s="116"/>
      <c r="WKT108" s="116"/>
      <c r="WKU108" s="116"/>
      <c r="WKV108" s="116"/>
      <c r="WKW108" s="116"/>
      <c r="WKX108" s="116"/>
      <c r="WKY108" s="116"/>
      <c r="WKZ108" s="116"/>
      <c r="WLA108" s="116"/>
      <c r="WLB108" s="116"/>
      <c r="WLC108" s="116"/>
      <c r="WLD108" s="116"/>
      <c r="WLE108" s="116"/>
      <c r="WLF108" s="116"/>
      <c r="WLG108" s="116"/>
      <c r="WLH108" s="116"/>
      <c r="WLI108" s="116"/>
      <c r="WLJ108" s="116"/>
      <c r="WLK108" s="116"/>
      <c r="WLL108" s="116"/>
      <c r="WLM108" s="116"/>
      <c r="WLN108" s="116"/>
      <c r="WLO108" s="116"/>
      <c r="WLP108" s="116"/>
      <c r="WLQ108" s="116"/>
      <c r="WLR108" s="116"/>
      <c r="WLS108" s="116"/>
      <c r="WLT108" s="116"/>
      <c r="WLU108" s="116"/>
      <c r="WLV108" s="116"/>
      <c r="WLW108" s="116"/>
      <c r="WLX108" s="116"/>
      <c r="WLY108" s="116"/>
      <c r="WLZ108" s="116"/>
      <c r="WMA108" s="116"/>
      <c r="WMB108" s="116"/>
      <c r="WMC108" s="116"/>
      <c r="WMD108" s="116"/>
      <c r="WME108" s="116"/>
      <c r="WMF108" s="116"/>
      <c r="WMG108" s="116"/>
      <c r="WMH108" s="116"/>
      <c r="WMI108" s="116"/>
      <c r="WMJ108" s="116"/>
      <c r="WMK108" s="116"/>
      <c r="WML108" s="116"/>
      <c r="WMM108" s="116"/>
      <c r="WMN108" s="116"/>
      <c r="WMO108" s="116"/>
      <c r="WMP108" s="116"/>
      <c r="WMQ108" s="116"/>
      <c r="WMR108" s="116"/>
      <c r="WMS108" s="116"/>
      <c r="WMT108" s="116"/>
      <c r="WMU108" s="116"/>
      <c r="WMV108" s="116"/>
      <c r="WMW108" s="116"/>
      <c r="WMX108" s="116"/>
      <c r="WMY108" s="116"/>
      <c r="WMZ108" s="116"/>
      <c r="WNA108" s="116"/>
      <c r="WNB108" s="116"/>
      <c r="WNC108" s="116"/>
      <c r="WND108" s="116"/>
      <c r="WNE108" s="116"/>
      <c r="WNF108" s="116"/>
      <c r="WNG108" s="116"/>
      <c r="WNH108" s="116"/>
      <c r="WNI108" s="116"/>
      <c r="WNJ108" s="116"/>
      <c r="WNK108" s="116"/>
      <c r="WNL108" s="116"/>
      <c r="WNM108" s="116"/>
      <c r="WNN108" s="116"/>
      <c r="WNO108" s="116"/>
      <c r="WNP108" s="116"/>
      <c r="WNQ108" s="116"/>
      <c r="WNR108" s="116"/>
      <c r="WNS108" s="116"/>
      <c r="WNT108" s="116"/>
      <c r="WNU108" s="116"/>
      <c r="WNV108" s="116"/>
      <c r="WNW108" s="116"/>
      <c r="WNX108" s="116"/>
      <c r="WNY108" s="116"/>
      <c r="WNZ108" s="116"/>
      <c r="WOA108" s="116"/>
      <c r="WOB108" s="116"/>
      <c r="WOC108" s="116"/>
      <c r="WOD108" s="116"/>
      <c r="WOE108" s="116"/>
      <c r="WOF108" s="116"/>
      <c r="WOG108" s="116"/>
      <c r="WOH108" s="116"/>
      <c r="WOI108" s="116"/>
      <c r="WOJ108" s="116"/>
      <c r="WOK108" s="116"/>
      <c r="WOL108" s="116"/>
      <c r="WOM108" s="116"/>
      <c r="WON108" s="116"/>
      <c r="WOO108" s="116"/>
      <c r="WOP108" s="116"/>
      <c r="WOQ108" s="116"/>
      <c r="WOR108" s="116"/>
      <c r="WOS108" s="116"/>
      <c r="WOT108" s="116"/>
      <c r="WOU108" s="116"/>
      <c r="WOV108" s="116"/>
      <c r="WOW108" s="116"/>
      <c r="WOX108" s="116"/>
      <c r="WOY108" s="116"/>
      <c r="WOZ108" s="116"/>
      <c r="WPA108" s="116"/>
      <c r="WPB108" s="116"/>
      <c r="WPC108" s="116"/>
      <c r="WPD108" s="116"/>
      <c r="WPE108" s="116"/>
      <c r="WPF108" s="116"/>
      <c r="WPG108" s="116"/>
      <c r="WPH108" s="116"/>
      <c r="WPI108" s="116"/>
      <c r="WPJ108" s="116"/>
      <c r="WPK108" s="116"/>
      <c r="WPL108" s="116"/>
      <c r="WPM108" s="116"/>
      <c r="WPN108" s="116"/>
      <c r="WPO108" s="116"/>
      <c r="WPP108" s="116"/>
      <c r="WPQ108" s="116"/>
      <c r="WPR108" s="116"/>
      <c r="WPS108" s="116"/>
      <c r="WPT108" s="116"/>
      <c r="WPU108" s="116"/>
      <c r="WPV108" s="116"/>
      <c r="WPW108" s="116"/>
      <c r="WPX108" s="116"/>
      <c r="WPY108" s="116"/>
      <c r="WPZ108" s="116"/>
      <c r="WQA108" s="116"/>
      <c r="WQB108" s="116"/>
      <c r="WQC108" s="116"/>
      <c r="WQD108" s="116"/>
      <c r="WQE108" s="116"/>
      <c r="WQF108" s="116"/>
      <c r="WQG108" s="116"/>
      <c r="WQH108" s="116"/>
      <c r="WQI108" s="116"/>
      <c r="WQJ108" s="116"/>
      <c r="WQK108" s="116"/>
      <c r="WQL108" s="116"/>
      <c r="WQM108" s="116"/>
      <c r="WQN108" s="116"/>
      <c r="WQO108" s="116"/>
      <c r="WQP108" s="116"/>
      <c r="WQQ108" s="116"/>
      <c r="WQR108" s="116"/>
      <c r="WQS108" s="116"/>
      <c r="WQT108" s="116"/>
      <c r="WQU108" s="116"/>
      <c r="WQV108" s="116"/>
      <c r="WQW108" s="116"/>
      <c r="WQX108" s="116"/>
      <c r="WQY108" s="116"/>
      <c r="WQZ108" s="116"/>
      <c r="WRA108" s="116"/>
      <c r="WRB108" s="116"/>
      <c r="WRC108" s="116"/>
      <c r="WRD108" s="116"/>
      <c r="WRE108" s="116"/>
      <c r="WRF108" s="116"/>
      <c r="WRG108" s="116"/>
      <c r="WRH108" s="116"/>
      <c r="WRI108" s="116"/>
      <c r="WRJ108" s="116"/>
      <c r="WRK108" s="116"/>
      <c r="WRL108" s="116"/>
      <c r="WRM108" s="116"/>
      <c r="WRN108" s="116"/>
      <c r="WRO108" s="116"/>
      <c r="WRP108" s="116"/>
      <c r="WRQ108" s="116"/>
      <c r="WRR108" s="116"/>
      <c r="WRS108" s="116"/>
      <c r="WRT108" s="116"/>
      <c r="WRU108" s="116"/>
      <c r="WRV108" s="116"/>
      <c r="WRW108" s="116"/>
      <c r="WRX108" s="116"/>
      <c r="WRY108" s="116"/>
      <c r="WRZ108" s="116"/>
      <c r="WSA108" s="116"/>
      <c r="WSB108" s="116"/>
      <c r="WSC108" s="116"/>
      <c r="WSD108" s="116"/>
      <c r="WSE108" s="116"/>
      <c r="WSF108" s="116"/>
      <c r="WSG108" s="116"/>
      <c r="WSH108" s="116"/>
      <c r="WSI108" s="116"/>
      <c r="WSJ108" s="116"/>
      <c r="WSK108" s="116"/>
      <c r="WSL108" s="116"/>
      <c r="WSM108" s="116"/>
      <c r="WSN108" s="116"/>
      <c r="WSO108" s="116"/>
      <c r="WSP108" s="116"/>
      <c r="WSQ108" s="116"/>
      <c r="WSR108" s="116"/>
      <c r="WSS108" s="116"/>
      <c r="WST108" s="116"/>
      <c r="WSU108" s="116"/>
      <c r="WSV108" s="116"/>
      <c r="WSW108" s="116"/>
      <c r="WSX108" s="116"/>
      <c r="WSY108" s="116"/>
      <c r="WSZ108" s="116"/>
      <c r="WTA108" s="116"/>
      <c r="WTB108" s="116"/>
      <c r="WTC108" s="116"/>
      <c r="WTD108" s="116"/>
      <c r="WTE108" s="116"/>
      <c r="WTF108" s="116"/>
      <c r="WTG108" s="116"/>
      <c r="WTH108" s="116"/>
      <c r="WTI108" s="116"/>
      <c r="WTJ108" s="116"/>
      <c r="WTK108" s="116"/>
      <c r="WTL108" s="116"/>
      <c r="WTM108" s="116"/>
      <c r="WTN108" s="116"/>
      <c r="WTO108" s="116"/>
      <c r="WTP108" s="116"/>
      <c r="WTQ108" s="116"/>
      <c r="WTR108" s="116"/>
      <c r="WTS108" s="116"/>
      <c r="WTT108" s="116"/>
      <c r="WTU108" s="116"/>
      <c r="WTV108" s="116"/>
      <c r="WTW108" s="116"/>
      <c r="WTX108" s="116"/>
      <c r="WTY108" s="116"/>
      <c r="WTZ108" s="116"/>
      <c r="WUA108" s="116"/>
      <c r="WUB108" s="116"/>
      <c r="WUC108" s="116"/>
      <c r="WUD108" s="116"/>
      <c r="WUE108" s="116"/>
      <c r="WUF108" s="116"/>
      <c r="WUG108" s="116"/>
      <c r="WUH108" s="116"/>
      <c r="WUI108" s="116"/>
      <c r="WUJ108" s="116"/>
      <c r="WUK108" s="116"/>
      <c r="WUL108" s="116"/>
      <c r="WUM108" s="116"/>
      <c r="WUN108" s="116"/>
      <c r="WUO108" s="116"/>
      <c r="WUP108" s="116"/>
      <c r="WUQ108" s="116"/>
      <c r="WUR108" s="116"/>
      <c r="WUS108" s="116"/>
      <c r="WUT108" s="116"/>
      <c r="WUU108" s="116"/>
      <c r="WUV108" s="116"/>
      <c r="WUW108" s="116"/>
      <c r="WUX108" s="116"/>
      <c r="WUY108" s="116"/>
      <c r="WUZ108" s="116"/>
      <c r="WVA108" s="116"/>
      <c r="WVB108" s="116"/>
      <c r="WVC108" s="116"/>
      <c r="WVD108" s="116"/>
      <c r="WVE108" s="116"/>
      <c r="WVF108" s="116"/>
      <c r="WVG108" s="116"/>
      <c r="WVH108" s="116"/>
      <c r="WVI108" s="116"/>
      <c r="WVJ108" s="116"/>
      <c r="WVK108" s="116"/>
      <c r="WVL108" s="116"/>
      <c r="WVM108" s="116"/>
      <c r="WVN108" s="116"/>
      <c r="WVO108" s="116"/>
      <c r="WVP108" s="116"/>
      <c r="WVQ108" s="116"/>
      <c r="WVR108" s="116"/>
      <c r="WVS108" s="116"/>
      <c r="WVT108" s="116"/>
      <c r="WVU108" s="116"/>
      <c r="WVV108" s="116"/>
      <c r="WVW108" s="116"/>
      <c r="WVX108" s="116"/>
      <c r="WVY108" s="116"/>
      <c r="WVZ108" s="116"/>
      <c r="WWA108" s="116"/>
      <c r="WWB108" s="116"/>
      <c r="WWC108" s="116"/>
      <c r="WWD108" s="116"/>
      <c r="WWE108" s="116"/>
      <c r="WWF108" s="116"/>
      <c r="WWG108" s="116"/>
      <c r="WWH108" s="116"/>
      <c r="WWI108" s="116"/>
      <c r="WWJ108" s="116"/>
      <c r="WWK108" s="116"/>
      <c r="WWL108" s="116"/>
      <c r="WWM108" s="116"/>
      <c r="WWN108" s="116"/>
      <c r="WWO108" s="116"/>
      <c r="WWP108" s="116"/>
      <c r="WWQ108" s="116"/>
      <c r="WWR108" s="116"/>
      <c r="WWS108" s="116"/>
      <c r="WWT108" s="116"/>
      <c r="WWU108" s="116"/>
      <c r="WWV108" s="116"/>
      <c r="WWW108" s="116"/>
      <c r="WWX108" s="116"/>
      <c r="WWY108" s="116"/>
      <c r="WWZ108" s="116"/>
      <c r="WXA108" s="116"/>
      <c r="WXB108" s="116"/>
      <c r="WXC108" s="116"/>
      <c r="WXD108" s="116"/>
      <c r="WXE108" s="116"/>
      <c r="WXF108" s="116"/>
      <c r="WXG108" s="116"/>
      <c r="WXH108" s="116"/>
      <c r="WXI108" s="116"/>
      <c r="WXJ108" s="116"/>
      <c r="WXK108" s="116"/>
      <c r="WXL108" s="116"/>
      <c r="WXM108" s="116"/>
      <c r="WXN108" s="116"/>
      <c r="WXO108" s="116"/>
      <c r="WXP108" s="116"/>
      <c r="WXQ108" s="116"/>
      <c r="WXR108" s="116"/>
      <c r="WXS108" s="116"/>
      <c r="WXT108" s="116"/>
      <c r="WXU108" s="116"/>
      <c r="WXV108" s="116"/>
      <c r="WXW108" s="116"/>
      <c r="WXX108" s="116"/>
      <c r="WXY108" s="116"/>
      <c r="WXZ108" s="116"/>
      <c r="WYA108" s="116"/>
      <c r="WYB108" s="116"/>
      <c r="WYC108" s="116"/>
      <c r="WYD108" s="116"/>
      <c r="WYE108" s="116"/>
      <c r="WYF108" s="116"/>
      <c r="WYG108" s="116"/>
      <c r="WYH108" s="116"/>
      <c r="WYI108" s="116"/>
      <c r="WYJ108" s="116"/>
      <c r="WYK108" s="116"/>
      <c r="WYL108" s="116"/>
      <c r="WYM108" s="116"/>
      <c r="WYN108" s="116"/>
      <c r="WYO108" s="116"/>
      <c r="WYP108" s="116"/>
      <c r="WYQ108" s="116"/>
      <c r="WYR108" s="116"/>
      <c r="WYS108" s="116"/>
      <c r="WYT108" s="116"/>
      <c r="WYU108" s="116"/>
      <c r="WYV108" s="116"/>
      <c r="WYW108" s="116"/>
      <c r="WYX108" s="116"/>
      <c r="WYY108" s="116"/>
      <c r="WYZ108" s="116"/>
      <c r="WZA108" s="116"/>
      <c r="WZB108" s="116"/>
      <c r="WZC108" s="116"/>
      <c r="WZD108" s="116"/>
      <c r="WZE108" s="116"/>
      <c r="WZF108" s="116"/>
      <c r="WZG108" s="116"/>
      <c r="WZH108" s="116"/>
      <c r="WZI108" s="116"/>
      <c r="WZJ108" s="116"/>
      <c r="WZK108" s="116"/>
      <c r="WZL108" s="116"/>
      <c r="WZM108" s="116"/>
      <c r="WZN108" s="116"/>
      <c r="WZO108" s="116"/>
      <c r="WZP108" s="116"/>
      <c r="WZQ108" s="116"/>
      <c r="WZR108" s="116"/>
      <c r="WZS108" s="116"/>
      <c r="WZT108" s="116"/>
      <c r="WZU108" s="116"/>
      <c r="WZV108" s="116"/>
      <c r="WZW108" s="116"/>
      <c r="WZX108" s="116"/>
      <c r="WZY108" s="116"/>
      <c r="WZZ108" s="116"/>
      <c r="XAA108" s="116"/>
      <c r="XAB108" s="116"/>
      <c r="XAC108" s="116"/>
      <c r="XAD108" s="116"/>
      <c r="XAE108" s="116"/>
      <c r="XAF108" s="116"/>
      <c r="XAG108" s="116"/>
      <c r="XAH108" s="116"/>
      <c r="XAI108" s="116"/>
      <c r="XAJ108" s="116"/>
      <c r="XAK108" s="116"/>
      <c r="XAL108" s="116"/>
      <c r="XAM108" s="116"/>
      <c r="XAN108" s="116"/>
      <c r="XAO108" s="116"/>
      <c r="XAP108" s="116"/>
      <c r="XAQ108" s="116"/>
      <c r="XAR108" s="116"/>
      <c r="XAS108" s="116"/>
      <c r="XAT108" s="116"/>
      <c r="XAU108" s="116"/>
      <c r="XAV108" s="116"/>
      <c r="XAW108" s="116"/>
      <c r="XAX108" s="116"/>
      <c r="XAY108" s="116"/>
      <c r="XAZ108" s="116"/>
      <c r="XBA108" s="116"/>
      <c r="XBB108" s="116"/>
      <c r="XBC108" s="116"/>
      <c r="XBD108" s="116"/>
      <c r="XBE108" s="116"/>
      <c r="XBF108" s="116"/>
      <c r="XBG108" s="116"/>
      <c r="XBH108" s="116"/>
      <c r="XBI108" s="116"/>
      <c r="XBJ108" s="116"/>
      <c r="XBK108" s="116"/>
      <c r="XBL108" s="116"/>
      <c r="XBM108" s="116"/>
      <c r="XBN108" s="116"/>
      <c r="XBO108" s="116"/>
      <c r="XBP108" s="116"/>
      <c r="XBQ108" s="116"/>
      <c r="XBR108" s="116"/>
      <c r="XBS108" s="116"/>
      <c r="XBT108" s="116"/>
      <c r="XBU108" s="116"/>
      <c r="XBV108" s="116"/>
      <c r="XBW108" s="116"/>
      <c r="XBX108" s="116"/>
      <c r="XBY108" s="116"/>
      <c r="XBZ108" s="116"/>
      <c r="XCA108" s="116"/>
      <c r="XCB108" s="116"/>
      <c r="XCC108" s="116"/>
      <c r="XCD108" s="116"/>
      <c r="XCE108" s="116"/>
      <c r="XCF108" s="116"/>
      <c r="XCG108" s="116"/>
      <c r="XCH108" s="116"/>
      <c r="XCI108" s="116"/>
      <c r="XCJ108" s="116"/>
      <c r="XCK108" s="116"/>
      <c r="XCL108" s="116"/>
      <c r="XCM108" s="116"/>
      <c r="XCN108" s="116"/>
      <c r="XCO108" s="116"/>
      <c r="XCP108" s="116"/>
      <c r="XCQ108" s="116"/>
      <c r="XCR108" s="116"/>
      <c r="XCS108" s="116"/>
      <c r="XCT108" s="116"/>
      <c r="XCU108" s="116"/>
      <c r="XCV108" s="116"/>
      <c r="XCW108" s="116"/>
      <c r="XCX108" s="116"/>
      <c r="XCY108" s="116"/>
      <c r="XCZ108" s="116"/>
      <c r="XDA108" s="116"/>
      <c r="XDB108" s="116"/>
      <c r="XDC108" s="116"/>
      <c r="XDD108" s="116"/>
      <c r="XDE108" s="116"/>
      <c r="XDF108" s="116"/>
      <c r="XDG108" s="116"/>
      <c r="XDH108" s="116"/>
      <c r="XDI108" s="116"/>
      <c r="XDJ108" s="116"/>
      <c r="XDK108" s="116"/>
      <c r="XDL108" s="116"/>
      <c r="XDM108" s="116"/>
      <c r="XDN108" s="116"/>
      <c r="XDO108" s="116"/>
      <c r="XDP108" s="116"/>
      <c r="XDQ108" s="116"/>
      <c r="XDR108" s="116"/>
      <c r="XDS108" s="116"/>
      <c r="XDT108" s="116"/>
      <c r="XDU108" s="116"/>
      <c r="XDV108" s="116"/>
      <c r="XDW108" s="116"/>
      <c r="XDX108" s="116"/>
      <c r="XDY108" s="116"/>
      <c r="XDZ108" s="116"/>
      <c r="XEA108" s="116"/>
      <c r="XEB108" s="116"/>
      <c r="XEC108" s="116"/>
      <c r="XED108" s="116"/>
      <c r="XEE108" s="116"/>
      <c r="XEF108" s="116"/>
      <c r="XEG108" s="116"/>
      <c r="XEH108" s="116"/>
      <c r="XEI108" s="116"/>
      <c r="XEJ108" s="116"/>
      <c r="XEK108" s="116"/>
      <c r="XEL108" s="116"/>
      <c r="XEM108" s="116"/>
      <c r="XEN108" s="116"/>
      <c r="XEO108" s="116"/>
      <c r="XEP108" s="116"/>
      <c r="XEQ108" s="116"/>
      <c r="XER108" s="116"/>
      <c r="XES108" s="116"/>
      <c r="XET108" s="116"/>
      <c r="XEU108" s="116"/>
      <c r="XEV108" s="116"/>
      <c r="XEW108" s="116"/>
      <c r="XEX108" s="116"/>
      <c r="XEY108" s="116"/>
      <c r="XEZ108" s="116"/>
      <c r="XFA108" s="116"/>
      <c r="XFB108" s="116"/>
      <c r="XFC108" s="116"/>
    </row>
    <row r="109" s="116" customFormat="1" ht="20" customHeight="1" spans="1:1024 1025:16383">
      <c r="A109" s="171">
        <v>103</v>
      </c>
      <c r="B109" s="179"/>
      <c r="C109" s="179"/>
      <c r="D109" s="179"/>
      <c r="E109" s="171"/>
      <c r="F109" s="171" t="s">
        <v>73</v>
      </c>
      <c r="G109" s="171"/>
      <c r="H109" s="171"/>
      <c r="I109" s="171"/>
      <c r="J109" s="171"/>
      <c r="K109" s="184" t="s">
        <v>521</v>
      </c>
      <c r="L109" s="173" t="s">
        <v>629</v>
      </c>
      <c r="M109" s="173" t="s">
        <v>120</v>
      </c>
      <c r="N109" s="174" t="s">
        <v>96</v>
      </c>
      <c r="O109" s="174" t="s">
        <v>96</v>
      </c>
      <c r="P109" s="174" t="s">
        <v>78</v>
      </c>
      <c r="Q109" s="174" t="s">
        <v>77</v>
      </c>
      <c r="R109" s="174" t="str">
        <f t="shared" si="43"/>
        <v>主要Major</v>
      </c>
      <c r="S109" s="175" t="s">
        <v>78</v>
      </c>
      <c r="T109" s="186" t="s">
        <v>523</v>
      </c>
      <c r="U109" s="175" t="s">
        <v>630</v>
      </c>
      <c r="V109" s="171" t="s">
        <v>631</v>
      </c>
      <c r="W109" s="171" t="s">
        <v>111</v>
      </c>
      <c r="X109" s="176">
        <f t="shared" si="44"/>
        <v>1</v>
      </c>
      <c r="Y109" s="171" t="s">
        <v>83</v>
      </c>
      <c r="Z109" s="176">
        <f t="shared" si="45"/>
        <v>6</v>
      </c>
      <c r="AA109" s="171" t="s">
        <v>84</v>
      </c>
      <c r="AB109" s="176">
        <f t="shared" si="46"/>
        <v>3</v>
      </c>
      <c r="AC109" s="171" t="s">
        <v>85</v>
      </c>
      <c r="AD109" s="176">
        <f t="shared" si="47"/>
        <v>4</v>
      </c>
      <c r="AE109" s="171" t="s">
        <v>86</v>
      </c>
      <c r="AF109" s="176" cm="1">
        <f t="array" ref="AF109">IF(OR(AE109="/",AE109=""),"/",IF(ISNUMBER(SEARCH("普通",AE109)),0,IF(ISNUMBER(SEARCH("专用",AE109)),4,IF(ISNUMBER(SEARCH("定制",AE109)),7,IF(ISNUMBER(SEARCH("多个定制",AE109)),9,””)))))</f>
        <v>4</v>
      </c>
      <c r="AG109" s="176">
        <f t="shared" si="48"/>
        <v>18</v>
      </c>
      <c r="AH109" s="176" t="str">
        <f t="shared" si="49"/>
        <v>中Medium</v>
      </c>
      <c r="AI109" s="176" t="s">
        <v>87</v>
      </c>
      <c r="AJ109" s="176" t="str">
        <f t="shared" si="16"/>
        <v>降低
Reucing</v>
      </c>
      <c r="AK109" s="182" t="s">
        <v>525</v>
      </c>
      <c r="AL109" s="177" t="s">
        <v>632</v>
      </c>
      <c r="AM109" s="180" t="s">
        <v>134</v>
      </c>
      <c r="AN109" s="178" t="s">
        <v>135</v>
      </c>
      <c r="AO109" s="178" t="s">
        <v>136</v>
      </c>
    </row>
    <row r="110" s="116" customFormat="1" ht="20" customHeight="1" spans="1:1024 1025:16383">
      <c r="A110" s="171">
        <v>104</v>
      </c>
      <c r="B110" s="179"/>
      <c r="C110" s="179"/>
      <c r="D110" s="179"/>
      <c r="E110" s="171"/>
      <c r="F110" s="171"/>
      <c r="G110" s="171" t="s">
        <v>73</v>
      </c>
      <c r="H110" s="171"/>
      <c r="I110" s="171"/>
      <c r="J110" s="171"/>
      <c r="K110" s="173" t="s">
        <v>527</v>
      </c>
      <c r="L110" s="173" t="s">
        <v>633</v>
      </c>
      <c r="M110" s="173" t="s">
        <v>634</v>
      </c>
      <c r="N110" s="185" t="s">
        <v>77</v>
      </c>
      <c r="O110" s="185" t="s">
        <v>77</v>
      </c>
      <c r="P110" s="174" t="s">
        <v>78</v>
      </c>
      <c r="Q110" s="174" t="s">
        <v>96</v>
      </c>
      <c r="R110" s="174" t="str">
        <f t="shared" si="43"/>
        <v>主要Major</v>
      </c>
      <c r="S110" s="175" t="s">
        <v>78</v>
      </c>
      <c r="T110" s="175" t="s">
        <v>529</v>
      </c>
      <c r="U110" s="175" t="s">
        <v>635</v>
      </c>
      <c r="V110" s="171" t="s">
        <v>636</v>
      </c>
      <c r="W110" s="171" t="s">
        <v>111</v>
      </c>
      <c r="X110" s="176">
        <f t="shared" si="44"/>
        <v>1</v>
      </c>
      <c r="Y110" s="171" t="s">
        <v>83</v>
      </c>
      <c r="Z110" s="176">
        <f t="shared" si="45"/>
        <v>6</v>
      </c>
      <c r="AA110" s="171" t="s">
        <v>84</v>
      </c>
      <c r="AB110" s="176">
        <f t="shared" si="46"/>
        <v>3</v>
      </c>
      <c r="AC110" s="171" t="s">
        <v>191</v>
      </c>
      <c r="AD110" s="176">
        <f t="shared" si="47"/>
        <v>1</v>
      </c>
      <c r="AE110" s="182" t="s">
        <v>143</v>
      </c>
      <c r="AF110" s="176" cm="1">
        <f t="array" ref="AF110">IF(OR(AE110="/",AE110=""),"/",IF(ISNUMBER(SEARCH("普通",AE110)),0,IF(ISNUMBER(SEARCH("专用",AE110)),4,IF(ISNUMBER(SEARCH("定制",AE110)),7,IF(ISNUMBER(SEARCH("多个定制",AE110)),9,””)))))</f>
        <v>7</v>
      </c>
      <c r="AG110" s="176">
        <f t="shared" si="48"/>
        <v>18</v>
      </c>
      <c r="AH110" s="176" t="str">
        <f t="shared" si="49"/>
        <v>中Medium</v>
      </c>
      <c r="AI110" s="176" t="s">
        <v>87</v>
      </c>
      <c r="AJ110" s="176" t="str">
        <f t="shared" si="16"/>
        <v>降低
Reucing</v>
      </c>
      <c r="AK110" s="171" t="s">
        <v>531</v>
      </c>
      <c r="AL110" s="177" t="s">
        <v>637</v>
      </c>
      <c r="AM110" s="180" t="s">
        <v>638</v>
      </c>
      <c r="AN110" s="178" t="s">
        <v>392</v>
      </c>
      <c r="AO110" s="178" t="s">
        <v>393</v>
      </c>
    </row>
    <row r="111" s="116" customFormat="1" ht="20" customHeight="1" spans="1:1024 1025:16383">
      <c r="A111" s="171">
        <v>105</v>
      </c>
      <c r="B111" s="179"/>
      <c r="C111" s="179"/>
      <c r="D111" s="179"/>
      <c r="E111" s="171"/>
      <c r="F111" s="171"/>
      <c r="G111" s="171" t="s">
        <v>73</v>
      </c>
      <c r="H111" s="171"/>
      <c r="I111" s="171"/>
      <c r="J111" s="171"/>
      <c r="K111" s="173" t="s">
        <v>639</v>
      </c>
      <c r="L111" s="173" t="s">
        <v>640</v>
      </c>
      <c r="M111" s="173" t="s">
        <v>641</v>
      </c>
      <c r="N111" s="185" t="s">
        <v>77</v>
      </c>
      <c r="O111" s="185" t="s">
        <v>77</v>
      </c>
      <c r="P111" s="174" t="s">
        <v>96</v>
      </c>
      <c r="Q111" s="174" t="s">
        <v>96</v>
      </c>
      <c r="R111" s="174" t="str">
        <f t="shared" si="43"/>
        <v>中等Medium</v>
      </c>
      <c r="S111" s="175" t="s">
        <v>96</v>
      </c>
      <c r="T111" s="175" t="s">
        <v>642</v>
      </c>
      <c r="U111" s="175" t="s">
        <v>334</v>
      </c>
      <c r="V111" s="171" t="s">
        <v>643</v>
      </c>
      <c r="W111" s="171" t="s">
        <v>111</v>
      </c>
      <c r="X111" s="176">
        <f t="shared" si="44"/>
        <v>1</v>
      </c>
      <c r="Y111" s="171" t="s">
        <v>83</v>
      </c>
      <c r="Z111" s="176">
        <f t="shared" si="45"/>
        <v>6</v>
      </c>
      <c r="AA111" s="171" t="s">
        <v>153</v>
      </c>
      <c r="AB111" s="176">
        <f t="shared" si="46"/>
        <v>0</v>
      </c>
      <c r="AC111" s="171" t="s">
        <v>85</v>
      </c>
      <c r="AD111" s="176">
        <f t="shared" si="47"/>
        <v>4</v>
      </c>
      <c r="AE111" s="171" t="s">
        <v>86</v>
      </c>
      <c r="AF111" s="176" cm="1">
        <f t="array" ref="AF111">IF(OR(AE111="/",AE111=""),"/",IF(ISNUMBER(SEARCH("普通",AE111)),0,IF(ISNUMBER(SEARCH("专用",AE111)),4,IF(ISNUMBER(SEARCH("定制",AE111)),7,IF(ISNUMBER(SEARCH("多个定制",AE111)),9,””)))))</f>
        <v>4</v>
      </c>
      <c r="AG111" s="176">
        <f t="shared" si="48"/>
        <v>15</v>
      </c>
      <c r="AH111" s="176" t="str">
        <f t="shared" si="49"/>
        <v>中Medium</v>
      </c>
      <c r="AI111" s="176" t="s">
        <v>87</v>
      </c>
      <c r="AJ111" s="176" t="str">
        <f t="shared" si="16"/>
        <v>降低
Reucing</v>
      </c>
      <c r="AK111" s="171" t="s">
        <v>644</v>
      </c>
      <c r="AL111" s="177" t="s">
        <v>645</v>
      </c>
      <c r="AM111" s="171" t="s">
        <v>646</v>
      </c>
      <c r="AN111" s="178" t="s">
        <v>647</v>
      </c>
      <c r="AO111" s="178" t="s">
        <v>648</v>
      </c>
    </row>
    <row r="112" s="116" customFormat="1" ht="20" customHeight="1" spans="1:1024 1025:16383">
      <c r="A112" s="171">
        <v>106</v>
      </c>
      <c r="B112" s="179"/>
      <c r="C112" s="179"/>
      <c r="D112" s="179"/>
      <c r="E112" s="171"/>
      <c r="F112" s="171"/>
      <c r="G112" s="171"/>
      <c r="H112" s="171" t="s">
        <v>183</v>
      </c>
      <c r="I112" s="171"/>
      <c r="J112" s="171"/>
      <c r="K112" s="173" t="s">
        <v>145</v>
      </c>
      <c r="L112" s="173" t="s">
        <v>145</v>
      </c>
      <c r="M112" s="173" t="s">
        <v>145</v>
      </c>
      <c r="N112" s="173" t="s">
        <v>145</v>
      </c>
      <c r="O112" s="173" t="s">
        <v>145</v>
      </c>
      <c r="P112" s="173" t="s">
        <v>145</v>
      </c>
      <c r="Q112" s="173" t="s">
        <v>145</v>
      </c>
      <c r="R112" s="174" t="str">
        <f t="shared" si="43"/>
        <v>/</v>
      </c>
      <c r="S112" s="175" t="s">
        <v>145</v>
      </c>
      <c r="T112" s="175" t="s">
        <v>145</v>
      </c>
      <c r="U112" s="175" t="s">
        <v>145</v>
      </c>
      <c r="V112" s="175" t="s">
        <v>145</v>
      </c>
      <c r="W112" s="175" t="s">
        <v>145</v>
      </c>
      <c r="X112" s="176" t="str">
        <f t="shared" si="44"/>
        <v>/</v>
      </c>
      <c r="Y112" s="175" t="s">
        <v>145</v>
      </c>
      <c r="Z112" s="176" t="str">
        <f t="shared" si="45"/>
        <v>/</v>
      </c>
      <c r="AA112" s="175" t="s">
        <v>145</v>
      </c>
      <c r="AB112" s="176" t="str">
        <f t="shared" si="46"/>
        <v>/</v>
      </c>
      <c r="AC112" s="175" t="s">
        <v>145</v>
      </c>
      <c r="AD112" s="176" t="str">
        <f t="shared" si="47"/>
        <v>/</v>
      </c>
      <c r="AE112" s="175" t="s">
        <v>145</v>
      </c>
      <c r="AF112" s="176" t="str" cm="1">
        <f t="array" ref="AF112">IF(OR(AE112="/",AE112=""),"/",IF(ISNUMBER(SEARCH("普通",AE112)),0,IF(ISNUMBER(SEARCH("专用",AE112)),4,IF(ISNUMBER(SEARCH("定制",AE112)),7,IF(ISNUMBER(SEARCH("多个定制",AE112)),9,””)))))</f>
        <v>/</v>
      </c>
      <c r="AG112" s="176" t="str">
        <f t="shared" si="48"/>
        <v>/</v>
      </c>
      <c r="AH112" s="175" t="s">
        <v>145</v>
      </c>
      <c r="AI112" s="175" t="s">
        <v>145</v>
      </c>
      <c r="AJ112" s="176" t="str">
        <f t="shared" si="16"/>
        <v>/</v>
      </c>
      <c r="AK112" s="175" t="s">
        <v>145</v>
      </c>
      <c r="AL112" s="191" t="s">
        <v>145</v>
      </c>
      <c r="AM112" s="172" t="s">
        <v>145</v>
      </c>
      <c r="AN112" s="172" t="s">
        <v>145</v>
      </c>
      <c r="AO112" s="172" t="s">
        <v>145</v>
      </c>
    </row>
    <row r="113" s="116" customFormat="1" ht="20" customHeight="1" spans="1:41">
      <c r="A113" s="171">
        <v>107</v>
      </c>
      <c r="B113" s="179"/>
      <c r="C113" s="179"/>
      <c r="D113" s="179"/>
      <c r="E113" s="171"/>
      <c r="F113" s="171"/>
      <c r="G113" s="171"/>
      <c r="H113" s="171"/>
      <c r="I113" s="171" t="s">
        <v>183</v>
      </c>
      <c r="J113" s="171"/>
      <c r="K113" s="173" t="s">
        <v>145</v>
      </c>
      <c r="L113" s="173" t="s">
        <v>145</v>
      </c>
      <c r="M113" s="173" t="s">
        <v>145</v>
      </c>
      <c r="N113" s="173" t="s">
        <v>145</v>
      </c>
      <c r="O113" s="173" t="s">
        <v>145</v>
      </c>
      <c r="P113" s="173" t="s">
        <v>145</v>
      </c>
      <c r="Q113" s="173" t="s">
        <v>145</v>
      </c>
      <c r="R113" s="174" t="str">
        <f t="shared" si="43"/>
        <v>/</v>
      </c>
      <c r="S113" s="175" t="s">
        <v>145</v>
      </c>
      <c r="T113" s="175" t="s">
        <v>145</v>
      </c>
      <c r="U113" s="175" t="s">
        <v>145</v>
      </c>
      <c r="V113" s="175" t="s">
        <v>145</v>
      </c>
      <c r="W113" s="175" t="s">
        <v>145</v>
      </c>
      <c r="X113" s="176" t="str">
        <f t="shared" si="44"/>
        <v>/</v>
      </c>
      <c r="Y113" s="175" t="s">
        <v>145</v>
      </c>
      <c r="Z113" s="176" t="str">
        <f t="shared" si="45"/>
        <v>/</v>
      </c>
      <c r="AA113" s="175" t="s">
        <v>145</v>
      </c>
      <c r="AB113" s="176" t="str">
        <f t="shared" si="46"/>
        <v>/</v>
      </c>
      <c r="AC113" s="175" t="s">
        <v>145</v>
      </c>
      <c r="AD113" s="176" t="str">
        <f t="shared" si="47"/>
        <v>/</v>
      </c>
      <c r="AE113" s="175" t="s">
        <v>145</v>
      </c>
      <c r="AF113" s="176" t="str" cm="1">
        <f t="array" ref="AF113">IF(OR(AE113="/",AE113=""),"/",IF(ISNUMBER(SEARCH("普通",AE113)),0,IF(ISNUMBER(SEARCH("专用",AE113)),4,IF(ISNUMBER(SEARCH("定制",AE113)),7,IF(ISNUMBER(SEARCH("多个定制",AE113)),9,””)))))</f>
        <v>/</v>
      </c>
      <c r="AG113" s="176" t="str">
        <f t="shared" si="48"/>
        <v>/</v>
      </c>
      <c r="AH113" s="175" t="s">
        <v>145</v>
      </c>
      <c r="AI113" s="175" t="s">
        <v>145</v>
      </c>
      <c r="AJ113" s="176" t="str">
        <f t="shared" si="16"/>
        <v>/</v>
      </c>
      <c r="AK113" s="175" t="s">
        <v>145</v>
      </c>
      <c r="AL113" s="191" t="s">
        <v>145</v>
      </c>
      <c r="AM113" s="172" t="s">
        <v>145</v>
      </c>
      <c r="AN113" s="172" t="s">
        <v>145</v>
      </c>
      <c r="AO113" s="172" t="s">
        <v>145</v>
      </c>
    </row>
    <row r="114" s="116" customFormat="1" ht="20" customHeight="1" spans="1:41">
      <c r="A114" s="171">
        <v>108</v>
      </c>
      <c r="B114" s="181"/>
      <c r="C114" s="181"/>
      <c r="D114" s="181"/>
      <c r="E114" s="171"/>
      <c r="F114" s="171"/>
      <c r="G114" s="171"/>
      <c r="H114" s="171"/>
      <c r="I114" s="171"/>
      <c r="J114" s="171" t="s">
        <v>183</v>
      </c>
      <c r="K114" s="173" t="s">
        <v>145</v>
      </c>
      <c r="L114" s="173" t="s">
        <v>145</v>
      </c>
      <c r="M114" s="173" t="s">
        <v>145</v>
      </c>
      <c r="N114" s="174" t="s">
        <v>145</v>
      </c>
      <c r="O114" s="174" t="s">
        <v>145</v>
      </c>
      <c r="P114" s="174" t="s">
        <v>145</v>
      </c>
      <c r="Q114" s="174" t="s">
        <v>145</v>
      </c>
      <c r="R114" s="174" t="s">
        <v>145</v>
      </c>
      <c r="S114" s="175" t="s">
        <v>145</v>
      </c>
      <c r="T114" s="175" t="s">
        <v>145</v>
      </c>
      <c r="U114" s="175" t="s">
        <v>145</v>
      </c>
      <c r="V114" s="171" t="s">
        <v>145</v>
      </c>
      <c r="W114" s="171" t="s">
        <v>145</v>
      </c>
      <c r="X114" s="176" t="s">
        <v>145</v>
      </c>
      <c r="Y114" s="171" t="s">
        <v>145</v>
      </c>
      <c r="Z114" s="176" t="s">
        <v>145</v>
      </c>
      <c r="AA114" s="171" t="s">
        <v>145</v>
      </c>
      <c r="AB114" s="176" t="s">
        <v>145</v>
      </c>
      <c r="AC114" s="171" t="s">
        <v>145</v>
      </c>
      <c r="AD114" s="176" t="s">
        <v>145</v>
      </c>
      <c r="AE114" s="171" t="s">
        <v>145</v>
      </c>
      <c r="AF114" s="176" t="str" cm="1">
        <f t="array" ref="AF114">IF(OR(AE114="/",AE114=""),"/",IF(ISNUMBER(SEARCH("普通",AE114)),0,IF(ISNUMBER(SEARCH("专用",AE114)),4,IF(ISNUMBER(SEARCH("定制",AE114)),7,IF(ISNUMBER(SEARCH("多个定制",AE114)),9,””)))))</f>
        <v>/</v>
      </c>
      <c r="AG114" s="176" t="s">
        <v>145</v>
      </c>
      <c r="AH114" s="176" t="s">
        <v>145</v>
      </c>
      <c r="AI114" s="176" t="s">
        <v>145</v>
      </c>
      <c r="AJ114" s="176" t="str">
        <f t="shared" si="16"/>
        <v>/</v>
      </c>
      <c r="AK114" s="171" t="s">
        <v>145</v>
      </c>
      <c r="AL114" s="177" t="s">
        <v>145</v>
      </c>
      <c r="AM114" s="177" t="s">
        <v>145</v>
      </c>
      <c r="AN114" s="177" t="s">
        <v>145</v>
      </c>
      <c r="AO114" s="177" t="s">
        <v>145</v>
      </c>
    </row>
    <row r="115" s="116" customFormat="1" ht="20" customHeight="1" spans="1:41">
      <c r="A115" s="171">
        <v>109</v>
      </c>
      <c r="B115" s="172" t="s">
        <v>649</v>
      </c>
      <c r="C115" s="171" t="s">
        <v>71</v>
      </c>
      <c r="D115" s="173" t="s">
        <v>650</v>
      </c>
      <c r="E115" s="171" t="s">
        <v>73</v>
      </c>
      <c r="F115" s="171"/>
      <c r="G115" s="171"/>
      <c r="H115" s="171"/>
      <c r="I115" s="171"/>
      <c r="J115" s="171"/>
      <c r="K115" s="173" t="s">
        <v>509</v>
      </c>
      <c r="L115" s="173" t="s">
        <v>651</v>
      </c>
      <c r="M115" s="173" t="s">
        <v>76</v>
      </c>
      <c r="N115" s="174" t="s">
        <v>77</v>
      </c>
      <c r="O115" s="174" t="s">
        <v>77</v>
      </c>
      <c r="P115" s="174" t="s">
        <v>78</v>
      </c>
      <c r="Q115" s="174" t="s">
        <v>77</v>
      </c>
      <c r="R115" s="174" t="str">
        <f t="shared" ref="R115:R121" si="50">IF(OR(N115="严重Severe",O115="严重Severe",P115="严重Severe",Q115="严重Severe"),"严重Severe",IF(OR(N115="主要Major",O115="主要Major",P115="主要Major",Q115="主要Major"),"主要Major",IF(OR(N115="中等Medium",O115="中等Medium",P115="中等Medium",Q115="中等Medium"),"中等Medium",IF(OR(N115="可忽略不计Negligible",O115="可忽略不计Negligible",P115="可忽略不计Negligible",Q115="可忽略不计Negligible"),"可忽略不计Negligible","/"))))</f>
        <v>主要Major</v>
      </c>
      <c r="S115" s="175" t="s">
        <v>78</v>
      </c>
      <c r="T115" s="175" t="s">
        <v>511</v>
      </c>
      <c r="U115" s="175" t="s">
        <v>80</v>
      </c>
      <c r="V115" s="171" t="s">
        <v>652</v>
      </c>
      <c r="W115" s="171" t="s">
        <v>82</v>
      </c>
      <c r="X115" s="176">
        <f t="shared" ref="X115:X121" si="51">IF(OR(W115="/",W115=""),"/",IF(ISNUMBER(SEARCH("1天",W115)),0,IF(ISNUMBER(SEARCH("一周",W115)),1,IF(ISNUMBER(SEARCH("1个月",W115)),4,IF(ISNUMBER(SEARCH("超过",W115)),19,IF(ISNUMBER(SEARCH("6个月",W115)),17,""))))))</f>
        <v>0</v>
      </c>
      <c r="Y115" s="171" t="s">
        <v>83</v>
      </c>
      <c r="Z115" s="176">
        <f t="shared" ref="Z115:Z121" si="52">IF(OR(Y115="/",Y115=""),"/",IF(ISNUMBER(SEARCH("新手",Y115)),0,IF(ISNUMBER(SEARCH("熟练",Y115)),3,IF(ISNUMBER(SEARCH("多位",Y115)),17,IF(ISNUMBER(SEARCH("专家",Y115)),6,"")))))</f>
        <v>6</v>
      </c>
      <c r="AA115" s="171" t="s">
        <v>84</v>
      </c>
      <c r="AB115" s="176">
        <f t="shared" ref="AB115:AB121" si="53">IF(OR(AA115="/",AA115=""),"/",IF(ISNUMBER(SEARCH("公开",AA115)),0,IF(ISNUMBER(SEARCH("限制性信息",AA115)),3,IF(ISNUMBER(SEARCH("机密信息",AA115)),7,IF(ISNUMBER(SEARCH("严格保密",AA115)),11,"")))))</f>
        <v>3</v>
      </c>
      <c r="AC115" s="171" t="s">
        <v>85</v>
      </c>
      <c r="AD115" s="176">
        <f t="shared" ref="AD115:AD121" si="54">IF(OR(AC115="/",AC115=""),"/",IF(ISNUMBER(SEARCH("无限制",AC115)),0,IF(ISNUMBER(SEARCH("容易",AC115)),1,IF(ISNUMBER(SEARCH("一般",AC115)),4,IF(ISNUMBER(SEARCH("困难",AC115)),10,"")))))</f>
        <v>4</v>
      </c>
      <c r="AE115" s="171" t="s">
        <v>86</v>
      </c>
      <c r="AF115" s="176" cm="1">
        <f t="array" ref="AF115">IF(OR(AE115="/",AE115=""),"/",IF(ISNUMBER(SEARCH("普通",AE115)),0,IF(ISNUMBER(SEARCH("专用",AE115)),4,IF(ISNUMBER(SEARCH("定制",AE115)),7,IF(ISNUMBER(SEARCH("多个定制",AE115)),9,””)))))</f>
        <v>4</v>
      </c>
      <c r="AG115" s="176">
        <f t="shared" ref="AG115:AG121" si="55">IF(OR(X115="/",Z115="/",AB115="/",AD115="/",AF115="/"),"/",X115+Z115+AB115+AD115+AF115)</f>
        <v>17</v>
      </c>
      <c r="AH115" s="176" t="str">
        <f t="shared" ref="AH115:AH121" si="56">IF(AND(AG115&gt;=0,AG115&lt;14),"高High",IF(AND(AG115&gt;=14,AG115&lt;20),"中Medium",IF(AND(AG115&gt;=20,AG115&lt;25),"低Low",IF(AND(AG115&gt;=25,AG115&lt;57),"非常低Very low",""))))</f>
        <v>中Medium</v>
      </c>
      <c r="AI115" s="176" t="s">
        <v>87</v>
      </c>
      <c r="AJ115" s="176" t="str">
        <f t="shared" si="16"/>
        <v>降低
Reucing</v>
      </c>
      <c r="AK115" s="171" t="s">
        <v>513</v>
      </c>
      <c r="AL115" s="177" t="s">
        <v>514</v>
      </c>
      <c r="AM115" s="180" t="s">
        <v>90</v>
      </c>
      <c r="AN115" s="178" t="s">
        <v>91</v>
      </c>
      <c r="AO115" s="178" t="s">
        <v>92</v>
      </c>
    </row>
    <row r="116" s="116" customFormat="1" ht="20" customHeight="1" spans="1:41">
      <c r="A116" s="171">
        <v>110</v>
      </c>
      <c r="B116" s="179"/>
      <c r="C116" s="179"/>
      <c r="D116" s="179"/>
      <c r="E116" s="171" t="s">
        <v>73</v>
      </c>
      <c r="F116" s="171"/>
      <c r="G116" s="171"/>
      <c r="H116" s="171"/>
      <c r="I116" s="171"/>
      <c r="J116" s="171"/>
      <c r="K116" s="173" t="s">
        <v>515</v>
      </c>
      <c r="L116" s="173" t="s">
        <v>653</v>
      </c>
      <c r="M116" s="173" t="s">
        <v>106</v>
      </c>
      <c r="N116" s="174" t="s">
        <v>77</v>
      </c>
      <c r="O116" s="174" t="s">
        <v>77</v>
      </c>
      <c r="P116" s="174" t="s">
        <v>96</v>
      </c>
      <c r="Q116" s="174" t="s">
        <v>78</v>
      </c>
      <c r="R116" s="174" t="str">
        <f t="shared" si="50"/>
        <v>主要Major</v>
      </c>
      <c r="S116" s="175" t="s">
        <v>107</v>
      </c>
      <c r="T116" s="175" t="s">
        <v>517</v>
      </c>
      <c r="U116" s="175" t="s">
        <v>109</v>
      </c>
      <c r="V116" s="171" t="s">
        <v>654</v>
      </c>
      <c r="W116" s="171" t="s">
        <v>111</v>
      </c>
      <c r="X116" s="176">
        <f t="shared" si="51"/>
        <v>1</v>
      </c>
      <c r="Y116" s="171" t="s">
        <v>83</v>
      </c>
      <c r="Z116" s="176">
        <f t="shared" si="52"/>
        <v>6</v>
      </c>
      <c r="AA116" s="171" t="s">
        <v>84</v>
      </c>
      <c r="AB116" s="176">
        <f t="shared" si="53"/>
        <v>3</v>
      </c>
      <c r="AC116" s="171" t="s">
        <v>85</v>
      </c>
      <c r="AD116" s="176">
        <f t="shared" si="54"/>
        <v>4</v>
      </c>
      <c r="AE116" s="171" t="s">
        <v>143</v>
      </c>
      <c r="AF116" s="176" cm="1">
        <f t="array" ref="AF116">IF(OR(AE116="/",AE116=""),"/",IF(ISNUMBER(SEARCH("普通",AE116)),0,IF(ISNUMBER(SEARCH("专用",AE116)),4,IF(ISNUMBER(SEARCH("定制",AE116)),7,IF(ISNUMBER(SEARCH("多个定制",AE116)),9,””)))))</f>
        <v>7</v>
      </c>
      <c r="AG116" s="176">
        <f t="shared" si="55"/>
        <v>21</v>
      </c>
      <c r="AH116" s="176" t="str">
        <f t="shared" si="56"/>
        <v>低Low</v>
      </c>
      <c r="AI116" s="176" t="s">
        <v>112</v>
      </c>
      <c r="AJ116" s="176" t="str">
        <f t="shared" si="16"/>
        <v>消除
Avoiding</v>
      </c>
      <c r="AK116" s="171" t="s">
        <v>519</v>
      </c>
      <c r="AL116" s="177" t="s">
        <v>520</v>
      </c>
      <c r="AM116" s="180" t="s">
        <v>115</v>
      </c>
      <c r="AN116" s="178" t="s">
        <v>116</v>
      </c>
      <c r="AO116" s="178" t="s">
        <v>117</v>
      </c>
    </row>
    <row r="117" s="116" customFormat="1" ht="20" customHeight="1" spans="1:41">
      <c r="A117" s="171">
        <v>111</v>
      </c>
      <c r="B117" s="179"/>
      <c r="C117" s="179"/>
      <c r="D117" s="179"/>
      <c r="E117" s="171"/>
      <c r="F117" s="171" t="s">
        <v>73</v>
      </c>
      <c r="G117" s="171"/>
      <c r="H117" s="171"/>
      <c r="I117" s="171"/>
      <c r="J117" s="171"/>
      <c r="K117" s="173" t="s">
        <v>521</v>
      </c>
      <c r="L117" s="173" t="s">
        <v>655</v>
      </c>
      <c r="M117" s="173" t="s">
        <v>120</v>
      </c>
      <c r="N117" s="174" t="s">
        <v>77</v>
      </c>
      <c r="O117" s="174" t="s">
        <v>96</v>
      </c>
      <c r="P117" s="174" t="s">
        <v>78</v>
      </c>
      <c r="Q117" s="174" t="s">
        <v>77</v>
      </c>
      <c r="R117" s="174" t="str">
        <f t="shared" si="50"/>
        <v>主要Major</v>
      </c>
      <c r="S117" s="175" t="s">
        <v>78</v>
      </c>
      <c r="T117" s="175" t="s">
        <v>523</v>
      </c>
      <c r="U117" s="175" t="s">
        <v>656</v>
      </c>
      <c r="V117" s="171" t="s">
        <v>652</v>
      </c>
      <c r="W117" s="171" t="s">
        <v>82</v>
      </c>
      <c r="X117" s="176">
        <f t="shared" si="51"/>
        <v>0</v>
      </c>
      <c r="Y117" s="171" t="s">
        <v>83</v>
      </c>
      <c r="Z117" s="176">
        <f t="shared" si="52"/>
        <v>6</v>
      </c>
      <c r="AA117" s="171" t="s">
        <v>84</v>
      </c>
      <c r="AB117" s="176">
        <f t="shared" si="53"/>
        <v>3</v>
      </c>
      <c r="AC117" s="171" t="s">
        <v>85</v>
      </c>
      <c r="AD117" s="176">
        <f t="shared" si="54"/>
        <v>4</v>
      </c>
      <c r="AE117" s="171" t="s">
        <v>86</v>
      </c>
      <c r="AF117" s="176" cm="1">
        <f t="array" ref="AF117">IF(OR(AE117="/",AE117=""),"/",IF(ISNUMBER(SEARCH("普通",AE117)),0,IF(ISNUMBER(SEARCH("专用",AE117)),4,IF(ISNUMBER(SEARCH("定制",AE117)),7,IF(ISNUMBER(SEARCH("多个定制",AE117)),9,””)))))</f>
        <v>4</v>
      </c>
      <c r="AG117" s="176">
        <f t="shared" si="55"/>
        <v>17</v>
      </c>
      <c r="AH117" s="176" t="str">
        <f t="shared" si="56"/>
        <v>中Medium</v>
      </c>
      <c r="AI117" s="176" t="s">
        <v>87</v>
      </c>
      <c r="AJ117" s="176" t="str">
        <f t="shared" si="16"/>
        <v>降低
Reucing</v>
      </c>
      <c r="AK117" s="171" t="s">
        <v>525</v>
      </c>
      <c r="AL117" s="177" t="s">
        <v>526</v>
      </c>
      <c r="AM117" s="180" t="s">
        <v>125</v>
      </c>
      <c r="AN117" s="178" t="s">
        <v>126</v>
      </c>
      <c r="AO117" s="178" t="s">
        <v>127</v>
      </c>
    </row>
    <row r="118" s="116" customFormat="1" ht="20" customHeight="1" spans="1:41">
      <c r="A118" s="171">
        <v>112</v>
      </c>
      <c r="B118" s="179"/>
      <c r="C118" s="179"/>
      <c r="D118" s="179"/>
      <c r="E118" s="171"/>
      <c r="F118" s="171" t="s">
        <v>73</v>
      </c>
      <c r="G118" s="171"/>
      <c r="H118" s="171"/>
      <c r="I118" s="171"/>
      <c r="J118" s="171"/>
      <c r="K118" s="173" t="s">
        <v>527</v>
      </c>
      <c r="L118" s="173" t="s">
        <v>657</v>
      </c>
      <c r="M118" s="173" t="s">
        <v>120</v>
      </c>
      <c r="N118" s="174" t="s">
        <v>96</v>
      </c>
      <c r="O118" s="174" t="s">
        <v>96</v>
      </c>
      <c r="P118" s="174" t="s">
        <v>78</v>
      </c>
      <c r="Q118" s="174" t="s">
        <v>77</v>
      </c>
      <c r="R118" s="174" t="str">
        <f t="shared" si="50"/>
        <v>主要Major</v>
      </c>
      <c r="S118" s="175" t="s">
        <v>78</v>
      </c>
      <c r="T118" s="175" t="s">
        <v>529</v>
      </c>
      <c r="U118" s="175" t="s">
        <v>658</v>
      </c>
      <c r="V118" s="171" t="s">
        <v>652</v>
      </c>
      <c r="W118" s="171" t="s">
        <v>111</v>
      </c>
      <c r="X118" s="176">
        <f t="shared" si="51"/>
        <v>1</v>
      </c>
      <c r="Y118" s="171" t="s">
        <v>83</v>
      </c>
      <c r="Z118" s="176">
        <f t="shared" si="52"/>
        <v>6</v>
      </c>
      <c r="AA118" s="171" t="s">
        <v>84</v>
      </c>
      <c r="AB118" s="176">
        <f t="shared" si="53"/>
        <v>3</v>
      </c>
      <c r="AC118" s="171" t="s">
        <v>85</v>
      </c>
      <c r="AD118" s="176">
        <f t="shared" si="54"/>
        <v>4</v>
      </c>
      <c r="AE118" s="171" t="s">
        <v>86</v>
      </c>
      <c r="AF118" s="176" cm="1">
        <f t="array" ref="AF118">IF(OR(AE118="/",AE118=""),"/",IF(ISNUMBER(SEARCH("普通",AE118)),0,IF(ISNUMBER(SEARCH("专用",AE118)),4,IF(ISNUMBER(SEARCH("定制",AE118)),7,IF(ISNUMBER(SEARCH("多个定制",AE118)),9,””)))))</f>
        <v>4</v>
      </c>
      <c r="AG118" s="176">
        <f t="shared" si="55"/>
        <v>18</v>
      </c>
      <c r="AH118" s="176" t="str">
        <f t="shared" si="56"/>
        <v>中Medium</v>
      </c>
      <c r="AI118" s="176" t="s">
        <v>87</v>
      </c>
      <c r="AJ118" s="176" t="str">
        <f t="shared" si="16"/>
        <v>降低
Reucing</v>
      </c>
      <c r="AK118" s="171" t="s">
        <v>531</v>
      </c>
      <c r="AL118" s="177" t="s">
        <v>532</v>
      </c>
      <c r="AM118" s="180" t="s">
        <v>134</v>
      </c>
      <c r="AN118" s="178" t="s">
        <v>135</v>
      </c>
      <c r="AO118" s="178" t="s">
        <v>136</v>
      </c>
    </row>
    <row r="119" s="116" customFormat="1" ht="20" customHeight="1" spans="1:41">
      <c r="A119" s="171">
        <v>113</v>
      </c>
      <c r="B119" s="179"/>
      <c r="C119" s="179"/>
      <c r="D119" s="179"/>
      <c r="E119" s="171"/>
      <c r="F119" s="171"/>
      <c r="G119" s="171" t="s">
        <v>73</v>
      </c>
      <c r="H119" s="171"/>
      <c r="I119" s="171"/>
      <c r="J119" s="171"/>
      <c r="K119" s="173" t="s">
        <v>533</v>
      </c>
      <c r="L119" s="173" t="s">
        <v>659</v>
      </c>
      <c r="M119" s="173" t="s">
        <v>150</v>
      </c>
      <c r="N119" s="174" t="s">
        <v>96</v>
      </c>
      <c r="O119" s="174" t="s">
        <v>96</v>
      </c>
      <c r="P119" s="174" t="s">
        <v>96</v>
      </c>
      <c r="Q119" s="174" t="s">
        <v>77</v>
      </c>
      <c r="R119" s="174" t="str">
        <f t="shared" si="50"/>
        <v>中等Medium</v>
      </c>
      <c r="S119" s="175" t="s">
        <v>96</v>
      </c>
      <c r="T119" s="175" t="s">
        <v>535</v>
      </c>
      <c r="U119" s="175" t="s">
        <v>152</v>
      </c>
      <c r="V119" s="171" t="s">
        <v>652</v>
      </c>
      <c r="W119" s="171" t="s">
        <v>82</v>
      </c>
      <c r="X119" s="176">
        <f t="shared" si="51"/>
        <v>0</v>
      </c>
      <c r="Y119" s="171" t="s">
        <v>83</v>
      </c>
      <c r="Z119" s="176">
        <f t="shared" si="52"/>
        <v>6</v>
      </c>
      <c r="AA119" s="171" t="s">
        <v>153</v>
      </c>
      <c r="AB119" s="176">
        <f t="shared" si="53"/>
        <v>0</v>
      </c>
      <c r="AC119" s="171" t="s">
        <v>85</v>
      </c>
      <c r="AD119" s="176">
        <f t="shared" si="54"/>
        <v>4</v>
      </c>
      <c r="AE119" s="171" t="s">
        <v>143</v>
      </c>
      <c r="AF119" s="176" cm="1">
        <f t="array" ref="AF119">IF(OR(AE119="/",AE119=""),"/",IF(ISNUMBER(SEARCH("普通",AE119)),0,IF(ISNUMBER(SEARCH("专用",AE119)),4,IF(ISNUMBER(SEARCH("定制",AE119)),7,IF(ISNUMBER(SEARCH("多个定制",AE119)),9,””)))))</f>
        <v>7</v>
      </c>
      <c r="AG119" s="176">
        <f t="shared" si="55"/>
        <v>17</v>
      </c>
      <c r="AH119" s="176" t="str">
        <f t="shared" si="56"/>
        <v>中Medium</v>
      </c>
      <c r="AI119" s="176" t="s">
        <v>144</v>
      </c>
      <c r="AJ119" s="176" t="str">
        <f t="shared" si="16"/>
        <v>保留
Retaining</v>
      </c>
      <c r="AK119" s="171" t="s">
        <v>145</v>
      </c>
      <c r="AL119" s="177" t="s">
        <v>145</v>
      </c>
      <c r="AM119" s="171" t="s">
        <v>145</v>
      </c>
      <c r="AN119" s="178" t="s">
        <v>280</v>
      </c>
      <c r="AO119" s="178" t="s">
        <v>281</v>
      </c>
    </row>
    <row r="120" s="116" customFormat="1" ht="20" customHeight="1" spans="1:41">
      <c r="A120" s="171">
        <v>114</v>
      </c>
      <c r="B120" s="179"/>
      <c r="C120" s="179"/>
      <c r="D120" s="179"/>
      <c r="E120" s="171"/>
      <c r="F120" s="171"/>
      <c r="G120" s="171"/>
      <c r="H120" s="171" t="s">
        <v>73</v>
      </c>
      <c r="I120" s="171"/>
      <c r="J120" s="171"/>
      <c r="K120" s="173" t="s">
        <v>536</v>
      </c>
      <c r="L120" s="173" t="s">
        <v>660</v>
      </c>
      <c r="M120" s="173" t="s">
        <v>166</v>
      </c>
      <c r="N120" s="174" t="s">
        <v>96</v>
      </c>
      <c r="O120" s="174" t="s">
        <v>96</v>
      </c>
      <c r="P120" s="174" t="s">
        <v>96</v>
      </c>
      <c r="Q120" s="174" t="s">
        <v>77</v>
      </c>
      <c r="R120" s="174" t="str">
        <f t="shared" si="50"/>
        <v>中等Medium</v>
      </c>
      <c r="S120" s="171" t="s">
        <v>96</v>
      </c>
      <c r="T120" s="175" t="s">
        <v>538</v>
      </c>
      <c r="U120" s="175" t="s">
        <v>661</v>
      </c>
      <c r="V120" s="171" t="s">
        <v>652</v>
      </c>
      <c r="W120" s="171" t="s">
        <v>82</v>
      </c>
      <c r="X120" s="176">
        <f t="shared" si="51"/>
        <v>0</v>
      </c>
      <c r="Y120" s="171" t="s">
        <v>83</v>
      </c>
      <c r="Z120" s="176">
        <f t="shared" si="52"/>
        <v>6</v>
      </c>
      <c r="AA120" s="171" t="s">
        <v>84</v>
      </c>
      <c r="AB120" s="176">
        <f t="shared" si="53"/>
        <v>3</v>
      </c>
      <c r="AC120" s="171" t="s">
        <v>85</v>
      </c>
      <c r="AD120" s="176">
        <f t="shared" si="54"/>
        <v>4</v>
      </c>
      <c r="AE120" s="171" t="s">
        <v>86</v>
      </c>
      <c r="AF120" s="176" cm="1">
        <f t="array" ref="AF120">IF(OR(AE120="/",AE120=""),"/",IF(ISNUMBER(SEARCH("普通",AE120)),0,IF(ISNUMBER(SEARCH("专用",AE120)),4,IF(ISNUMBER(SEARCH("定制",AE120)),7,IF(ISNUMBER(SEARCH("多个定制",AE120)),9,””)))))</f>
        <v>4</v>
      </c>
      <c r="AG120" s="176">
        <f t="shared" si="55"/>
        <v>17</v>
      </c>
      <c r="AH120" s="176" t="str">
        <f t="shared" si="56"/>
        <v>中Medium</v>
      </c>
      <c r="AI120" s="176" t="s">
        <v>144</v>
      </c>
      <c r="AJ120" s="176" t="str">
        <f t="shared" si="16"/>
        <v>保留
Retaining</v>
      </c>
      <c r="AK120" s="171" t="s">
        <v>145</v>
      </c>
      <c r="AL120" s="177" t="s">
        <v>145</v>
      </c>
      <c r="AM120" s="180" t="s">
        <v>316</v>
      </c>
      <c r="AN120" s="178" t="s">
        <v>317</v>
      </c>
      <c r="AO120" s="178" t="s">
        <v>318</v>
      </c>
    </row>
    <row r="121" s="116" customFormat="1" ht="20" customHeight="1" spans="1:41">
      <c r="A121" s="171">
        <v>115</v>
      </c>
      <c r="B121" s="179"/>
      <c r="C121" s="179"/>
      <c r="D121" s="179"/>
      <c r="E121" s="171"/>
      <c r="F121" s="171"/>
      <c r="G121" s="171"/>
      <c r="H121" s="171"/>
      <c r="I121" s="171" t="s">
        <v>73</v>
      </c>
      <c r="J121" s="171"/>
      <c r="K121" s="173" t="s">
        <v>540</v>
      </c>
      <c r="L121" s="173" t="s">
        <v>662</v>
      </c>
      <c r="M121" s="173" t="s">
        <v>174</v>
      </c>
      <c r="N121" s="174" t="s">
        <v>96</v>
      </c>
      <c r="O121" s="174" t="s">
        <v>96</v>
      </c>
      <c r="P121" s="174" t="s">
        <v>96</v>
      </c>
      <c r="Q121" s="174" t="s">
        <v>77</v>
      </c>
      <c r="R121" s="174" t="str">
        <f t="shared" si="50"/>
        <v>中等Medium</v>
      </c>
      <c r="S121" s="175" t="s">
        <v>96</v>
      </c>
      <c r="T121" s="175" t="s">
        <v>542</v>
      </c>
      <c r="U121" s="175" t="s">
        <v>176</v>
      </c>
      <c r="V121" s="171" t="s">
        <v>652</v>
      </c>
      <c r="W121" s="171" t="s">
        <v>82</v>
      </c>
      <c r="X121" s="176">
        <f t="shared" si="51"/>
        <v>0</v>
      </c>
      <c r="Y121" s="171" t="s">
        <v>177</v>
      </c>
      <c r="Z121" s="176">
        <f t="shared" si="52"/>
        <v>3</v>
      </c>
      <c r="AA121" s="171" t="s">
        <v>153</v>
      </c>
      <c r="AB121" s="176">
        <f t="shared" si="53"/>
        <v>0</v>
      </c>
      <c r="AC121" s="171" t="s">
        <v>85</v>
      </c>
      <c r="AD121" s="176">
        <f t="shared" si="54"/>
        <v>4</v>
      </c>
      <c r="AE121" s="171" t="s">
        <v>86</v>
      </c>
      <c r="AF121" s="176" cm="1">
        <f t="array" ref="AF121">IF(OR(AE121="/",AE121=""),"/",IF(ISNUMBER(SEARCH("普通",AE121)),0,IF(ISNUMBER(SEARCH("专用",AE121)),4,IF(ISNUMBER(SEARCH("定制",AE121)),7,IF(ISNUMBER(SEARCH("多个定制",AE121)),9,””)))))</f>
        <v>4</v>
      </c>
      <c r="AG121" s="176">
        <f t="shared" si="55"/>
        <v>11</v>
      </c>
      <c r="AH121" s="176" t="str">
        <f t="shared" si="56"/>
        <v>高High</v>
      </c>
      <c r="AI121" s="176" t="s">
        <v>87</v>
      </c>
      <c r="AJ121" s="176" t="str">
        <f t="shared" si="16"/>
        <v>降低
Reucing</v>
      </c>
      <c r="AK121" s="171" t="s">
        <v>543</v>
      </c>
      <c r="AL121" s="177" t="s">
        <v>544</v>
      </c>
      <c r="AM121" s="180" t="s">
        <v>329</v>
      </c>
      <c r="AN121" s="178" t="s">
        <v>181</v>
      </c>
      <c r="AO121" s="178" t="s">
        <v>182</v>
      </c>
    </row>
    <row r="122" s="116" customFormat="1" ht="20" customHeight="1" spans="1:41">
      <c r="A122" s="171">
        <v>116</v>
      </c>
      <c r="B122" s="181"/>
      <c r="C122" s="181"/>
      <c r="D122" s="181"/>
      <c r="E122" s="171"/>
      <c r="F122" s="171"/>
      <c r="G122" s="171"/>
      <c r="H122" s="171"/>
      <c r="I122" s="171"/>
      <c r="J122" s="171" t="s">
        <v>183</v>
      </c>
      <c r="K122" s="173" t="s">
        <v>145</v>
      </c>
      <c r="L122" s="173" t="s">
        <v>145</v>
      </c>
      <c r="M122" s="173" t="s">
        <v>145</v>
      </c>
      <c r="N122" s="174" t="s">
        <v>145</v>
      </c>
      <c r="O122" s="174" t="s">
        <v>145</v>
      </c>
      <c r="P122" s="174" t="s">
        <v>145</v>
      </c>
      <c r="Q122" s="174" t="s">
        <v>145</v>
      </c>
      <c r="R122" s="174" t="s">
        <v>145</v>
      </c>
      <c r="S122" s="175" t="s">
        <v>145</v>
      </c>
      <c r="T122" s="175" t="s">
        <v>145</v>
      </c>
      <c r="U122" s="175" t="s">
        <v>145</v>
      </c>
      <c r="V122" s="171" t="s">
        <v>145</v>
      </c>
      <c r="W122" s="171" t="s">
        <v>145</v>
      </c>
      <c r="X122" s="176" t="s">
        <v>145</v>
      </c>
      <c r="Y122" s="171" t="s">
        <v>145</v>
      </c>
      <c r="Z122" s="176" t="s">
        <v>145</v>
      </c>
      <c r="AA122" s="171" t="s">
        <v>145</v>
      </c>
      <c r="AB122" s="176" t="s">
        <v>145</v>
      </c>
      <c r="AC122" s="171" t="s">
        <v>145</v>
      </c>
      <c r="AD122" s="176" t="s">
        <v>145</v>
      </c>
      <c r="AE122" s="171" t="s">
        <v>145</v>
      </c>
      <c r="AF122" s="176" t="str" cm="1">
        <f t="array" ref="AF122">IF(OR(AE122="/",AE122=""),"/",IF(ISNUMBER(SEARCH("普通",AE122)),0,IF(ISNUMBER(SEARCH("专用",AE122)),4,IF(ISNUMBER(SEARCH("定制",AE122)),7,IF(ISNUMBER(SEARCH("多个定制",AE122)),9,””)))))</f>
        <v>/</v>
      </c>
      <c r="AG122" s="176" t="s">
        <v>145</v>
      </c>
      <c r="AH122" s="176" t="s">
        <v>145</v>
      </c>
      <c r="AI122" s="176" t="s">
        <v>145</v>
      </c>
      <c r="AJ122" s="176" t="str">
        <f t="shared" si="16"/>
        <v>/</v>
      </c>
      <c r="AK122" s="171" t="s">
        <v>145</v>
      </c>
      <c r="AL122" s="177" t="s">
        <v>145</v>
      </c>
      <c r="AM122" s="177" t="s">
        <v>145</v>
      </c>
      <c r="AN122" s="177" t="s">
        <v>145</v>
      </c>
      <c r="AO122" s="177" t="s">
        <v>145</v>
      </c>
    </row>
    <row r="123" s="116" customFormat="1" ht="20" customHeight="1" spans="1:41">
      <c r="A123" s="171">
        <v>117</v>
      </c>
      <c r="B123" s="172" t="s">
        <v>663</v>
      </c>
      <c r="C123" s="171" t="s">
        <v>71</v>
      </c>
      <c r="D123" s="173" t="s">
        <v>664</v>
      </c>
      <c r="E123" s="171" t="s">
        <v>73</v>
      </c>
      <c r="F123" s="171"/>
      <c r="G123" s="171"/>
      <c r="H123" s="171"/>
      <c r="I123" s="171"/>
      <c r="J123" s="171"/>
      <c r="K123" s="173" t="s">
        <v>547</v>
      </c>
      <c r="L123" s="173" t="s">
        <v>665</v>
      </c>
      <c r="M123" s="173" t="s">
        <v>106</v>
      </c>
      <c r="N123" s="174" t="s">
        <v>77</v>
      </c>
      <c r="O123" s="174" t="s">
        <v>77</v>
      </c>
      <c r="P123" s="174" t="s">
        <v>96</v>
      </c>
      <c r="Q123" s="174" t="s">
        <v>78</v>
      </c>
      <c r="R123" s="174" t="str">
        <f>IF(OR(N123="严重Severe",O123="严重Severe",P123="严重Severe",Q123="严重Severe"),"严重Severe",IF(OR(N123="主要Major",O123="主要Major",P123="主要Major",Q123="主要Major"),"主要Major",IF(OR(N123="中等Medium",O123="中等Medium",P123="中等Medium",Q123="中等Medium"),"中等Medium",IF(OR(N123="可忽略不计Negligible",O123="可忽略不计Negligible",P123="可忽略不计Negligible",Q123="可忽略不计Negligible"),"可忽略不计Negligible","/"))))</f>
        <v>主要Major</v>
      </c>
      <c r="S123" s="175" t="s">
        <v>78</v>
      </c>
      <c r="T123" s="175" t="s">
        <v>549</v>
      </c>
      <c r="U123" s="175" t="s">
        <v>109</v>
      </c>
      <c r="V123" s="171" t="s">
        <v>666</v>
      </c>
      <c r="W123" s="171" t="s">
        <v>82</v>
      </c>
      <c r="X123" s="176">
        <f>IF(OR(W123="/",W123=""),"/",IF(ISNUMBER(SEARCH("1天",W123)),0,IF(ISNUMBER(SEARCH("一周",W123)),1,IF(ISNUMBER(SEARCH("1个月",W123)),4,IF(ISNUMBER(SEARCH("超过",W123)),19,IF(ISNUMBER(SEARCH("6个月",W123)),17,""))))))</f>
        <v>0</v>
      </c>
      <c r="Y123" s="171" t="s">
        <v>83</v>
      </c>
      <c r="Z123" s="176">
        <f>IF(OR(Y123="/",Y123=""),"/",IF(ISNUMBER(SEARCH("新手",Y123)),0,IF(ISNUMBER(SEARCH("熟练",Y123)),3,IF(ISNUMBER(SEARCH("多位",Y123)),17,IF(ISNUMBER(SEARCH("专家",Y123)),6,"")))))</f>
        <v>6</v>
      </c>
      <c r="AA123" s="171" t="s">
        <v>84</v>
      </c>
      <c r="AB123" s="176">
        <f>IF(OR(AA123="/",AA123=""),"/",IF(ISNUMBER(SEARCH("公开",AA123)),0,IF(ISNUMBER(SEARCH("限制性信息",AA123)),3,IF(ISNUMBER(SEARCH("机密信息",AA123)),7,IF(ISNUMBER(SEARCH("严格保密",AA123)),11,"")))))</f>
        <v>3</v>
      </c>
      <c r="AC123" s="171" t="s">
        <v>85</v>
      </c>
      <c r="AD123" s="176">
        <f>IF(OR(AC123="/",AC123=""),"/",IF(ISNUMBER(SEARCH("无限制",AC123)),0,IF(ISNUMBER(SEARCH("容易",AC123)),1,IF(ISNUMBER(SEARCH("一般",AC123)),4,IF(ISNUMBER(SEARCH("困难",AC123)),10,"")))))</f>
        <v>4</v>
      </c>
      <c r="AE123" s="171" t="s">
        <v>86</v>
      </c>
      <c r="AF123" s="176" cm="1">
        <f t="array" ref="AF123">IF(OR(AE123="/",AE123=""),"/",IF(ISNUMBER(SEARCH("普通",AE123)),0,IF(ISNUMBER(SEARCH("专用",AE123)),4,IF(ISNUMBER(SEARCH("定制",AE123)),7,IF(ISNUMBER(SEARCH("多个定制",AE123)),9,””)))))</f>
        <v>4</v>
      </c>
      <c r="AG123" s="176">
        <f>IF(OR(X123="/",Z123="/",AB123="/",AD123="/",AF123="/"),"/",X123+Z123+AB123+AD123+AF123)</f>
        <v>17</v>
      </c>
      <c r="AH123" s="176" t="str">
        <f>IF(AND(AG123&gt;=0,AG123&lt;14),"高High",IF(AND(AG123&gt;=14,AG123&lt;20),"中Medium",IF(AND(AG123&gt;=20,AG123&lt;25),"低Low",IF(AND(AG123&gt;=25,AG123&lt;57),"非常低Very low",""))))</f>
        <v>中Medium</v>
      </c>
      <c r="AI123" s="176" t="s">
        <v>87</v>
      </c>
      <c r="AJ123" s="176" t="str">
        <f t="shared" si="16"/>
        <v>降低
Reucing</v>
      </c>
      <c r="AK123" s="171" t="s">
        <v>667</v>
      </c>
      <c r="AL123" s="177" t="s">
        <v>114</v>
      </c>
      <c r="AM123" s="180" t="s">
        <v>115</v>
      </c>
      <c r="AN123" s="178" t="s">
        <v>116</v>
      </c>
      <c r="AO123" s="178" t="s">
        <v>117</v>
      </c>
    </row>
    <row r="124" s="116" customFormat="1" ht="20" customHeight="1" spans="1:41">
      <c r="A124" s="171">
        <v>118</v>
      </c>
      <c r="B124" s="179"/>
      <c r="C124" s="179"/>
      <c r="D124" s="179"/>
      <c r="E124" s="171"/>
      <c r="F124" s="171" t="s">
        <v>73</v>
      </c>
      <c r="G124" s="171"/>
      <c r="H124" s="171"/>
      <c r="I124" s="171"/>
      <c r="J124" s="171"/>
      <c r="K124" s="173" t="s">
        <v>551</v>
      </c>
      <c r="L124" s="173" t="s">
        <v>668</v>
      </c>
      <c r="M124" s="173" t="s">
        <v>553</v>
      </c>
      <c r="N124" s="174" t="s">
        <v>77</v>
      </c>
      <c r="O124" s="174" t="s">
        <v>77</v>
      </c>
      <c r="P124" s="174" t="s">
        <v>96</v>
      </c>
      <c r="Q124" s="174" t="s">
        <v>77</v>
      </c>
      <c r="R124" s="174" t="str">
        <f>IF(OR(N124="严重Severe",O124="严重Severe",P124="严重Severe",Q124="严重Severe"),"严重Severe",IF(OR(N124="主要Major",O124="主要Major",P124="主要Major",Q124="主要Major"),"主要Major",IF(OR(N124="中等Medium",O124="中等Medium",P124="中等Medium",Q124="中等Medium"),"中等Medium",IF(OR(N124="可忽略不计Negligible",O124="可忽略不计Negligible",P124="可忽略不计Negligible",Q124="可忽略不计Negligible"),"可忽略不计Negligible","/"))))</f>
        <v>中等Medium</v>
      </c>
      <c r="S124" s="175" t="s">
        <v>96</v>
      </c>
      <c r="T124" s="175" t="s">
        <v>554</v>
      </c>
      <c r="U124" s="175" t="s">
        <v>555</v>
      </c>
      <c r="V124" s="171" t="s">
        <v>669</v>
      </c>
      <c r="W124" s="171" t="s">
        <v>111</v>
      </c>
      <c r="X124" s="176">
        <f>IF(OR(W124="/",W124=""),"/",IF(ISNUMBER(SEARCH("1天",W124)),0,IF(ISNUMBER(SEARCH("一周",W124)),1,IF(ISNUMBER(SEARCH("1个月",W124)),4,IF(ISNUMBER(SEARCH("超过",W124)),19,IF(ISNUMBER(SEARCH("6个月",W124)),17,""))))))</f>
        <v>1</v>
      </c>
      <c r="Y124" s="171" t="s">
        <v>83</v>
      </c>
      <c r="Z124" s="176">
        <f>IF(OR(Y124="/",Y124=""),"/",IF(ISNUMBER(SEARCH("新手",Y124)),0,IF(ISNUMBER(SEARCH("熟练",Y124)),3,IF(ISNUMBER(SEARCH("多位",Y124)),17,IF(ISNUMBER(SEARCH("专家",Y124)),6,"")))))</f>
        <v>6</v>
      </c>
      <c r="AA124" s="171" t="s">
        <v>557</v>
      </c>
      <c r="AB124" s="176">
        <f>IF(OR(AA124="/",AA124=""),"/",IF(ISNUMBER(SEARCH("公开",AA124)),0,IF(ISNUMBER(SEARCH("限制性信息",AA124)),3,IF(ISNUMBER(SEARCH("机密信息",AA124)),7,IF(ISNUMBER(SEARCH("严格保密",AA124)),11,"")))))</f>
        <v>0</v>
      </c>
      <c r="AC124" s="171" t="s">
        <v>558</v>
      </c>
      <c r="AD124" s="176">
        <f>IF(OR(AC124="/",AC124=""),"/",IF(ISNUMBER(SEARCH("无限制",AC124)),0,IF(ISNUMBER(SEARCH("容易",AC124)),1,IF(ISNUMBER(SEARCH("一般",AC124)),4,IF(ISNUMBER(SEARCH("困难",AC124)),10,"")))))</f>
        <v>10</v>
      </c>
      <c r="AE124" s="171" t="s">
        <v>86</v>
      </c>
      <c r="AF124" s="176" cm="1">
        <f t="array" ref="AF124">IF(OR(AE124="/",AE124=""),"/",IF(ISNUMBER(SEARCH("普通",AE124)),0,IF(ISNUMBER(SEARCH("专用",AE124)),4,IF(ISNUMBER(SEARCH("定制",AE124)),7,IF(ISNUMBER(SEARCH("多个定制",AE124)),9,””)))))</f>
        <v>4</v>
      </c>
      <c r="AG124" s="176">
        <f>IF(OR(X124="/",Z124="/",AB124="/",AD124="/",AF124="/"),"/",X124+Z124+AB124+AD124+AF124)</f>
        <v>21</v>
      </c>
      <c r="AH124" s="176" t="str">
        <f>IF(AND(AG124&gt;=0,AG124&lt;14),"高High",IF(AND(AG124&gt;=14,AG124&lt;20),"中Medium",IF(AND(AG124&gt;=20,AG124&lt;25),"低Low",IF(AND(AG124&gt;=25,AG124&lt;57),"非常低Very low",""))))</f>
        <v>低Low</v>
      </c>
      <c r="AI124" s="176" t="s">
        <v>144</v>
      </c>
      <c r="AJ124" s="176" t="str">
        <f t="shared" si="16"/>
        <v>保留
Retaining</v>
      </c>
      <c r="AK124" s="171" t="s">
        <v>145</v>
      </c>
      <c r="AL124" s="177" t="s">
        <v>145</v>
      </c>
      <c r="AM124" s="171" t="s">
        <v>145</v>
      </c>
      <c r="AN124" s="178" t="s">
        <v>270</v>
      </c>
      <c r="AO124" s="178" t="s">
        <v>271</v>
      </c>
    </row>
    <row r="125" s="116" customFormat="1" ht="20" customHeight="1" spans="1:41">
      <c r="A125" s="171">
        <v>120</v>
      </c>
      <c r="B125" s="179"/>
      <c r="C125" s="179"/>
      <c r="D125" s="179"/>
      <c r="E125" s="171"/>
      <c r="F125" s="171"/>
      <c r="G125" s="171" t="s">
        <v>559</v>
      </c>
      <c r="H125" s="171"/>
      <c r="I125" s="171"/>
      <c r="J125" s="171"/>
      <c r="K125" s="173" t="s">
        <v>560</v>
      </c>
      <c r="L125" s="173" t="s">
        <v>670</v>
      </c>
      <c r="M125" s="173" t="s">
        <v>145</v>
      </c>
      <c r="N125" s="174" t="s">
        <v>145</v>
      </c>
      <c r="O125" s="174" t="s">
        <v>145</v>
      </c>
      <c r="P125" s="174" t="s">
        <v>145</v>
      </c>
      <c r="Q125" s="174" t="s">
        <v>145</v>
      </c>
      <c r="R125" s="174" t="str">
        <f>IF(OR(N125="严重Severe",O125="严重Severe",P125="严重Severe",Q125="严重Severe"),"严重Severe",IF(OR(N125="主要Major",O125="主要Major",P125="主要Major",Q125="主要Major"),"主要Major",IF(OR(N125="中等Medium",O125="中等Medium",P125="中等Medium",Q125="中等Medium"),"中等Medium",IF(OR(N125="可忽略不计Negligible",O125="可忽略不计Negligible",P125="可忽略不计Negligible",Q125="可忽略不计Negligible"),"可忽略不计Negligible","/"))))</f>
        <v>/</v>
      </c>
      <c r="S125" s="175" t="s">
        <v>145</v>
      </c>
      <c r="T125" s="175" t="s">
        <v>145</v>
      </c>
      <c r="U125" s="175" t="s">
        <v>145</v>
      </c>
      <c r="V125" s="171" t="s">
        <v>145</v>
      </c>
      <c r="W125" s="171" t="s">
        <v>145</v>
      </c>
      <c r="X125" s="176" t="str">
        <f>IF(OR(W125="/",W125=""),"/",IF(ISNUMBER(SEARCH("1天",W125)),0,IF(ISNUMBER(SEARCH("一周",W125)),1,IF(ISNUMBER(SEARCH("1个月",W125)),4,IF(ISNUMBER(SEARCH("超过",W125)),19,IF(ISNUMBER(SEARCH("6个月",W125)),17,""))))))</f>
        <v>/</v>
      </c>
      <c r="Y125" s="171" t="s">
        <v>145</v>
      </c>
      <c r="Z125" s="176" t="str">
        <f>IF(OR(Y125="/",Y125=""),"/",IF(ISNUMBER(SEARCH("新手",Y125)),0,IF(ISNUMBER(SEARCH("熟练",Y125)),3,IF(ISNUMBER(SEARCH("多位",Y125)),17,IF(ISNUMBER(SEARCH("专家",Y125)),6,"")))))</f>
        <v>/</v>
      </c>
      <c r="AA125" s="171" t="s">
        <v>145</v>
      </c>
      <c r="AB125" s="176" t="str">
        <f>IF(OR(AA125="/",AA125=""),"/",IF(ISNUMBER(SEARCH("公开",AA125)),0,IF(ISNUMBER(SEARCH("限制性信息",AA125)),3,IF(ISNUMBER(SEARCH("机密信息",AA125)),7,IF(ISNUMBER(SEARCH("严格保密",AA125)),11,"")))))</f>
        <v>/</v>
      </c>
      <c r="AC125" s="171" t="s">
        <v>145</v>
      </c>
      <c r="AD125" s="176" t="str">
        <f>IF(OR(AC125="/",AC125=""),"/",IF(ISNUMBER(SEARCH("无限制",AC125)),0,IF(ISNUMBER(SEARCH("容易",AC125)),1,IF(ISNUMBER(SEARCH("一般",AC125)),4,IF(ISNUMBER(SEARCH("困难",AC125)),10,"")))))</f>
        <v>/</v>
      </c>
      <c r="AE125" s="171" t="s">
        <v>145</v>
      </c>
      <c r="AF125" s="176" t="str" cm="1">
        <f t="array" ref="AF125">IF(OR(AE125="/",AE125=""),"/",IF(ISNUMBER(SEARCH("普通",AE125)),0,IF(ISNUMBER(SEARCH("专用",AE125)),4,IF(ISNUMBER(SEARCH("定制",AE125)),7,IF(ISNUMBER(SEARCH("多个定制",AE125)),9,””)))))</f>
        <v>/</v>
      </c>
      <c r="AG125" s="176" t="str">
        <f>IF(OR(X125="/",Z125="/",AB125="/",AD125="/",AF125="/"),"/",X125+Z125+AB125+AD125+AF125)</f>
        <v>/</v>
      </c>
      <c r="AH125" s="176" t="str">
        <f>IF(AND(AG125&gt;=0,AG125&lt;14),"高High",IF(AND(AG125&gt;=14,AG125&lt;20),"中Medium",IF(AND(AG125&gt;=20,AG125&lt;25),"低Low",IF(AND(AG125&gt;=25,AG125&lt;57),"非常低Very low",""))))</f>
        <v/>
      </c>
      <c r="AI125" s="176" t="s">
        <v>145</v>
      </c>
      <c r="AJ125" s="176" t="str">
        <f t="shared" si="16"/>
        <v>/</v>
      </c>
      <c r="AK125" s="171" t="s">
        <v>145</v>
      </c>
      <c r="AL125" s="177" t="s">
        <v>145</v>
      </c>
      <c r="AM125" s="177" t="s">
        <v>145</v>
      </c>
      <c r="AN125" s="177" t="s">
        <v>145</v>
      </c>
      <c r="AO125" s="177" t="s">
        <v>145</v>
      </c>
    </row>
    <row r="126" s="116" customFormat="1" ht="20" customHeight="1" spans="1:41">
      <c r="A126" s="171">
        <v>122</v>
      </c>
      <c r="B126" s="179"/>
      <c r="C126" s="179"/>
      <c r="D126" s="179"/>
      <c r="E126" s="171"/>
      <c r="F126" s="171"/>
      <c r="G126" s="171"/>
      <c r="H126" s="171"/>
      <c r="I126" s="171" t="s">
        <v>183</v>
      </c>
      <c r="J126" s="171"/>
      <c r="K126" s="173" t="s">
        <v>145</v>
      </c>
      <c r="L126" s="173" t="s">
        <v>145</v>
      </c>
      <c r="M126" s="173" t="s">
        <v>145</v>
      </c>
      <c r="N126" s="174" t="s">
        <v>145</v>
      </c>
      <c r="O126" s="174" t="s">
        <v>145</v>
      </c>
      <c r="P126" s="174" t="s">
        <v>145</v>
      </c>
      <c r="Q126" s="174" t="s">
        <v>145</v>
      </c>
      <c r="R126" s="174" t="s">
        <v>145</v>
      </c>
      <c r="S126" s="175" t="s">
        <v>145</v>
      </c>
      <c r="T126" s="175" t="s">
        <v>145</v>
      </c>
      <c r="U126" s="175" t="s">
        <v>145</v>
      </c>
      <c r="V126" s="171" t="s">
        <v>145</v>
      </c>
      <c r="W126" s="171" t="s">
        <v>145</v>
      </c>
      <c r="X126" s="176" t="s">
        <v>145</v>
      </c>
      <c r="Y126" s="171" t="s">
        <v>145</v>
      </c>
      <c r="Z126" s="176" t="s">
        <v>145</v>
      </c>
      <c r="AA126" s="171" t="s">
        <v>145</v>
      </c>
      <c r="AB126" s="176" t="s">
        <v>145</v>
      </c>
      <c r="AC126" s="171" t="s">
        <v>145</v>
      </c>
      <c r="AD126" s="176" t="s">
        <v>145</v>
      </c>
      <c r="AE126" s="171" t="s">
        <v>145</v>
      </c>
      <c r="AF126" s="176" t="str" cm="1">
        <f t="array" ref="AF126">IF(OR(AE126="/",AE126=""),"/",IF(ISNUMBER(SEARCH("普通",AE126)),0,IF(ISNUMBER(SEARCH("专用",AE126)),4,IF(ISNUMBER(SEARCH("定制",AE126)),7,IF(ISNUMBER(SEARCH("多个定制",AE126)),9,””)))))</f>
        <v>/</v>
      </c>
      <c r="AG126" s="176" t="s">
        <v>145</v>
      </c>
      <c r="AH126" s="176" t="s">
        <v>145</v>
      </c>
      <c r="AI126" s="176" t="s">
        <v>145</v>
      </c>
      <c r="AJ126" s="176" t="str">
        <f t="shared" si="16"/>
        <v>/</v>
      </c>
      <c r="AK126" s="171" t="s">
        <v>145</v>
      </c>
      <c r="AL126" s="177" t="s">
        <v>145</v>
      </c>
      <c r="AM126" s="177" t="s">
        <v>145</v>
      </c>
      <c r="AN126" s="177" t="s">
        <v>145</v>
      </c>
      <c r="AO126" s="177" t="s">
        <v>145</v>
      </c>
    </row>
    <row r="127" s="116" customFormat="1" ht="20" customHeight="1" spans="1:41">
      <c r="A127" s="171">
        <v>123</v>
      </c>
      <c r="B127" s="181"/>
      <c r="C127" s="181"/>
      <c r="D127" s="181"/>
      <c r="E127" s="171"/>
      <c r="F127" s="171"/>
      <c r="G127" s="171"/>
      <c r="H127" s="171"/>
      <c r="I127" s="171"/>
      <c r="J127" s="171" t="s">
        <v>183</v>
      </c>
      <c r="K127" s="173" t="s">
        <v>145</v>
      </c>
      <c r="L127" s="173" t="s">
        <v>145</v>
      </c>
      <c r="M127" s="173" t="s">
        <v>145</v>
      </c>
      <c r="N127" s="174" t="s">
        <v>145</v>
      </c>
      <c r="O127" s="174" t="s">
        <v>145</v>
      </c>
      <c r="P127" s="174" t="s">
        <v>145</v>
      </c>
      <c r="Q127" s="174" t="s">
        <v>145</v>
      </c>
      <c r="R127" s="174" t="s">
        <v>145</v>
      </c>
      <c r="S127" s="175" t="s">
        <v>145</v>
      </c>
      <c r="T127" s="175" t="s">
        <v>145</v>
      </c>
      <c r="U127" s="175" t="s">
        <v>145</v>
      </c>
      <c r="V127" s="171" t="s">
        <v>145</v>
      </c>
      <c r="W127" s="171" t="s">
        <v>145</v>
      </c>
      <c r="X127" s="176" t="s">
        <v>145</v>
      </c>
      <c r="Y127" s="171" t="s">
        <v>145</v>
      </c>
      <c r="Z127" s="176" t="s">
        <v>145</v>
      </c>
      <c r="AA127" s="171" t="s">
        <v>145</v>
      </c>
      <c r="AB127" s="176" t="s">
        <v>145</v>
      </c>
      <c r="AC127" s="171" t="s">
        <v>145</v>
      </c>
      <c r="AD127" s="176" t="s">
        <v>145</v>
      </c>
      <c r="AE127" s="171" t="s">
        <v>145</v>
      </c>
      <c r="AF127" s="176" t="str" cm="1">
        <f t="array" ref="AF127">IF(OR(AE127="/",AE127=""),"/",IF(ISNUMBER(SEARCH("普通",AE127)),0,IF(ISNUMBER(SEARCH("专用",AE127)),4,IF(ISNUMBER(SEARCH("定制",AE127)),7,IF(ISNUMBER(SEARCH("多个定制",AE127)),9,””)))))</f>
        <v>/</v>
      </c>
      <c r="AG127" s="176" t="s">
        <v>145</v>
      </c>
      <c r="AH127" s="176" t="s">
        <v>145</v>
      </c>
      <c r="AI127" s="176" t="s">
        <v>145</v>
      </c>
      <c r="AJ127" s="176" t="str">
        <f t="shared" si="16"/>
        <v>/</v>
      </c>
      <c r="AK127" s="171" t="s">
        <v>145</v>
      </c>
      <c r="AL127" s="177" t="s">
        <v>145</v>
      </c>
      <c r="AM127" s="177" t="s">
        <v>145</v>
      </c>
      <c r="AN127" s="177" t="s">
        <v>145</v>
      </c>
      <c r="AO127" s="177" t="s">
        <v>145</v>
      </c>
    </row>
    <row r="128" s="116" customFormat="1" ht="20" customHeight="1" spans="1:41">
      <c r="A128" s="171">
        <v>124</v>
      </c>
      <c r="B128" s="172" t="s">
        <v>671</v>
      </c>
      <c r="C128" s="171" t="s">
        <v>71</v>
      </c>
      <c r="D128" s="173" t="s">
        <v>672</v>
      </c>
      <c r="E128" s="171" t="s">
        <v>73</v>
      </c>
      <c r="F128" s="171"/>
      <c r="G128" s="171"/>
      <c r="H128" s="171"/>
      <c r="I128" s="171"/>
      <c r="J128" s="171"/>
      <c r="K128" s="173" t="s">
        <v>509</v>
      </c>
      <c r="L128" s="173" t="s">
        <v>673</v>
      </c>
      <c r="M128" s="173" t="s">
        <v>76</v>
      </c>
      <c r="N128" s="174" t="s">
        <v>77</v>
      </c>
      <c r="O128" s="174" t="s">
        <v>77</v>
      </c>
      <c r="P128" s="174" t="s">
        <v>78</v>
      </c>
      <c r="Q128" s="174" t="s">
        <v>77</v>
      </c>
      <c r="R128" s="174" t="str">
        <f t="shared" ref="R128:R134" si="57">IF(OR(N128="严重Severe",O128="严重Severe",P128="严重Severe",Q128="严重Severe"),"严重Severe",IF(OR(N128="主要Major",O128="主要Major",P128="主要Major",Q128="主要Major"),"主要Major",IF(OR(N128="中等Medium",O128="中等Medium",P128="中等Medium",Q128="中等Medium"),"中等Medium",IF(OR(N128="可忽略不计Negligible",O128="可忽略不计Negligible",P128="可忽略不计Negligible",Q128="可忽略不计Negligible"),"可忽略不计Negligible","/"))))</f>
        <v>主要Major</v>
      </c>
      <c r="S128" s="175" t="s">
        <v>78</v>
      </c>
      <c r="T128" s="175" t="s">
        <v>511</v>
      </c>
      <c r="U128" s="175" t="s">
        <v>80</v>
      </c>
      <c r="V128" s="171" t="s">
        <v>674</v>
      </c>
      <c r="W128" s="171" t="s">
        <v>82</v>
      </c>
      <c r="X128" s="176">
        <f t="shared" ref="X128:X134" si="58">IF(OR(W128="/",W128=""),"/",IF(ISNUMBER(SEARCH("1天",W128)),0,IF(ISNUMBER(SEARCH("一周",W128)),1,IF(ISNUMBER(SEARCH("1个月",W128)),4,IF(ISNUMBER(SEARCH("超过",W128)),19,IF(ISNUMBER(SEARCH("6个月",W128)),17,""))))))</f>
        <v>0</v>
      </c>
      <c r="Y128" s="171" t="s">
        <v>83</v>
      </c>
      <c r="Z128" s="176">
        <f t="shared" ref="Z128:Z134" si="59">IF(OR(Y128="/",Y128=""),"/",IF(ISNUMBER(SEARCH("新手",Y128)),0,IF(ISNUMBER(SEARCH("熟练",Y128)),3,IF(ISNUMBER(SEARCH("多位",Y128)),17,IF(ISNUMBER(SEARCH("专家",Y128)),6,"")))))</f>
        <v>6</v>
      </c>
      <c r="AA128" s="171" t="s">
        <v>84</v>
      </c>
      <c r="AB128" s="176">
        <f t="shared" ref="AB128:AB134" si="60">IF(OR(AA128="/",AA128=""),"/",IF(ISNUMBER(SEARCH("公开",AA128)),0,IF(ISNUMBER(SEARCH("限制性信息",AA128)),3,IF(ISNUMBER(SEARCH("机密信息",AA128)),7,IF(ISNUMBER(SEARCH("严格保密",AA128)),11,"")))))</f>
        <v>3</v>
      </c>
      <c r="AC128" s="171" t="s">
        <v>85</v>
      </c>
      <c r="AD128" s="176">
        <f t="shared" ref="AD128:AD134" si="61">IF(OR(AC128="/",AC128=""),"/",IF(ISNUMBER(SEARCH("无限制",AC128)),0,IF(ISNUMBER(SEARCH("容易",AC128)),1,IF(ISNUMBER(SEARCH("一般",AC128)),4,IF(ISNUMBER(SEARCH("困难",AC128)),10,"")))))</f>
        <v>4</v>
      </c>
      <c r="AE128" s="171" t="s">
        <v>86</v>
      </c>
      <c r="AF128" s="176" cm="1">
        <f t="array" ref="AF128">IF(OR(AE128="/",AE128=""),"/",IF(ISNUMBER(SEARCH("普通",AE128)),0,IF(ISNUMBER(SEARCH("专用",AE128)),4,IF(ISNUMBER(SEARCH("定制",AE128)),7,IF(ISNUMBER(SEARCH("多个定制",AE128)),9,””)))))</f>
        <v>4</v>
      </c>
      <c r="AG128" s="176">
        <f t="shared" ref="AG128:AG134" si="62">IF(OR(X128="/",Z128="/",AB128="/",AD128="/",AF128="/"),"/",X128+Z128+AB128+AD128+AF128)</f>
        <v>17</v>
      </c>
      <c r="AH128" s="176" t="str">
        <f t="shared" ref="AH128:AH134" si="63">IF(AND(AG128&gt;=0,AG128&lt;14),"高High",IF(AND(AG128&gt;=14,AG128&lt;20),"中Medium",IF(AND(AG128&gt;=20,AG128&lt;25),"低Low",IF(AND(AG128&gt;=25,AG128&lt;57),"非常低Very low",""))))</f>
        <v>中Medium</v>
      </c>
      <c r="AI128" s="176" t="s">
        <v>87</v>
      </c>
      <c r="AJ128" s="176" t="str">
        <f t="shared" si="16"/>
        <v>降低
Reucing</v>
      </c>
      <c r="AK128" s="171" t="s">
        <v>513</v>
      </c>
      <c r="AL128" s="177" t="s">
        <v>514</v>
      </c>
      <c r="AM128" s="180" t="s">
        <v>90</v>
      </c>
      <c r="AN128" s="178" t="s">
        <v>91</v>
      </c>
      <c r="AO128" s="178" t="s">
        <v>92</v>
      </c>
    </row>
    <row r="129" s="116" customFormat="1" ht="20" customHeight="1" spans="1:41">
      <c r="A129" s="171">
        <v>125</v>
      </c>
      <c r="B129" s="179"/>
      <c r="C129" s="179"/>
      <c r="D129" s="179"/>
      <c r="E129" s="171" t="s">
        <v>73</v>
      </c>
      <c r="F129" s="171"/>
      <c r="G129" s="171"/>
      <c r="H129" s="171"/>
      <c r="I129" s="171"/>
      <c r="J129" s="171"/>
      <c r="K129" s="173" t="s">
        <v>515</v>
      </c>
      <c r="L129" s="173" t="s">
        <v>675</v>
      </c>
      <c r="M129" s="173" t="s">
        <v>106</v>
      </c>
      <c r="N129" s="174" t="s">
        <v>77</v>
      </c>
      <c r="O129" s="174" t="s">
        <v>77</v>
      </c>
      <c r="P129" s="174" t="s">
        <v>96</v>
      </c>
      <c r="Q129" s="174" t="s">
        <v>78</v>
      </c>
      <c r="R129" s="174" t="str">
        <f t="shared" si="57"/>
        <v>主要Major</v>
      </c>
      <c r="S129" s="175" t="s">
        <v>107</v>
      </c>
      <c r="T129" s="175" t="s">
        <v>517</v>
      </c>
      <c r="U129" s="175" t="s">
        <v>109</v>
      </c>
      <c r="V129" s="171" t="s">
        <v>676</v>
      </c>
      <c r="W129" s="171" t="s">
        <v>111</v>
      </c>
      <c r="X129" s="176">
        <f t="shared" si="58"/>
        <v>1</v>
      </c>
      <c r="Y129" s="171" t="s">
        <v>83</v>
      </c>
      <c r="Z129" s="176">
        <f t="shared" si="59"/>
        <v>6</v>
      </c>
      <c r="AA129" s="171" t="s">
        <v>84</v>
      </c>
      <c r="AB129" s="176">
        <f t="shared" si="60"/>
        <v>3</v>
      </c>
      <c r="AC129" s="171" t="s">
        <v>85</v>
      </c>
      <c r="AD129" s="176">
        <f t="shared" si="61"/>
        <v>4</v>
      </c>
      <c r="AE129" s="171" t="s">
        <v>143</v>
      </c>
      <c r="AF129" s="176" cm="1">
        <f t="array" ref="AF129">IF(OR(AE129="/",AE129=""),"/",IF(ISNUMBER(SEARCH("普通",AE129)),0,IF(ISNUMBER(SEARCH("专用",AE129)),4,IF(ISNUMBER(SEARCH("定制",AE129)),7,IF(ISNUMBER(SEARCH("多个定制",AE129)),9,””)))))</f>
        <v>7</v>
      </c>
      <c r="AG129" s="176">
        <f t="shared" si="62"/>
        <v>21</v>
      </c>
      <c r="AH129" s="176" t="str">
        <f t="shared" si="63"/>
        <v>低Low</v>
      </c>
      <c r="AI129" s="176" t="s">
        <v>112</v>
      </c>
      <c r="AJ129" s="176" t="str">
        <f t="shared" si="16"/>
        <v>消除
Avoiding</v>
      </c>
      <c r="AK129" s="171" t="s">
        <v>519</v>
      </c>
      <c r="AL129" s="177" t="s">
        <v>520</v>
      </c>
      <c r="AM129" s="180" t="s">
        <v>115</v>
      </c>
      <c r="AN129" s="178" t="s">
        <v>116</v>
      </c>
      <c r="AO129" s="178" t="s">
        <v>117</v>
      </c>
    </row>
    <row r="130" s="116" customFormat="1" ht="20" customHeight="1" spans="1:41">
      <c r="A130" s="171">
        <v>126</v>
      </c>
      <c r="B130" s="179"/>
      <c r="C130" s="179"/>
      <c r="D130" s="179"/>
      <c r="E130" s="171"/>
      <c r="F130" s="171" t="s">
        <v>73</v>
      </c>
      <c r="G130" s="171"/>
      <c r="H130" s="171"/>
      <c r="I130" s="171"/>
      <c r="J130" s="171"/>
      <c r="K130" s="173" t="s">
        <v>521</v>
      </c>
      <c r="L130" s="173" t="s">
        <v>677</v>
      </c>
      <c r="M130" s="173" t="s">
        <v>120</v>
      </c>
      <c r="N130" s="174" t="s">
        <v>77</v>
      </c>
      <c r="O130" s="174" t="s">
        <v>96</v>
      </c>
      <c r="P130" s="174" t="s">
        <v>78</v>
      </c>
      <c r="Q130" s="174" t="s">
        <v>77</v>
      </c>
      <c r="R130" s="174" t="str">
        <f t="shared" si="57"/>
        <v>主要Major</v>
      </c>
      <c r="S130" s="175" t="s">
        <v>78</v>
      </c>
      <c r="T130" s="175" t="s">
        <v>523</v>
      </c>
      <c r="U130" s="175" t="s">
        <v>678</v>
      </c>
      <c r="V130" s="171" t="s">
        <v>674</v>
      </c>
      <c r="W130" s="171" t="s">
        <v>82</v>
      </c>
      <c r="X130" s="176">
        <f t="shared" si="58"/>
        <v>0</v>
      </c>
      <c r="Y130" s="171" t="s">
        <v>83</v>
      </c>
      <c r="Z130" s="176">
        <f t="shared" si="59"/>
        <v>6</v>
      </c>
      <c r="AA130" s="171" t="s">
        <v>84</v>
      </c>
      <c r="AB130" s="176">
        <f t="shared" si="60"/>
        <v>3</v>
      </c>
      <c r="AC130" s="171" t="s">
        <v>85</v>
      </c>
      <c r="AD130" s="176">
        <f t="shared" si="61"/>
        <v>4</v>
      </c>
      <c r="AE130" s="171" t="s">
        <v>86</v>
      </c>
      <c r="AF130" s="176" cm="1">
        <f t="array" ref="AF130">IF(OR(AE130="/",AE130=""),"/",IF(ISNUMBER(SEARCH("普通",AE130)),0,IF(ISNUMBER(SEARCH("专用",AE130)),4,IF(ISNUMBER(SEARCH("定制",AE130)),7,IF(ISNUMBER(SEARCH("多个定制",AE130)),9,””)))))</f>
        <v>4</v>
      </c>
      <c r="AG130" s="176">
        <f t="shared" si="62"/>
        <v>17</v>
      </c>
      <c r="AH130" s="176" t="str">
        <f t="shared" si="63"/>
        <v>中Medium</v>
      </c>
      <c r="AI130" s="176" t="s">
        <v>87</v>
      </c>
      <c r="AJ130" s="176" t="str">
        <f t="shared" si="16"/>
        <v>降低
Reucing</v>
      </c>
      <c r="AK130" s="171" t="s">
        <v>525</v>
      </c>
      <c r="AL130" s="177" t="s">
        <v>526</v>
      </c>
      <c r="AM130" s="180" t="s">
        <v>125</v>
      </c>
      <c r="AN130" s="178" t="s">
        <v>126</v>
      </c>
      <c r="AO130" s="178" t="s">
        <v>127</v>
      </c>
    </row>
    <row r="131" s="116" customFormat="1" ht="20" customHeight="1" spans="1:41">
      <c r="A131" s="171">
        <v>127</v>
      </c>
      <c r="B131" s="179"/>
      <c r="C131" s="179"/>
      <c r="D131" s="179"/>
      <c r="E131" s="171"/>
      <c r="F131" s="171" t="s">
        <v>73</v>
      </c>
      <c r="G131" s="171"/>
      <c r="H131" s="171"/>
      <c r="I131" s="171"/>
      <c r="J131" s="171"/>
      <c r="K131" s="173" t="s">
        <v>527</v>
      </c>
      <c r="L131" s="173" t="s">
        <v>679</v>
      </c>
      <c r="M131" s="173" t="s">
        <v>120</v>
      </c>
      <c r="N131" s="174" t="s">
        <v>96</v>
      </c>
      <c r="O131" s="174" t="s">
        <v>96</v>
      </c>
      <c r="P131" s="174" t="s">
        <v>78</v>
      </c>
      <c r="Q131" s="174" t="s">
        <v>77</v>
      </c>
      <c r="R131" s="174" t="str">
        <f t="shared" si="57"/>
        <v>主要Major</v>
      </c>
      <c r="S131" s="175" t="s">
        <v>78</v>
      </c>
      <c r="T131" s="175" t="s">
        <v>529</v>
      </c>
      <c r="U131" s="175" t="s">
        <v>680</v>
      </c>
      <c r="V131" s="171" t="s">
        <v>674</v>
      </c>
      <c r="W131" s="171" t="s">
        <v>111</v>
      </c>
      <c r="X131" s="176">
        <f t="shared" si="58"/>
        <v>1</v>
      </c>
      <c r="Y131" s="171" t="s">
        <v>83</v>
      </c>
      <c r="Z131" s="176">
        <f t="shared" si="59"/>
        <v>6</v>
      </c>
      <c r="AA131" s="171" t="s">
        <v>84</v>
      </c>
      <c r="AB131" s="176">
        <f t="shared" si="60"/>
        <v>3</v>
      </c>
      <c r="AC131" s="171" t="s">
        <v>85</v>
      </c>
      <c r="AD131" s="176">
        <f t="shared" si="61"/>
        <v>4</v>
      </c>
      <c r="AE131" s="171" t="s">
        <v>86</v>
      </c>
      <c r="AF131" s="176" cm="1">
        <f t="array" ref="AF131">IF(OR(AE131="/",AE131=""),"/",IF(ISNUMBER(SEARCH("普通",AE131)),0,IF(ISNUMBER(SEARCH("专用",AE131)),4,IF(ISNUMBER(SEARCH("定制",AE131)),7,IF(ISNUMBER(SEARCH("多个定制",AE131)),9,””)))))</f>
        <v>4</v>
      </c>
      <c r="AG131" s="176">
        <f t="shared" si="62"/>
        <v>18</v>
      </c>
      <c r="AH131" s="176" t="str">
        <f t="shared" si="63"/>
        <v>中Medium</v>
      </c>
      <c r="AI131" s="176" t="s">
        <v>87</v>
      </c>
      <c r="AJ131" s="176" t="str">
        <f t="shared" si="16"/>
        <v>降低
Reucing</v>
      </c>
      <c r="AK131" s="171" t="s">
        <v>531</v>
      </c>
      <c r="AL131" s="177" t="s">
        <v>532</v>
      </c>
      <c r="AM131" s="180" t="s">
        <v>134</v>
      </c>
      <c r="AN131" s="178" t="s">
        <v>135</v>
      </c>
      <c r="AO131" s="178" t="s">
        <v>136</v>
      </c>
    </row>
    <row r="132" s="116" customFormat="1" ht="20" customHeight="1" spans="1:41">
      <c r="A132" s="171">
        <v>128</v>
      </c>
      <c r="B132" s="179"/>
      <c r="C132" s="179"/>
      <c r="D132" s="179"/>
      <c r="E132" s="171"/>
      <c r="F132" s="171"/>
      <c r="G132" s="171" t="s">
        <v>73</v>
      </c>
      <c r="H132" s="171"/>
      <c r="I132" s="171"/>
      <c r="J132" s="171"/>
      <c r="K132" s="173" t="s">
        <v>533</v>
      </c>
      <c r="L132" s="173" t="s">
        <v>681</v>
      </c>
      <c r="M132" s="173" t="s">
        <v>150</v>
      </c>
      <c r="N132" s="174" t="s">
        <v>96</v>
      </c>
      <c r="O132" s="174" t="s">
        <v>96</v>
      </c>
      <c r="P132" s="174" t="s">
        <v>96</v>
      </c>
      <c r="Q132" s="174" t="s">
        <v>77</v>
      </c>
      <c r="R132" s="174" t="str">
        <f t="shared" si="57"/>
        <v>中等Medium</v>
      </c>
      <c r="S132" s="175" t="s">
        <v>96</v>
      </c>
      <c r="T132" s="175" t="s">
        <v>535</v>
      </c>
      <c r="U132" s="175" t="s">
        <v>152</v>
      </c>
      <c r="V132" s="171" t="s">
        <v>674</v>
      </c>
      <c r="W132" s="171" t="s">
        <v>82</v>
      </c>
      <c r="X132" s="176">
        <f t="shared" si="58"/>
        <v>0</v>
      </c>
      <c r="Y132" s="171" t="s">
        <v>83</v>
      </c>
      <c r="Z132" s="176">
        <f t="shared" si="59"/>
        <v>6</v>
      </c>
      <c r="AA132" s="171" t="s">
        <v>153</v>
      </c>
      <c r="AB132" s="176">
        <f t="shared" si="60"/>
        <v>0</v>
      </c>
      <c r="AC132" s="171" t="s">
        <v>85</v>
      </c>
      <c r="AD132" s="176">
        <f t="shared" si="61"/>
        <v>4</v>
      </c>
      <c r="AE132" s="171" t="s">
        <v>143</v>
      </c>
      <c r="AF132" s="176" cm="1">
        <f t="array" ref="AF132">IF(OR(AE132="/",AE132=""),"/",IF(ISNUMBER(SEARCH("普通",AE132)),0,IF(ISNUMBER(SEARCH("专用",AE132)),4,IF(ISNUMBER(SEARCH("定制",AE132)),7,IF(ISNUMBER(SEARCH("多个定制",AE132)),9,””)))))</f>
        <v>7</v>
      </c>
      <c r="AG132" s="176">
        <f t="shared" si="62"/>
        <v>17</v>
      </c>
      <c r="AH132" s="176" t="str">
        <f t="shared" si="63"/>
        <v>中Medium</v>
      </c>
      <c r="AI132" s="176" t="s">
        <v>144</v>
      </c>
      <c r="AJ132" s="176" t="str">
        <f t="shared" si="16"/>
        <v>保留
Retaining</v>
      </c>
      <c r="AK132" s="171" t="s">
        <v>145</v>
      </c>
      <c r="AL132" s="177" t="s">
        <v>145</v>
      </c>
      <c r="AM132" s="171" t="s">
        <v>145</v>
      </c>
      <c r="AN132" s="178" t="s">
        <v>280</v>
      </c>
      <c r="AO132" s="178" t="s">
        <v>281</v>
      </c>
    </row>
    <row r="133" s="116" customFormat="1" ht="20" customHeight="1" spans="1:41">
      <c r="A133" s="171">
        <v>129</v>
      </c>
      <c r="B133" s="179"/>
      <c r="C133" s="179"/>
      <c r="D133" s="179"/>
      <c r="E133" s="171"/>
      <c r="F133" s="171"/>
      <c r="G133" s="171"/>
      <c r="H133" s="171" t="s">
        <v>73</v>
      </c>
      <c r="I133" s="171"/>
      <c r="J133" s="171"/>
      <c r="K133" s="173" t="s">
        <v>536</v>
      </c>
      <c r="L133" s="173" t="s">
        <v>682</v>
      </c>
      <c r="M133" s="173" t="s">
        <v>166</v>
      </c>
      <c r="N133" s="174" t="s">
        <v>96</v>
      </c>
      <c r="O133" s="174" t="s">
        <v>96</v>
      </c>
      <c r="P133" s="174" t="s">
        <v>96</v>
      </c>
      <c r="Q133" s="174" t="s">
        <v>77</v>
      </c>
      <c r="R133" s="174" t="str">
        <f t="shared" si="57"/>
        <v>中等Medium</v>
      </c>
      <c r="S133" s="171" t="s">
        <v>96</v>
      </c>
      <c r="T133" s="175" t="s">
        <v>538</v>
      </c>
      <c r="U133" s="175" t="s">
        <v>683</v>
      </c>
      <c r="V133" s="171" t="s">
        <v>674</v>
      </c>
      <c r="W133" s="171" t="s">
        <v>82</v>
      </c>
      <c r="X133" s="176">
        <f t="shared" si="58"/>
        <v>0</v>
      </c>
      <c r="Y133" s="171" t="s">
        <v>83</v>
      </c>
      <c r="Z133" s="176">
        <f t="shared" si="59"/>
        <v>6</v>
      </c>
      <c r="AA133" s="171" t="s">
        <v>84</v>
      </c>
      <c r="AB133" s="176">
        <f t="shared" si="60"/>
        <v>3</v>
      </c>
      <c r="AC133" s="171" t="s">
        <v>85</v>
      </c>
      <c r="AD133" s="176">
        <f t="shared" si="61"/>
        <v>4</v>
      </c>
      <c r="AE133" s="171" t="s">
        <v>86</v>
      </c>
      <c r="AF133" s="176" cm="1">
        <f t="array" ref="AF133">IF(OR(AE133="/",AE133=""),"/",IF(ISNUMBER(SEARCH("普通",AE133)),0,IF(ISNUMBER(SEARCH("专用",AE133)),4,IF(ISNUMBER(SEARCH("定制",AE133)),7,IF(ISNUMBER(SEARCH("多个定制",AE133)),9,””)))))</f>
        <v>4</v>
      </c>
      <c r="AG133" s="176">
        <f t="shared" si="62"/>
        <v>17</v>
      </c>
      <c r="AH133" s="176" t="str">
        <f t="shared" si="63"/>
        <v>中Medium</v>
      </c>
      <c r="AI133" s="176" t="s">
        <v>144</v>
      </c>
      <c r="AJ133" s="176" t="str">
        <f t="shared" si="16"/>
        <v>保留
Retaining</v>
      </c>
      <c r="AK133" s="171" t="s">
        <v>145</v>
      </c>
      <c r="AL133" s="177" t="s">
        <v>145</v>
      </c>
      <c r="AM133" s="180" t="s">
        <v>316</v>
      </c>
      <c r="AN133" s="178" t="s">
        <v>317</v>
      </c>
      <c r="AO133" s="178" t="s">
        <v>318</v>
      </c>
    </row>
    <row r="134" s="116" customFormat="1" ht="20" customHeight="1" spans="1:41">
      <c r="A134" s="171">
        <v>130</v>
      </c>
      <c r="B134" s="179"/>
      <c r="C134" s="179"/>
      <c r="D134" s="179"/>
      <c r="E134" s="171"/>
      <c r="F134" s="171"/>
      <c r="G134" s="171"/>
      <c r="H134" s="171"/>
      <c r="I134" s="171" t="s">
        <v>73</v>
      </c>
      <c r="J134" s="171"/>
      <c r="K134" s="173" t="s">
        <v>540</v>
      </c>
      <c r="L134" s="173" t="s">
        <v>684</v>
      </c>
      <c r="M134" s="173" t="s">
        <v>174</v>
      </c>
      <c r="N134" s="174" t="s">
        <v>96</v>
      </c>
      <c r="O134" s="174" t="s">
        <v>96</v>
      </c>
      <c r="P134" s="174" t="s">
        <v>96</v>
      </c>
      <c r="Q134" s="174" t="s">
        <v>77</v>
      </c>
      <c r="R134" s="174" t="str">
        <f t="shared" si="57"/>
        <v>中等Medium</v>
      </c>
      <c r="S134" s="175" t="s">
        <v>96</v>
      </c>
      <c r="T134" s="175" t="s">
        <v>542</v>
      </c>
      <c r="U134" s="175" t="s">
        <v>176</v>
      </c>
      <c r="V134" s="171" t="s">
        <v>674</v>
      </c>
      <c r="W134" s="171" t="s">
        <v>82</v>
      </c>
      <c r="X134" s="176">
        <f t="shared" si="58"/>
        <v>0</v>
      </c>
      <c r="Y134" s="171" t="s">
        <v>177</v>
      </c>
      <c r="Z134" s="176">
        <f t="shared" si="59"/>
        <v>3</v>
      </c>
      <c r="AA134" s="171" t="s">
        <v>153</v>
      </c>
      <c r="AB134" s="176">
        <f t="shared" si="60"/>
        <v>0</v>
      </c>
      <c r="AC134" s="171" t="s">
        <v>85</v>
      </c>
      <c r="AD134" s="176">
        <f t="shared" si="61"/>
        <v>4</v>
      </c>
      <c r="AE134" s="171" t="s">
        <v>86</v>
      </c>
      <c r="AF134" s="176" cm="1">
        <f t="array" ref="AF134">IF(OR(AE134="/",AE134=""),"/",IF(ISNUMBER(SEARCH("普通",AE134)),0,IF(ISNUMBER(SEARCH("专用",AE134)),4,IF(ISNUMBER(SEARCH("定制",AE134)),7,IF(ISNUMBER(SEARCH("多个定制",AE134)),9,””)))))</f>
        <v>4</v>
      </c>
      <c r="AG134" s="176">
        <f t="shared" si="62"/>
        <v>11</v>
      </c>
      <c r="AH134" s="176" t="str">
        <f t="shared" si="63"/>
        <v>高High</v>
      </c>
      <c r="AI134" s="176" t="s">
        <v>87</v>
      </c>
      <c r="AJ134" s="176" t="str">
        <f t="shared" si="16"/>
        <v>降低
Reucing</v>
      </c>
      <c r="AK134" s="171" t="s">
        <v>543</v>
      </c>
      <c r="AL134" s="177" t="s">
        <v>544</v>
      </c>
      <c r="AM134" s="180" t="s">
        <v>329</v>
      </c>
      <c r="AN134" s="178" t="s">
        <v>181</v>
      </c>
      <c r="AO134" s="178" t="s">
        <v>182</v>
      </c>
    </row>
    <row r="135" s="116" customFormat="1" ht="20" customHeight="1" spans="1:41">
      <c r="A135" s="171">
        <v>131</v>
      </c>
      <c r="B135" s="181"/>
      <c r="C135" s="181"/>
      <c r="D135" s="181"/>
      <c r="E135" s="171"/>
      <c r="F135" s="171"/>
      <c r="G135" s="171"/>
      <c r="H135" s="171"/>
      <c r="I135" s="171"/>
      <c r="J135" s="171" t="s">
        <v>183</v>
      </c>
      <c r="K135" s="173" t="s">
        <v>145</v>
      </c>
      <c r="L135" s="173" t="s">
        <v>145</v>
      </c>
      <c r="M135" s="173" t="s">
        <v>145</v>
      </c>
      <c r="N135" s="174" t="s">
        <v>145</v>
      </c>
      <c r="O135" s="174" t="s">
        <v>145</v>
      </c>
      <c r="P135" s="174" t="s">
        <v>145</v>
      </c>
      <c r="Q135" s="174" t="s">
        <v>145</v>
      </c>
      <c r="R135" s="174" t="s">
        <v>145</v>
      </c>
      <c r="S135" s="175" t="s">
        <v>145</v>
      </c>
      <c r="T135" s="175" t="s">
        <v>145</v>
      </c>
      <c r="U135" s="175" t="s">
        <v>145</v>
      </c>
      <c r="V135" s="171" t="s">
        <v>145</v>
      </c>
      <c r="W135" s="171" t="s">
        <v>145</v>
      </c>
      <c r="X135" s="176" t="s">
        <v>145</v>
      </c>
      <c r="Y135" s="171" t="s">
        <v>145</v>
      </c>
      <c r="Z135" s="176" t="s">
        <v>145</v>
      </c>
      <c r="AA135" s="171" t="s">
        <v>145</v>
      </c>
      <c r="AB135" s="176" t="s">
        <v>145</v>
      </c>
      <c r="AC135" s="171" t="s">
        <v>145</v>
      </c>
      <c r="AD135" s="176" t="s">
        <v>145</v>
      </c>
      <c r="AE135" s="171" t="s">
        <v>145</v>
      </c>
      <c r="AF135" s="176" t="str" cm="1">
        <f t="array" ref="AF135">IF(OR(AE135="/",AE135=""),"/",IF(ISNUMBER(SEARCH("普通",AE135)),0,IF(ISNUMBER(SEARCH("专用",AE135)),4,IF(ISNUMBER(SEARCH("定制",AE135)),7,IF(ISNUMBER(SEARCH("多个定制",AE135)),9,””)))))</f>
        <v>/</v>
      </c>
      <c r="AG135" s="176" t="s">
        <v>145</v>
      </c>
      <c r="AH135" s="176" t="s">
        <v>145</v>
      </c>
      <c r="AI135" s="176" t="s">
        <v>145</v>
      </c>
      <c r="AJ135" s="176" t="str">
        <f t="shared" si="16"/>
        <v>/</v>
      </c>
      <c r="AK135" s="171" t="s">
        <v>145</v>
      </c>
      <c r="AL135" s="177" t="s">
        <v>145</v>
      </c>
      <c r="AM135" s="177" t="s">
        <v>145</v>
      </c>
      <c r="AN135" s="177" t="s">
        <v>145</v>
      </c>
      <c r="AO135" s="177" t="s">
        <v>145</v>
      </c>
    </row>
    <row r="136" s="116" customFormat="1" ht="20" customHeight="1" spans="1:41">
      <c r="A136" s="171">
        <v>132</v>
      </c>
      <c r="B136" s="172" t="s">
        <v>685</v>
      </c>
      <c r="C136" s="171" t="s">
        <v>71</v>
      </c>
      <c r="D136" s="173" t="s">
        <v>686</v>
      </c>
      <c r="E136" s="171" t="s">
        <v>73</v>
      </c>
      <c r="F136" s="171"/>
      <c r="G136" s="171"/>
      <c r="H136" s="171"/>
      <c r="I136" s="171"/>
      <c r="J136" s="171"/>
      <c r="K136" s="173" t="s">
        <v>509</v>
      </c>
      <c r="L136" s="173" t="s">
        <v>687</v>
      </c>
      <c r="M136" s="173" t="s">
        <v>76</v>
      </c>
      <c r="N136" s="174" t="s">
        <v>77</v>
      </c>
      <c r="O136" s="174" t="s">
        <v>77</v>
      </c>
      <c r="P136" s="174" t="s">
        <v>78</v>
      </c>
      <c r="Q136" s="174" t="s">
        <v>77</v>
      </c>
      <c r="R136" s="174" t="str">
        <f t="shared" ref="R136:R142" si="64">IF(OR(N136="严重Severe",O136="严重Severe",P136="严重Severe",Q136="严重Severe"),"严重Severe",IF(OR(N136="主要Major",O136="主要Major",P136="主要Major",Q136="主要Major"),"主要Major",IF(OR(N136="中等Medium",O136="中等Medium",P136="中等Medium",Q136="中等Medium"),"中等Medium",IF(OR(N136="可忽略不计Negligible",O136="可忽略不计Negligible",P136="可忽略不计Negligible",Q136="可忽略不计Negligible"),"可忽略不计Negligible","/"))))</f>
        <v>主要Major</v>
      </c>
      <c r="S136" s="175" t="s">
        <v>78</v>
      </c>
      <c r="T136" s="175" t="s">
        <v>511</v>
      </c>
      <c r="U136" s="175" t="s">
        <v>80</v>
      </c>
      <c r="V136" s="171" t="s">
        <v>688</v>
      </c>
      <c r="W136" s="171" t="s">
        <v>82</v>
      </c>
      <c r="X136" s="176">
        <f t="shared" ref="X136:X142" si="65">IF(OR(W136="/",W136=""),"/",IF(ISNUMBER(SEARCH("1天",W136)),0,IF(ISNUMBER(SEARCH("一周",W136)),1,IF(ISNUMBER(SEARCH("1个月",W136)),4,IF(ISNUMBER(SEARCH("超过",W136)),19,IF(ISNUMBER(SEARCH("6个月",W136)),17,""))))))</f>
        <v>0</v>
      </c>
      <c r="Y136" s="171" t="s">
        <v>83</v>
      </c>
      <c r="Z136" s="176">
        <f t="shared" ref="Z136:Z142" si="66">IF(OR(Y136="/",Y136=""),"/",IF(ISNUMBER(SEARCH("新手",Y136)),0,IF(ISNUMBER(SEARCH("熟练",Y136)),3,IF(ISNUMBER(SEARCH("多位",Y136)),17,IF(ISNUMBER(SEARCH("专家",Y136)),6,"")))))</f>
        <v>6</v>
      </c>
      <c r="AA136" s="171" t="s">
        <v>84</v>
      </c>
      <c r="AB136" s="176">
        <f t="shared" ref="AB136:AB142" si="67">IF(OR(AA136="/",AA136=""),"/",IF(ISNUMBER(SEARCH("公开",AA136)),0,IF(ISNUMBER(SEARCH("限制性信息",AA136)),3,IF(ISNUMBER(SEARCH("机密信息",AA136)),7,IF(ISNUMBER(SEARCH("严格保密",AA136)),11,"")))))</f>
        <v>3</v>
      </c>
      <c r="AC136" s="171" t="s">
        <v>85</v>
      </c>
      <c r="AD136" s="176">
        <f t="shared" ref="AD136:AD142" si="68">IF(OR(AC136="/",AC136=""),"/",IF(ISNUMBER(SEARCH("无限制",AC136)),0,IF(ISNUMBER(SEARCH("容易",AC136)),1,IF(ISNUMBER(SEARCH("一般",AC136)),4,IF(ISNUMBER(SEARCH("困难",AC136)),10,"")))))</f>
        <v>4</v>
      </c>
      <c r="AE136" s="171" t="s">
        <v>86</v>
      </c>
      <c r="AF136" s="176" cm="1">
        <f t="array" ref="AF136">IF(OR(AE136="/",AE136=""),"/",IF(ISNUMBER(SEARCH("普通",AE136)),0,IF(ISNUMBER(SEARCH("专用",AE136)),4,IF(ISNUMBER(SEARCH("定制",AE136)),7,IF(ISNUMBER(SEARCH("多个定制",AE136)),9,””)))))</f>
        <v>4</v>
      </c>
      <c r="AG136" s="176">
        <f t="shared" ref="AG136:AG142" si="69">IF(OR(X136="/",Z136="/",AB136="/",AD136="/",AF136="/"),"/",X136+Z136+AB136+AD136+AF136)</f>
        <v>17</v>
      </c>
      <c r="AH136" s="176" t="str">
        <f t="shared" ref="AH136:AH142" si="70">IF(AND(AG136&gt;=0,AG136&lt;14),"高High",IF(AND(AG136&gt;=14,AG136&lt;20),"中Medium",IF(AND(AG136&gt;=20,AG136&lt;25),"低Low",IF(AND(AG136&gt;=25,AG136&lt;57),"非常低Very low",""))))</f>
        <v>中Medium</v>
      </c>
      <c r="AI136" s="176" t="s">
        <v>87</v>
      </c>
      <c r="AJ136" s="176" t="str">
        <f t="shared" si="16"/>
        <v>降低
Reucing</v>
      </c>
      <c r="AK136" s="171" t="s">
        <v>513</v>
      </c>
      <c r="AL136" s="177" t="s">
        <v>514</v>
      </c>
      <c r="AM136" s="180" t="s">
        <v>90</v>
      </c>
      <c r="AN136" s="178" t="s">
        <v>91</v>
      </c>
      <c r="AO136" s="178" t="s">
        <v>92</v>
      </c>
    </row>
    <row r="137" s="116" customFormat="1" ht="20" customHeight="1" spans="1:41">
      <c r="A137" s="171">
        <v>133</v>
      </c>
      <c r="B137" s="179"/>
      <c r="C137" s="179"/>
      <c r="D137" s="179"/>
      <c r="E137" s="171" t="s">
        <v>73</v>
      </c>
      <c r="F137" s="171"/>
      <c r="G137" s="171"/>
      <c r="H137" s="171"/>
      <c r="I137" s="171"/>
      <c r="J137" s="171"/>
      <c r="K137" s="173" t="s">
        <v>515</v>
      </c>
      <c r="L137" s="173" t="s">
        <v>689</v>
      </c>
      <c r="M137" s="173" t="s">
        <v>106</v>
      </c>
      <c r="N137" s="174" t="s">
        <v>77</v>
      </c>
      <c r="O137" s="174" t="s">
        <v>77</v>
      </c>
      <c r="P137" s="174" t="s">
        <v>96</v>
      </c>
      <c r="Q137" s="174" t="s">
        <v>78</v>
      </c>
      <c r="R137" s="174" t="str">
        <f t="shared" si="64"/>
        <v>主要Major</v>
      </c>
      <c r="S137" s="175" t="s">
        <v>107</v>
      </c>
      <c r="T137" s="175" t="s">
        <v>517</v>
      </c>
      <c r="U137" s="175" t="s">
        <v>109</v>
      </c>
      <c r="V137" s="171" t="s">
        <v>690</v>
      </c>
      <c r="W137" s="171" t="s">
        <v>111</v>
      </c>
      <c r="X137" s="176">
        <f t="shared" si="65"/>
        <v>1</v>
      </c>
      <c r="Y137" s="171" t="s">
        <v>83</v>
      </c>
      <c r="Z137" s="176">
        <f t="shared" si="66"/>
        <v>6</v>
      </c>
      <c r="AA137" s="171" t="s">
        <v>84</v>
      </c>
      <c r="AB137" s="176">
        <f t="shared" si="67"/>
        <v>3</v>
      </c>
      <c r="AC137" s="171" t="s">
        <v>85</v>
      </c>
      <c r="AD137" s="176">
        <f t="shared" si="68"/>
        <v>4</v>
      </c>
      <c r="AE137" s="171" t="s">
        <v>143</v>
      </c>
      <c r="AF137" s="176" cm="1">
        <f t="array" ref="AF137">IF(OR(AE137="/",AE137=""),"/",IF(ISNUMBER(SEARCH("普通",AE137)),0,IF(ISNUMBER(SEARCH("专用",AE137)),4,IF(ISNUMBER(SEARCH("定制",AE137)),7,IF(ISNUMBER(SEARCH("多个定制",AE137)),9,””)))))</f>
        <v>7</v>
      </c>
      <c r="AG137" s="176">
        <f t="shared" si="69"/>
        <v>21</v>
      </c>
      <c r="AH137" s="176" t="str">
        <f t="shared" si="70"/>
        <v>低Low</v>
      </c>
      <c r="AI137" s="176" t="s">
        <v>112</v>
      </c>
      <c r="AJ137" s="176" t="str">
        <f t="shared" ref="AJ137:AJ200" si="71">IF(AI137="/","/",IF(AI137="CAL3","降低"&amp;CHAR(10)&amp;"Reucing",IF(AI137="CAL4","消除"&amp;CHAR(10)&amp;"Avoiding",IF(AI137="CAL2","保留"&amp;CHAR(10)&amp;"Retaining",IF(AI137="CAL1","保留"&amp;CHAR(10)&amp;"Retaining","")))))</f>
        <v>消除
Avoiding</v>
      </c>
      <c r="AK137" s="171" t="s">
        <v>519</v>
      </c>
      <c r="AL137" s="177" t="s">
        <v>520</v>
      </c>
      <c r="AM137" s="180" t="s">
        <v>115</v>
      </c>
      <c r="AN137" s="178" t="s">
        <v>116</v>
      </c>
      <c r="AO137" s="178" t="s">
        <v>117</v>
      </c>
    </row>
    <row r="138" s="116" customFormat="1" ht="20" customHeight="1" spans="1:41">
      <c r="A138" s="171">
        <v>134</v>
      </c>
      <c r="B138" s="179"/>
      <c r="C138" s="179"/>
      <c r="D138" s="179"/>
      <c r="E138" s="171"/>
      <c r="F138" s="171" t="s">
        <v>73</v>
      </c>
      <c r="G138" s="171"/>
      <c r="H138" s="171"/>
      <c r="I138" s="171"/>
      <c r="J138" s="171"/>
      <c r="K138" s="173" t="s">
        <v>521</v>
      </c>
      <c r="L138" s="173" t="s">
        <v>691</v>
      </c>
      <c r="M138" s="173" t="s">
        <v>120</v>
      </c>
      <c r="N138" s="174" t="s">
        <v>77</v>
      </c>
      <c r="O138" s="174" t="s">
        <v>96</v>
      </c>
      <c r="P138" s="174" t="s">
        <v>78</v>
      </c>
      <c r="Q138" s="174" t="s">
        <v>77</v>
      </c>
      <c r="R138" s="174" t="str">
        <f t="shared" si="64"/>
        <v>主要Major</v>
      </c>
      <c r="S138" s="175" t="s">
        <v>78</v>
      </c>
      <c r="T138" s="175" t="s">
        <v>523</v>
      </c>
      <c r="U138" s="175" t="s">
        <v>692</v>
      </c>
      <c r="V138" s="171" t="s">
        <v>688</v>
      </c>
      <c r="W138" s="171" t="s">
        <v>82</v>
      </c>
      <c r="X138" s="176">
        <f t="shared" si="65"/>
        <v>0</v>
      </c>
      <c r="Y138" s="171" t="s">
        <v>83</v>
      </c>
      <c r="Z138" s="176">
        <f t="shared" si="66"/>
        <v>6</v>
      </c>
      <c r="AA138" s="171" t="s">
        <v>84</v>
      </c>
      <c r="AB138" s="176">
        <f t="shared" si="67"/>
        <v>3</v>
      </c>
      <c r="AC138" s="171" t="s">
        <v>85</v>
      </c>
      <c r="AD138" s="176">
        <f t="shared" si="68"/>
        <v>4</v>
      </c>
      <c r="AE138" s="171" t="s">
        <v>86</v>
      </c>
      <c r="AF138" s="176" cm="1">
        <f t="array" ref="AF138">IF(OR(AE138="/",AE138=""),"/",IF(ISNUMBER(SEARCH("普通",AE138)),0,IF(ISNUMBER(SEARCH("专用",AE138)),4,IF(ISNUMBER(SEARCH("定制",AE138)),7,IF(ISNUMBER(SEARCH("多个定制",AE138)),9,””)))))</f>
        <v>4</v>
      </c>
      <c r="AG138" s="176">
        <f t="shared" si="69"/>
        <v>17</v>
      </c>
      <c r="AH138" s="176" t="str">
        <f t="shared" si="70"/>
        <v>中Medium</v>
      </c>
      <c r="AI138" s="176" t="s">
        <v>87</v>
      </c>
      <c r="AJ138" s="176" t="str">
        <f t="shared" si="71"/>
        <v>降低
Reucing</v>
      </c>
      <c r="AK138" s="171" t="s">
        <v>525</v>
      </c>
      <c r="AL138" s="177" t="s">
        <v>526</v>
      </c>
      <c r="AM138" s="180" t="s">
        <v>125</v>
      </c>
      <c r="AN138" s="178" t="s">
        <v>126</v>
      </c>
      <c r="AO138" s="178" t="s">
        <v>127</v>
      </c>
    </row>
    <row r="139" s="116" customFormat="1" ht="20" customHeight="1" spans="1:41">
      <c r="A139" s="171">
        <v>135</v>
      </c>
      <c r="B139" s="179"/>
      <c r="C139" s="179"/>
      <c r="D139" s="179"/>
      <c r="E139" s="171"/>
      <c r="F139" s="171" t="s">
        <v>73</v>
      </c>
      <c r="G139" s="171"/>
      <c r="H139" s="171"/>
      <c r="I139" s="171"/>
      <c r="J139" s="171"/>
      <c r="K139" s="173" t="s">
        <v>527</v>
      </c>
      <c r="L139" s="173" t="s">
        <v>693</v>
      </c>
      <c r="M139" s="173" t="s">
        <v>120</v>
      </c>
      <c r="N139" s="174" t="s">
        <v>96</v>
      </c>
      <c r="O139" s="174" t="s">
        <v>96</v>
      </c>
      <c r="P139" s="174" t="s">
        <v>78</v>
      </c>
      <c r="Q139" s="174" t="s">
        <v>77</v>
      </c>
      <c r="R139" s="174" t="str">
        <f t="shared" si="64"/>
        <v>主要Major</v>
      </c>
      <c r="S139" s="175" t="s">
        <v>78</v>
      </c>
      <c r="T139" s="175" t="s">
        <v>529</v>
      </c>
      <c r="U139" s="175" t="s">
        <v>694</v>
      </c>
      <c r="V139" s="171" t="s">
        <v>688</v>
      </c>
      <c r="W139" s="171" t="s">
        <v>111</v>
      </c>
      <c r="X139" s="176">
        <f t="shared" si="65"/>
        <v>1</v>
      </c>
      <c r="Y139" s="171" t="s">
        <v>83</v>
      </c>
      <c r="Z139" s="176">
        <f t="shared" si="66"/>
        <v>6</v>
      </c>
      <c r="AA139" s="171" t="s">
        <v>84</v>
      </c>
      <c r="AB139" s="176">
        <f t="shared" si="67"/>
        <v>3</v>
      </c>
      <c r="AC139" s="171" t="s">
        <v>85</v>
      </c>
      <c r="AD139" s="176">
        <f t="shared" si="68"/>
        <v>4</v>
      </c>
      <c r="AE139" s="171" t="s">
        <v>86</v>
      </c>
      <c r="AF139" s="176" cm="1">
        <f t="array" ref="AF139">IF(OR(AE139="/",AE139=""),"/",IF(ISNUMBER(SEARCH("普通",AE139)),0,IF(ISNUMBER(SEARCH("专用",AE139)),4,IF(ISNUMBER(SEARCH("定制",AE139)),7,IF(ISNUMBER(SEARCH("多个定制",AE139)),9,””)))))</f>
        <v>4</v>
      </c>
      <c r="AG139" s="176">
        <f t="shared" si="69"/>
        <v>18</v>
      </c>
      <c r="AH139" s="176" t="str">
        <f t="shared" si="70"/>
        <v>中Medium</v>
      </c>
      <c r="AI139" s="176" t="s">
        <v>87</v>
      </c>
      <c r="AJ139" s="176" t="str">
        <f t="shared" si="71"/>
        <v>降低
Reucing</v>
      </c>
      <c r="AK139" s="171" t="s">
        <v>531</v>
      </c>
      <c r="AL139" s="177" t="s">
        <v>532</v>
      </c>
      <c r="AM139" s="180" t="s">
        <v>134</v>
      </c>
      <c r="AN139" s="178" t="s">
        <v>135</v>
      </c>
      <c r="AO139" s="178" t="s">
        <v>136</v>
      </c>
    </row>
    <row r="140" s="116" customFormat="1" ht="20" customHeight="1" spans="1:41">
      <c r="A140" s="171">
        <v>136</v>
      </c>
      <c r="B140" s="179"/>
      <c r="C140" s="179"/>
      <c r="D140" s="179"/>
      <c r="E140" s="171"/>
      <c r="F140" s="171"/>
      <c r="G140" s="171" t="s">
        <v>73</v>
      </c>
      <c r="H140" s="171"/>
      <c r="I140" s="171"/>
      <c r="J140" s="171"/>
      <c r="K140" s="173" t="s">
        <v>533</v>
      </c>
      <c r="L140" s="173" t="s">
        <v>695</v>
      </c>
      <c r="M140" s="173" t="s">
        <v>150</v>
      </c>
      <c r="N140" s="174" t="s">
        <v>96</v>
      </c>
      <c r="O140" s="174" t="s">
        <v>96</v>
      </c>
      <c r="P140" s="174" t="s">
        <v>96</v>
      </c>
      <c r="Q140" s="174" t="s">
        <v>77</v>
      </c>
      <c r="R140" s="174" t="str">
        <f t="shared" si="64"/>
        <v>中等Medium</v>
      </c>
      <c r="S140" s="175" t="s">
        <v>96</v>
      </c>
      <c r="T140" s="175" t="s">
        <v>535</v>
      </c>
      <c r="U140" s="175" t="s">
        <v>152</v>
      </c>
      <c r="V140" s="171" t="s">
        <v>688</v>
      </c>
      <c r="W140" s="171" t="s">
        <v>82</v>
      </c>
      <c r="X140" s="176">
        <f t="shared" si="65"/>
        <v>0</v>
      </c>
      <c r="Y140" s="171" t="s">
        <v>83</v>
      </c>
      <c r="Z140" s="176">
        <f t="shared" si="66"/>
        <v>6</v>
      </c>
      <c r="AA140" s="171" t="s">
        <v>153</v>
      </c>
      <c r="AB140" s="176">
        <f t="shared" si="67"/>
        <v>0</v>
      </c>
      <c r="AC140" s="171" t="s">
        <v>85</v>
      </c>
      <c r="AD140" s="176">
        <f t="shared" si="68"/>
        <v>4</v>
      </c>
      <c r="AE140" s="171" t="s">
        <v>143</v>
      </c>
      <c r="AF140" s="176" cm="1">
        <f t="array" ref="AF140">IF(OR(AE140="/",AE140=""),"/",IF(ISNUMBER(SEARCH("普通",AE140)),0,IF(ISNUMBER(SEARCH("专用",AE140)),4,IF(ISNUMBER(SEARCH("定制",AE140)),7,IF(ISNUMBER(SEARCH("多个定制",AE140)),9,””)))))</f>
        <v>7</v>
      </c>
      <c r="AG140" s="176">
        <f t="shared" si="69"/>
        <v>17</v>
      </c>
      <c r="AH140" s="176" t="str">
        <f t="shared" si="70"/>
        <v>中Medium</v>
      </c>
      <c r="AI140" s="176" t="s">
        <v>144</v>
      </c>
      <c r="AJ140" s="176" t="str">
        <f t="shared" si="71"/>
        <v>保留
Retaining</v>
      </c>
      <c r="AK140" s="171" t="s">
        <v>145</v>
      </c>
      <c r="AL140" s="177" t="s">
        <v>145</v>
      </c>
      <c r="AM140" s="171" t="s">
        <v>145</v>
      </c>
      <c r="AN140" s="178" t="s">
        <v>280</v>
      </c>
      <c r="AO140" s="178" t="s">
        <v>281</v>
      </c>
    </row>
    <row r="141" s="116" customFormat="1" ht="20" customHeight="1" spans="1:41">
      <c r="A141" s="171">
        <v>137</v>
      </c>
      <c r="B141" s="179"/>
      <c r="C141" s="179"/>
      <c r="D141" s="179"/>
      <c r="E141" s="171"/>
      <c r="F141" s="171"/>
      <c r="G141" s="171"/>
      <c r="H141" s="171" t="s">
        <v>73</v>
      </c>
      <c r="I141" s="171"/>
      <c r="J141" s="171"/>
      <c r="K141" s="173" t="s">
        <v>536</v>
      </c>
      <c r="L141" s="173" t="s">
        <v>696</v>
      </c>
      <c r="M141" s="173" t="s">
        <v>166</v>
      </c>
      <c r="N141" s="174" t="s">
        <v>96</v>
      </c>
      <c r="O141" s="174" t="s">
        <v>96</v>
      </c>
      <c r="P141" s="174" t="s">
        <v>96</v>
      </c>
      <c r="Q141" s="174" t="s">
        <v>77</v>
      </c>
      <c r="R141" s="174" t="str">
        <f t="shared" si="64"/>
        <v>中等Medium</v>
      </c>
      <c r="S141" s="171" t="s">
        <v>96</v>
      </c>
      <c r="T141" s="175" t="s">
        <v>538</v>
      </c>
      <c r="U141" s="175" t="s">
        <v>697</v>
      </c>
      <c r="V141" s="171" t="s">
        <v>688</v>
      </c>
      <c r="W141" s="171" t="s">
        <v>82</v>
      </c>
      <c r="X141" s="176">
        <f t="shared" si="65"/>
        <v>0</v>
      </c>
      <c r="Y141" s="171" t="s">
        <v>83</v>
      </c>
      <c r="Z141" s="176">
        <f t="shared" si="66"/>
        <v>6</v>
      </c>
      <c r="AA141" s="171" t="s">
        <v>84</v>
      </c>
      <c r="AB141" s="176">
        <f t="shared" si="67"/>
        <v>3</v>
      </c>
      <c r="AC141" s="171" t="s">
        <v>85</v>
      </c>
      <c r="AD141" s="176">
        <f t="shared" si="68"/>
        <v>4</v>
      </c>
      <c r="AE141" s="171" t="s">
        <v>86</v>
      </c>
      <c r="AF141" s="176" cm="1">
        <f t="array" ref="AF141">IF(OR(AE141="/",AE141=""),"/",IF(ISNUMBER(SEARCH("普通",AE141)),0,IF(ISNUMBER(SEARCH("专用",AE141)),4,IF(ISNUMBER(SEARCH("定制",AE141)),7,IF(ISNUMBER(SEARCH("多个定制",AE141)),9,””)))))</f>
        <v>4</v>
      </c>
      <c r="AG141" s="176">
        <f t="shared" si="69"/>
        <v>17</v>
      </c>
      <c r="AH141" s="176" t="str">
        <f t="shared" si="70"/>
        <v>中Medium</v>
      </c>
      <c r="AI141" s="176" t="s">
        <v>144</v>
      </c>
      <c r="AJ141" s="176" t="str">
        <f t="shared" si="71"/>
        <v>保留
Retaining</v>
      </c>
      <c r="AK141" s="171" t="s">
        <v>145</v>
      </c>
      <c r="AL141" s="177" t="s">
        <v>145</v>
      </c>
      <c r="AM141" s="180" t="s">
        <v>316</v>
      </c>
      <c r="AN141" s="178" t="s">
        <v>317</v>
      </c>
      <c r="AO141" s="178" t="s">
        <v>318</v>
      </c>
    </row>
    <row r="142" s="116" customFormat="1" ht="20" customHeight="1" spans="1:41">
      <c r="A142" s="171">
        <v>138</v>
      </c>
      <c r="B142" s="179"/>
      <c r="C142" s="179"/>
      <c r="D142" s="179"/>
      <c r="E142" s="171"/>
      <c r="F142" s="171"/>
      <c r="G142" s="171"/>
      <c r="H142" s="171"/>
      <c r="I142" s="171" t="s">
        <v>73</v>
      </c>
      <c r="J142" s="171"/>
      <c r="K142" s="173" t="s">
        <v>540</v>
      </c>
      <c r="L142" s="173" t="s">
        <v>698</v>
      </c>
      <c r="M142" s="173" t="s">
        <v>174</v>
      </c>
      <c r="N142" s="174" t="s">
        <v>96</v>
      </c>
      <c r="O142" s="174" t="s">
        <v>96</v>
      </c>
      <c r="P142" s="174" t="s">
        <v>96</v>
      </c>
      <c r="Q142" s="174" t="s">
        <v>77</v>
      </c>
      <c r="R142" s="174" t="str">
        <f t="shared" si="64"/>
        <v>中等Medium</v>
      </c>
      <c r="S142" s="175" t="s">
        <v>96</v>
      </c>
      <c r="T142" s="175" t="s">
        <v>542</v>
      </c>
      <c r="U142" s="175" t="s">
        <v>176</v>
      </c>
      <c r="V142" s="171" t="s">
        <v>688</v>
      </c>
      <c r="W142" s="171" t="s">
        <v>82</v>
      </c>
      <c r="X142" s="176">
        <f t="shared" si="65"/>
        <v>0</v>
      </c>
      <c r="Y142" s="171" t="s">
        <v>177</v>
      </c>
      <c r="Z142" s="176">
        <f t="shared" si="66"/>
        <v>3</v>
      </c>
      <c r="AA142" s="171" t="s">
        <v>153</v>
      </c>
      <c r="AB142" s="176">
        <f t="shared" si="67"/>
        <v>0</v>
      </c>
      <c r="AC142" s="171" t="s">
        <v>85</v>
      </c>
      <c r="AD142" s="176">
        <f t="shared" si="68"/>
        <v>4</v>
      </c>
      <c r="AE142" s="171" t="s">
        <v>86</v>
      </c>
      <c r="AF142" s="176" cm="1">
        <f t="array" ref="AF142">IF(OR(AE142="/",AE142=""),"/",IF(ISNUMBER(SEARCH("普通",AE142)),0,IF(ISNUMBER(SEARCH("专用",AE142)),4,IF(ISNUMBER(SEARCH("定制",AE142)),7,IF(ISNUMBER(SEARCH("多个定制",AE142)),9,””)))))</f>
        <v>4</v>
      </c>
      <c r="AG142" s="176">
        <f t="shared" si="69"/>
        <v>11</v>
      </c>
      <c r="AH142" s="176" t="str">
        <f t="shared" si="70"/>
        <v>高High</v>
      </c>
      <c r="AI142" s="176" t="s">
        <v>87</v>
      </c>
      <c r="AJ142" s="176" t="str">
        <f t="shared" si="71"/>
        <v>降低
Reucing</v>
      </c>
      <c r="AK142" s="171" t="s">
        <v>543</v>
      </c>
      <c r="AL142" s="177" t="s">
        <v>544</v>
      </c>
      <c r="AM142" s="180" t="s">
        <v>329</v>
      </c>
      <c r="AN142" s="178" t="s">
        <v>181</v>
      </c>
      <c r="AO142" s="178" t="s">
        <v>182</v>
      </c>
    </row>
    <row r="143" s="116" customFormat="1" ht="20" customHeight="1" spans="1:41">
      <c r="A143" s="171">
        <v>139</v>
      </c>
      <c r="B143" s="181"/>
      <c r="C143" s="181"/>
      <c r="D143" s="181"/>
      <c r="E143" s="171"/>
      <c r="F143" s="171"/>
      <c r="G143" s="171"/>
      <c r="H143" s="171"/>
      <c r="I143" s="171"/>
      <c r="J143" s="171" t="s">
        <v>183</v>
      </c>
      <c r="K143" s="173" t="s">
        <v>145</v>
      </c>
      <c r="L143" s="173" t="s">
        <v>145</v>
      </c>
      <c r="M143" s="173" t="s">
        <v>145</v>
      </c>
      <c r="N143" s="174" t="s">
        <v>145</v>
      </c>
      <c r="O143" s="174" t="s">
        <v>145</v>
      </c>
      <c r="P143" s="174" t="s">
        <v>145</v>
      </c>
      <c r="Q143" s="174" t="s">
        <v>145</v>
      </c>
      <c r="R143" s="174" t="s">
        <v>145</v>
      </c>
      <c r="S143" s="175" t="s">
        <v>145</v>
      </c>
      <c r="T143" s="175" t="s">
        <v>145</v>
      </c>
      <c r="U143" s="175" t="s">
        <v>145</v>
      </c>
      <c r="V143" s="171" t="s">
        <v>145</v>
      </c>
      <c r="W143" s="171" t="s">
        <v>145</v>
      </c>
      <c r="X143" s="176" t="s">
        <v>145</v>
      </c>
      <c r="Y143" s="171" t="s">
        <v>145</v>
      </c>
      <c r="Z143" s="176" t="s">
        <v>145</v>
      </c>
      <c r="AA143" s="171" t="s">
        <v>145</v>
      </c>
      <c r="AB143" s="176" t="s">
        <v>145</v>
      </c>
      <c r="AC143" s="171" t="s">
        <v>145</v>
      </c>
      <c r="AD143" s="176" t="s">
        <v>145</v>
      </c>
      <c r="AE143" s="171" t="s">
        <v>145</v>
      </c>
      <c r="AF143" s="176" t="str" cm="1">
        <f t="array" ref="AF143">IF(OR(AE143="/",AE143=""),"/",IF(ISNUMBER(SEARCH("普通",AE143)),0,IF(ISNUMBER(SEARCH("专用",AE143)),4,IF(ISNUMBER(SEARCH("定制",AE143)),7,IF(ISNUMBER(SEARCH("多个定制",AE143)),9,””)))))</f>
        <v>/</v>
      </c>
      <c r="AG143" s="176" t="s">
        <v>145</v>
      </c>
      <c r="AH143" s="176" t="s">
        <v>145</v>
      </c>
      <c r="AI143" s="176" t="s">
        <v>145</v>
      </c>
      <c r="AJ143" s="176" t="str">
        <f t="shared" si="71"/>
        <v>/</v>
      </c>
      <c r="AK143" s="171" t="s">
        <v>145</v>
      </c>
      <c r="AL143" s="177" t="s">
        <v>145</v>
      </c>
      <c r="AM143" s="177" t="s">
        <v>145</v>
      </c>
      <c r="AN143" s="177" t="s">
        <v>145</v>
      </c>
      <c r="AO143" s="177" t="s">
        <v>145</v>
      </c>
    </row>
    <row r="144" s="116" customFormat="1" ht="20" customHeight="1" spans="1:41">
      <c r="A144" s="171">
        <v>140</v>
      </c>
      <c r="B144" s="172" t="s">
        <v>699</v>
      </c>
      <c r="C144" s="171" t="s">
        <v>71</v>
      </c>
      <c r="D144" s="173" t="s">
        <v>700</v>
      </c>
      <c r="E144" s="171" t="s">
        <v>73</v>
      </c>
      <c r="F144" s="171"/>
      <c r="G144" s="171"/>
      <c r="H144" s="171"/>
      <c r="I144" s="171"/>
      <c r="J144" s="171"/>
      <c r="K144" s="173" t="s">
        <v>547</v>
      </c>
      <c r="L144" s="173" t="s">
        <v>701</v>
      </c>
      <c r="M144" s="173" t="s">
        <v>106</v>
      </c>
      <c r="N144" s="174" t="s">
        <v>77</v>
      </c>
      <c r="O144" s="174" t="s">
        <v>77</v>
      </c>
      <c r="P144" s="174" t="s">
        <v>96</v>
      </c>
      <c r="Q144" s="174" t="s">
        <v>96</v>
      </c>
      <c r="R144" s="174" t="str">
        <f>IF(OR(N144="严重Severe",O144="严重Severe",P144="严重Severe",Q144="严重Severe"),"严重Severe",IF(OR(N144="主要Major",O144="主要Major",P144="主要Major",Q144="主要Major"),"主要Major",IF(OR(N144="中等Medium",O144="中等Medium",P144="中等Medium",Q144="中等Medium"),"中等Medium",IF(OR(N144="可忽略不计Negligible",O144="可忽略不计Negligible",P144="可忽略不计Negligible",Q144="可忽略不计Negligible"),"可忽略不计Negligible","/"))))</f>
        <v>中等Medium</v>
      </c>
      <c r="S144" s="171" t="s">
        <v>96</v>
      </c>
      <c r="T144" s="175" t="s">
        <v>549</v>
      </c>
      <c r="U144" s="175" t="s">
        <v>109</v>
      </c>
      <c r="V144" s="171" t="s">
        <v>702</v>
      </c>
      <c r="W144" s="171" t="s">
        <v>82</v>
      </c>
      <c r="X144" s="176">
        <f t="shared" ref="X144:X148" si="72">IF(OR(W144="/",W144=""),"/",IF(ISNUMBER(SEARCH("1天",W144)),0,IF(ISNUMBER(SEARCH("一周",W144)),1,IF(ISNUMBER(SEARCH("1个月",W144)),4,IF(ISNUMBER(SEARCH("超过",W144)),19,IF(ISNUMBER(SEARCH("6个月",W144)),17,""))))))</f>
        <v>0</v>
      </c>
      <c r="Y144" s="171" t="s">
        <v>83</v>
      </c>
      <c r="Z144" s="176">
        <f t="shared" ref="Z144:Z148" si="73">IF(OR(Y144="/",Y144=""),"/",IF(ISNUMBER(SEARCH("新手",Y144)),0,IF(ISNUMBER(SEARCH("熟练",Y144)),3,IF(ISNUMBER(SEARCH("多位",Y144)),17,IF(ISNUMBER(SEARCH("专家",Y144)),6,"")))))</f>
        <v>6</v>
      </c>
      <c r="AA144" s="171" t="s">
        <v>84</v>
      </c>
      <c r="AB144" s="176">
        <f t="shared" ref="AB144:AB148" si="74">IF(OR(AA144="/",AA144=""),"/",IF(ISNUMBER(SEARCH("公开",AA144)),0,IF(ISNUMBER(SEARCH("限制性信息",AA144)),3,IF(ISNUMBER(SEARCH("机密信息",AA144)),7,IF(ISNUMBER(SEARCH("严格保密",AA144)),11,"")))))</f>
        <v>3</v>
      </c>
      <c r="AC144" s="171" t="s">
        <v>85</v>
      </c>
      <c r="AD144" s="176">
        <f t="shared" ref="AD144:AD148" si="75">IF(OR(AC144="/",AC144=""),"/",IF(ISNUMBER(SEARCH("无限制",AC144)),0,IF(ISNUMBER(SEARCH("容易",AC144)),1,IF(ISNUMBER(SEARCH("一般",AC144)),4,IF(ISNUMBER(SEARCH("困难",AC144)),10,"")))))</f>
        <v>4</v>
      </c>
      <c r="AE144" s="171" t="s">
        <v>86</v>
      </c>
      <c r="AF144" s="176" cm="1">
        <f t="array" ref="AF144">IF(OR(AE144="/",AE144=""),"/",IF(ISNUMBER(SEARCH("普通",AE144)),0,IF(ISNUMBER(SEARCH("专用",AE144)),4,IF(ISNUMBER(SEARCH("定制",AE144)),7,IF(ISNUMBER(SEARCH("多个定制",AE144)),9,””)))))</f>
        <v>4</v>
      </c>
      <c r="AG144" s="176">
        <f t="shared" ref="AG144:AG148" si="76">IF(OR(X144="/",Z144="/",AB144="/",AD144="/",AF144="/"),"/",X144+Z144+AB144+AD144+AF144)</f>
        <v>17</v>
      </c>
      <c r="AH144" s="176" t="str">
        <f t="shared" ref="AH144:AH148" si="77">IF(AND(AG144&gt;=0,AG144&lt;14),"高High",IF(AND(AG144&gt;=14,AG144&lt;20),"中Medium",IF(AND(AG144&gt;=20,AG144&lt;25),"低Low",IF(AND(AG144&gt;=25,AG144&lt;57),"非常低Very low",""))))</f>
        <v>中Medium</v>
      </c>
      <c r="AI144" s="176" t="s">
        <v>144</v>
      </c>
      <c r="AJ144" s="176" t="str">
        <f t="shared" si="71"/>
        <v>保留
Retaining</v>
      </c>
      <c r="AK144" s="171" t="s">
        <v>145</v>
      </c>
      <c r="AL144" s="177" t="s">
        <v>145</v>
      </c>
      <c r="AM144" s="180" t="s">
        <v>115</v>
      </c>
      <c r="AN144" s="178" t="s">
        <v>116</v>
      </c>
      <c r="AO144" s="178" t="s">
        <v>117</v>
      </c>
    </row>
    <row r="145" s="116" customFormat="1" ht="20" customHeight="1" spans="1:41">
      <c r="A145" s="171">
        <v>141</v>
      </c>
      <c r="B145" s="179"/>
      <c r="C145" s="179"/>
      <c r="D145" s="179"/>
      <c r="E145" s="171"/>
      <c r="F145" s="171" t="s">
        <v>73</v>
      </c>
      <c r="G145" s="171"/>
      <c r="H145" s="171"/>
      <c r="I145" s="171"/>
      <c r="J145" s="171"/>
      <c r="K145" s="173" t="s">
        <v>551</v>
      </c>
      <c r="L145" s="173" t="s">
        <v>703</v>
      </c>
      <c r="M145" s="173" t="s">
        <v>553</v>
      </c>
      <c r="N145" s="174" t="s">
        <v>77</v>
      </c>
      <c r="O145" s="174" t="s">
        <v>77</v>
      </c>
      <c r="P145" s="174" t="s">
        <v>96</v>
      </c>
      <c r="Q145" s="174" t="s">
        <v>77</v>
      </c>
      <c r="R145" s="174" t="str">
        <f>IF(OR(N145="严重Severe",O145="严重Severe",P145="严重Severe",Q145="严重Severe"),"严重Severe",IF(OR(N145="主要Major",O145="主要Major",P145="主要Major",Q145="主要Major"),"主要Major",IF(OR(N145="中等Medium",O145="中等Medium",P145="中等Medium",Q145="中等Medium"),"中等Medium",IF(OR(N145="可忽略不计Negligible",O145="可忽略不计Negligible",P145="可忽略不计Negligible",Q145="可忽略不计Negligible"),"可忽略不计Negligible","/"))))</f>
        <v>中等Medium</v>
      </c>
      <c r="S145" s="175" t="s">
        <v>96</v>
      </c>
      <c r="T145" s="175" t="s">
        <v>554</v>
      </c>
      <c r="U145" s="175" t="s">
        <v>555</v>
      </c>
      <c r="V145" s="171" t="s">
        <v>704</v>
      </c>
      <c r="W145" s="171" t="s">
        <v>111</v>
      </c>
      <c r="X145" s="176">
        <f t="shared" si="72"/>
        <v>1</v>
      </c>
      <c r="Y145" s="171" t="s">
        <v>83</v>
      </c>
      <c r="Z145" s="176">
        <f t="shared" si="73"/>
        <v>6</v>
      </c>
      <c r="AA145" s="171" t="s">
        <v>557</v>
      </c>
      <c r="AB145" s="176">
        <f t="shared" si="74"/>
        <v>0</v>
      </c>
      <c r="AC145" s="171" t="s">
        <v>558</v>
      </c>
      <c r="AD145" s="176">
        <f t="shared" si="75"/>
        <v>10</v>
      </c>
      <c r="AE145" s="171" t="s">
        <v>86</v>
      </c>
      <c r="AF145" s="176" cm="1">
        <f t="array" ref="AF145">IF(OR(AE145="/",AE145=""),"/",IF(ISNUMBER(SEARCH("普通",AE145)),0,IF(ISNUMBER(SEARCH("专用",AE145)),4,IF(ISNUMBER(SEARCH("定制",AE145)),7,IF(ISNUMBER(SEARCH("多个定制",AE145)),9,””)))))</f>
        <v>4</v>
      </c>
      <c r="AG145" s="176">
        <f t="shared" si="76"/>
        <v>21</v>
      </c>
      <c r="AH145" s="176" t="str">
        <f t="shared" si="77"/>
        <v>低Low</v>
      </c>
      <c r="AI145" s="176" t="s">
        <v>144</v>
      </c>
      <c r="AJ145" s="176" t="str">
        <f t="shared" si="71"/>
        <v>保留
Retaining</v>
      </c>
      <c r="AK145" s="171" t="s">
        <v>145</v>
      </c>
      <c r="AL145" s="177" t="s">
        <v>145</v>
      </c>
      <c r="AM145" s="171" t="s">
        <v>145</v>
      </c>
      <c r="AN145" s="178" t="s">
        <v>270</v>
      </c>
      <c r="AO145" s="178" t="s">
        <v>271</v>
      </c>
    </row>
    <row r="146" s="116" customFormat="1" ht="20" customHeight="1" spans="1:41">
      <c r="A146" s="171">
        <v>142</v>
      </c>
      <c r="B146" s="179"/>
      <c r="C146" s="179"/>
      <c r="D146" s="179"/>
      <c r="E146" s="171"/>
      <c r="F146" s="171" t="s">
        <v>73</v>
      </c>
      <c r="G146" s="171"/>
      <c r="H146" s="171"/>
      <c r="I146" s="171"/>
      <c r="J146" s="171"/>
      <c r="K146" s="173" t="s">
        <v>582</v>
      </c>
      <c r="L146" s="173" t="s">
        <v>705</v>
      </c>
      <c r="M146" s="173" t="s">
        <v>120</v>
      </c>
      <c r="N146" s="174" t="s">
        <v>77</v>
      </c>
      <c r="O146" s="174" t="s">
        <v>77</v>
      </c>
      <c r="P146" s="174" t="s">
        <v>96</v>
      </c>
      <c r="Q146" s="174" t="s">
        <v>77</v>
      </c>
      <c r="R146" s="174" t="str">
        <f>IF(OR(N146="严重Severe",O146="严重Severe",P146="严重Severe",Q146="严重Severe"),"严重Severe",IF(OR(N146="主要Major",O146="主要Major",P146="主要Major",Q146="主要Major"),"主要Major",IF(OR(N146="中等Medium",O146="中等Medium",P146="中等Medium",Q146="中等Medium"),"中等Medium",IF(OR(N146="可忽略不计Negligible",O146="可忽略不计Negligible",P146="可忽略不计Negligible",Q146="可忽略不计Negligible"),"可忽略不计Negligible","/"))))</f>
        <v>中等Medium</v>
      </c>
      <c r="S146" s="171" t="s">
        <v>96</v>
      </c>
      <c r="T146" s="175" t="s">
        <v>584</v>
      </c>
      <c r="U146" s="175" t="s">
        <v>706</v>
      </c>
      <c r="V146" s="171" t="s">
        <v>704</v>
      </c>
      <c r="W146" s="171" t="s">
        <v>111</v>
      </c>
      <c r="X146" s="176">
        <f t="shared" si="72"/>
        <v>1</v>
      </c>
      <c r="Y146" s="171" t="s">
        <v>83</v>
      </c>
      <c r="Z146" s="176">
        <f t="shared" si="73"/>
        <v>6</v>
      </c>
      <c r="AA146" s="171" t="s">
        <v>84</v>
      </c>
      <c r="AB146" s="176">
        <f t="shared" si="74"/>
        <v>3</v>
      </c>
      <c r="AC146" s="171" t="s">
        <v>85</v>
      </c>
      <c r="AD146" s="176">
        <f t="shared" si="75"/>
        <v>4</v>
      </c>
      <c r="AE146" s="171" t="s">
        <v>86</v>
      </c>
      <c r="AF146" s="176" cm="1">
        <f t="array" ref="AF146">IF(OR(AE146="/",AE146=""),"/",IF(ISNUMBER(SEARCH("普通",AE146)),0,IF(ISNUMBER(SEARCH("专用",AE146)),4,IF(ISNUMBER(SEARCH("定制",AE146)),7,IF(ISNUMBER(SEARCH("多个定制",AE146)),9,””)))))</f>
        <v>4</v>
      </c>
      <c r="AG146" s="176">
        <f t="shared" si="76"/>
        <v>18</v>
      </c>
      <c r="AH146" s="176" t="str">
        <f t="shared" si="77"/>
        <v>中Medium</v>
      </c>
      <c r="AI146" s="176" t="s">
        <v>144</v>
      </c>
      <c r="AJ146" s="176" t="str">
        <f t="shared" si="71"/>
        <v>保留
Retaining</v>
      </c>
      <c r="AK146" s="171" t="s">
        <v>145</v>
      </c>
      <c r="AL146" s="177" t="s">
        <v>145</v>
      </c>
      <c r="AM146" s="180" t="s">
        <v>134</v>
      </c>
      <c r="AN146" s="178" t="s">
        <v>135</v>
      </c>
      <c r="AO146" s="178" t="s">
        <v>136</v>
      </c>
    </row>
    <row r="147" s="116" customFormat="1" ht="20" customHeight="1" spans="1:41">
      <c r="A147" s="171">
        <v>143</v>
      </c>
      <c r="B147" s="179"/>
      <c r="C147" s="179"/>
      <c r="D147" s="179"/>
      <c r="E147" s="171"/>
      <c r="F147" s="171"/>
      <c r="G147" s="171" t="s">
        <v>559</v>
      </c>
      <c r="H147" s="171"/>
      <c r="I147" s="171"/>
      <c r="J147" s="171"/>
      <c r="K147" s="173" t="s">
        <v>560</v>
      </c>
      <c r="L147" s="173" t="s">
        <v>707</v>
      </c>
      <c r="M147" s="173" t="s">
        <v>145</v>
      </c>
      <c r="N147" s="174" t="s">
        <v>145</v>
      </c>
      <c r="O147" s="174" t="s">
        <v>145</v>
      </c>
      <c r="P147" s="174" t="s">
        <v>145</v>
      </c>
      <c r="Q147" s="174" t="s">
        <v>145</v>
      </c>
      <c r="R147" s="174" t="str">
        <f>IF(OR(N147="严重Severe",O147="严重Severe",P147="严重Severe",Q147="严重Severe"),"严重Severe",IF(OR(N147="主要Major",O147="主要Major",P147="主要Major",Q147="主要Major"),"主要Major",IF(OR(N147="中等Medium",O147="中等Medium",P147="中等Medium",Q147="中等Medium"),"中等Medium",IF(OR(N147="可忽略不计Negligible",O147="可忽略不计Negligible",P147="可忽略不计Negligible",Q147="可忽略不计Negligible"),"可忽略不计Negligible","/"))))</f>
        <v>/</v>
      </c>
      <c r="S147" s="175" t="s">
        <v>145</v>
      </c>
      <c r="T147" s="175" t="s">
        <v>145</v>
      </c>
      <c r="U147" s="175" t="s">
        <v>145</v>
      </c>
      <c r="V147" s="171" t="s">
        <v>145</v>
      </c>
      <c r="W147" s="171" t="s">
        <v>145</v>
      </c>
      <c r="X147" s="176" t="str">
        <f t="shared" si="72"/>
        <v>/</v>
      </c>
      <c r="Y147" s="171" t="s">
        <v>145</v>
      </c>
      <c r="Z147" s="176" t="str">
        <f t="shared" si="73"/>
        <v>/</v>
      </c>
      <c r="AA147" s="171" t="s">
        <v>145</v>
      </c>
      <c r="AB147" s="176" t="str">
        <f t="shared" si="74"/>
        <v>/</v>
      </c>
      <c r="AC147" s="171" t="s">
        <v>145</v>
      </c>
      <c r="AD147" s="176" t="str">
        <f t="shared" si="75"/>
        <v>/</v>
      </c>
      <c r="AE147" s="171" t="s">
        <v>145</v>
      </c>
      <c r="AF147" s="176" t="str" cm="1">
        <f t="array" ref="AF147">IF(OR(AE147="/",AE147=""),"/",IF(ISNUMBER(SEARCH("普通",AE147)),0,IF(ISNUMBER(SEARCH("专用",AE147)),4,IF(ISNUMBER(SEARCH("定制",AE147)),7,IF(ISNUMBER(SEARCH("多个定制",AE147)),9,””)))))</f>
        <v>/</v>
      </c>
      <c r="AG147" s="176" t="str">
        <f t="shared" si="76"/>
        <v>/</v>
      </c>
      <c r="AH147" s="176" t="str">
        <f t="shared" si="77"/>
        <v/>
      </c>
      <c r="AI147" s="176" t="s">
        <v>145</v>
      </c>
      <c r="AJ147" s="176" t="str">
        <f t="shared" si="71"/>
        <v>/</v>
      </c>
      <c r="AK147" s="171" t="s">
        <v>145</v>
      </c>
      <c r="AL147" s="177" t="s">
        <v>145</v>
      </c>
      <c r="AM147" s="177" t="s">
        <v>145</v>
      </c>
      <c r="AN147" s="177" t="s">
        <v>145</v>
      </c>
      <c r="AO147" s="177" t="s">
        <v>145</v>
      </c>
    </row>
    <row r="148" s="116" customFormat="1" ht="20" customHeight="1" spans="1:41">
      <c r="A148" s="171">
        <v>144</v>
      </c>
      <c r="B148" s="179"/>
      <c r="C148" s="179"/>
      <c r="D148" s="179"/>
      <c r="E148" s="171"/>
      <c r="F148" s="171"/>
      <c r="G148" s="171"/>
      <c r="H148" s="171" t="s">
        <v>73</v>
      </c>
      <c r="I148" s="171"/>
      <c r="J148" s="171"/>
      <c r="K148" s="173" t="s">
        <v>587</v>
      </c>
      <c r="L148" s="173" t="s">
        <v>708</v>
      </c>
      <c r="M148" s="173" t="s">
        <v>589</v>
      </c>
      <c r="N148" s="174" t="s">
        <v>77</v>
      </c>
      <c r="O148" s="174" t="s">
        <v>77</v>
      </c>
      <c r="P148" s="174" t="s">
        <v>96</v>
      </c>
      <c r="Q148" s="174" t="s">
        <v>77</v>
      </c>
      <c r="R148" s="174" t="str">
        <f>IF(OR(N148="严重Severe",O148="严重Severe",P148="严重Severe",Q148="严重Severe"),"严重Severe",IF(OR(N148="主要Major",O148="主要Major",P148="主要Major",Q148="主要Major"),"主要Major",IF(OR(N148="中等Medium",O148="中等Medium",P148="中等Medium",Q148="中等Medium"),"中等Medium",IF(OR(N148="可忽略不计Negligible",O148="可忽略不计Negligible",P148="可忽略不计Negligible",Q148="可忽略不计Negligible"),"可忽略不计Negligible","/"))))</f>
        <v>中等Medium</v>
      </c>
      <c r="S148" s="171" t="s">
        <v>96</v>
      </c>
      <c r="T148" s="175" t="s">
        <v>590</v>
      </c>
      <c r="U148" s="175" t="s">
        <v>591</v>
      </c>
      <c r="V148" s="171" t="s">
        <v>704</v>
      </c>
      <c r="W148" s="171" t="s">
        <v>82</v>
      </c>
      <c r="X148" s="176">
        <f t="shared" si="72"/>
        <v>0</v>
      </c>
      <c r="Y148" s="171" t="s">
        <v>83</v>
      </c>
      <c r="Z148" s="176">
        <f t="shared" si="73"/>
        <v>6</v>
      </c>
      <c r="AA148" s="171" t="s">
        <v>84</v>
      </c>
      <c r="AB148" s="176">
        <f t="shared" si="74"/>
        <v>3</v>
      </c>
      <c r="AC148" s="171" t="s">
        <v>85</v>
      </c>
      <c r="AD148" s="176">
        <f t="shared" si="75"/>
        <v>4</v>
      </c>
      <c r="AE148" s="171" t="s">
        <v>86</v>
      </c>
      <c r="AF148" s="176" cm="1">
        <f t="array" ref="AF148">IF(OR(AE148="/",AE148=""),"/",IF(ISNUMBER(SEARCH("普通",AE148)),0,IF(ISNUMBER(SEARCH("专用",AE148)),4,IF(ISNUMBER(SEARCH("定制",AE148)),7,IF(ISNUMBER(SEARCH("多个定制",AE148)),9,””)))))</f>
        <v>4</v>
      </c>
      <c r="AG148" s="176">
        <f t="shared" si="76"/>
        <v>17</v>
      </c>
      <c r="AH148" s="176" t="str">
        <f t="shared" si="77"/>
        <v>中Medium</v>
      </c>
      <c r="AI148" s="176" t="s">
        <v>144</v>
      </c>
      <c r="AJ148" s="176" t="str">
        <f t="shared" si="71"/>
        <v>保留
Retaining</v>
      </c>
      <c r="AK148" s="171" t="s">
        <v>145</v>
      </c>
      <c r="AL148" s="177" t="s">
        <v>145</v>
      </c>
      <c r="AM148" s="180" t="s">
        <v>101</v>
      </c>
      <c r="AN148" s="178" t="s">
        <v>592</v>
      </c>
      <c r="AO148" s="178" t="s">
        <v>593</v>
      </c>
    </row>
    <row r="149" s="116" customFormat="1" ht="20" customHeight="1" spans="1:41">
      <c r="A149" s="171">
        <v>145</v>
      </c>
      <c r="B149" s="179"/>
      <c r="C149" s="179"/>
      <c r="D149" s="179"/>
      <c r="E149" s="171"/>
      <c r="F149" s="171"/>
      <c r="G149" s="171"/>
      <c r="H149" s="171"/>
      <c r="I149" s="171" t="s">
        <v>183</v>
      </c>
      <c r="J149" s="171"/>
      <c r="K149" s="173" t="s">
        <v>145</v>
      </c>
      <c r="L149" s="173" t="s">
        <v>145</v>
      </c>
      <c r="M149" s="173" t="s">
        <v>145</v>
      </c>
      <c r="N149" s="174" t="s">
        <v>145</v>
      </c>
      <c r="O149" s="174" t="s">
        <v>145</v>
      </c>
      <c r="P149" s="174" t="s">
        <v>145</v>
      </c>
      <c r="Q149" s="174" t="s">
        <v>145</v>
      </c>
      <c r="R149" s="174" t="s">
        <v>145</v>
      </c>
      <c r="S149" s="175" t="s">
        <v>145</v>
      </c>
      <c r="T149" s="175" t="s">
        <v>145</v>
      </c>
      <c r="U149" s="175" t="s">
        <v>145</v>
      </c>
      <c r="V149" s="171" t="s">
        <v>145</v>
      </c>
      <c r="W149" s="171" t="s">
        <v>145</v>
      </c>
      <c r="X149" s="176" t="s">
        <v>145</v>
      </c>
      <c r="Y149" s="171" t="s">
        <v>145</v>
      </c>
      <c r="Z149" s="176" t="s">
        <v>145</v>
      </c>
      <c r="AA149" s="171" t="s">
        <v>145</v>
      </c>
      <c r="AB149" s="176" t="s">
        <v>145</v>
      </c>
      <c r="AC149" s="171" t="s">
        <v>145</v>
      </c>
      <c r="AD149" s="176" t="s">
        <v>145</v>
      </c>
      <c r="AE149" s="171" t="s">
        <v>145</v>
      </c>
      <c r="AF149" s="176" t="str" cm="1">
        <f t="array" ref="AF149">IF(OR(AE149="/",AE149=""),"/",IF(ISNUMBER(SEARCH("普通",AE149)),0,IF(ISNUMBER(SEARCH("专用",AE149)),4,IF(ISNUMBER(SEARCH("定制",AE149)),7,IF(ISNUMBER(SEARCH("多个定制",AE149)),9,””)))))</f>
        <v>/</v>
      </c>
      <c r="AG149" s="176" t="s">
        <v>145</v>
      </c>
      <c r="AH149" s="176" t="s">
        <v>145</v>
      </c>
      <c r="AI149" s="176" t="s">
        <v>145</v>
      </c>
      <c r="AJ149" s="176" t="str">
        <f t="shared" si="71"/>
        <v>/</v>
      </c>
      <c r="AK149" s="171" t="s">
        <v>145</v>
      </c>
      <c r="AL149" s="177" t="s">
        <v>145</v>
      </c>
      <c r="AM149" s="177" t="s">
        <v>145</v>
      </c>
      <c r="AN149" s="177" t="s">
        <v>145</v>
      </c>
      <c r="AO149" s="177" t="s">
        <v>145</v>
      </c>
    </row>
    <row r="150" s="116" customFormat="1" ht="20" customHeight="1" spans="1:41">
      <c r="A150" s="171">
        <v>146</v>
      </c>
      <c r="B150" s="181"/>
      <c r="C150" s="181"/>
      <c r="D150" s="181"/>
      <c r="E150" s="171"/>
      <c r="F150" s="171"/>
      <c r="G150" s="171"/>
      <c r="H150" s="171"/>
      <c r="I150" s="171"/>
      <c r="J150" s="171" t="s">
        <v>183</v>
      </c>
      <c r="K150" s="173" t="s">
        <v>145</v>
      </c>
      <c r="L150" s="173" t="s">
        <v>145</v>
      </c>
      <c r="M150" s="173" t="s">
        <v>145</v>
      </c>
      <c r="N150" s="174" t="s">
        <v>145</v>
      </c>
      <c r="O150" s="174" t="s">
        <v>145</v>
      </c>
      <c r="P150" s="174" t="s">
        <v>145</v>
      </c>
      <c r="Q150" s="174" t="s">
        <v>145</v>
      </c>
      <c r="R150" s="174" t="s">
        <v>145</v>
      </c>
      <c r="S150" s="175" t="s">
        <v>145</v>
      </c>
      <c r="T150" s="175" t="s">
        <v>145</v>
      </c>
      <c r="U150" s="175" t="s">
        <v>145</v>
      </c>
      <c r="V150" s="171" t="s">
        <v>145</v>
      </c>
      <c r="W150" s="171" t="s">
        <v>145</v>
      </c>
      <c r="X150" s="176" t="s">
        <v>145</v>
      </c>
      <c r="Y150" s="171" t="s">
        <v>145</v>
      </c>
      <c r="Z150" s="176" t="s">
        <v>145</v>
      </c>
      <c r="AA150" s="171" t="s">
        <v>145</v>
      </c>
      <c r="AB150" s="176" t="s">
        <v>145</v>
      </c>
      <c r="AC150" s="171" t="s">
        <v>145</v>
      </c>
      <c r="AD150" s="176" t="s">
        <v>145</v>
      </c>
      <c r="AE150" s="171" t="s">
        <v>145</v>
      </c>
      <c r="AF150" s="176" t="str" cm="1">
        <f t="array" ref="AF150">IF(OR(AE150="/",AE150=""),"/",IF(ISNUMBER(SEARCH("普通",AE150)),0,IF(ISNUMBER(SEARCH("专用",AE150)),4,IF(ISNUMBER(SEARCH("定制",AE150)),7,IF(ISNUMBER(SEARCH("多个定制",AE150)),9,””)))))</f>
        <v>/</v>
      </c>
      <c r="AG150" s="176" t="s">
        <v>145</v>
      </c>
      <c r="AH150" s="176" t="s">
        <v>145</v>
      </c>
      <c r="AI150" s="176" t="s">
        <v>145</v>
      </c>
      <c r="AJ150" s="176" t="str">
        <f t="shared" si="71"/>
        <v>/</v>
      </c>
      <c r="AK150" s="171" t="s">
        <v>145</v>
      </c>
      <c r="AL150" s="177" t="s">
        <v>145</v>
      </c>
      <c r="AM150" s="177" t="s">
        <v>145</v>
      </c>
      <c r="AN150" s="177" t="s">
        <v>145</v>
      </c>
      <c r="AO150" s="177" t="s">
        <v>145</v>
      </c>
    </row>
    <row r="151" s="116" customFormat="1" ht="20" customHeight="1" spans="1:41">
      <c r="A151" s="171">
        <v>147</v>
      </c>
      <c r="B151" s="172" t="s">
        <v>709</v>
      </c>
      <c r="C151" s="171" t="s">
        <v>71</v>
      </c>
      <c r="D151" s="173" t="s">
        <v>710</v>
      </c>
      <c r="E151" s="171" t="s">
        <v>73</v>
      </c>
      <c r="F151" s="171"/>
      <c r="G151" s="171"/>
      <c r="H151" s="171"/>
      <c r="I151" s="171"/>
      <c r="J151" s="171"/>
      <c r="K151" s="173" t="s">
        <v>509</v>
      </c>
      <c r="L151" s="173" t="s">
        <v>711</v>
      </c>
      <c r="M151" s="173" t="s">
        <v>76</v>
      </c>
      <c r="N151" s="174" t="s">
        <v>77</v>
      </c>
      <c r="O151" s="174" t="s">
        <v>77</v>
      </c>
      <c r="P151" s="174" t="s">
        <v>96</v>
      </c>
      <c r="Q151" s="174" t="s">
        <v>77</v>
      </c>
      <c r="R151" s="174" t="str">
        <f>IF(OR(N151="严重Severe",O151="严重Severe",P151="严重Severe",Q151="严重Severe"),"严重Severe",IF(OR(N151="中等Medium",O151="中等Medium",P151="中等Medium",Q151="中等Medium"),"中等Medium",IF(OR(N151="中等Medium",O151="中等Medium",P151="中等Medium",Q151="中等Medium"),"中等Medium",IF(OR(N151="可忽略不计Negligible",O151="可忽略不计Negligible",P151="可忽略不计Negligible",Q151="可忽略不计Negligible"),"可忽略不计Negligible","/"))))</f>
        <v>中等Medium</v>
      </c>
      <c r="S151" s="175" t="s">
        <v>96</v>
      </c>
      <c r="T151" s="175" t="s">
        <v>511</v>
      </c>
      <c r="U151" s="175" t="s">
        <v>80</v>
      </c>
      <c r="V151" s="171" t="s">
        <v>712</v>
      </c>
      <c r="W151" s="171" t="s">
        <v>82</v>
      </c>
      <c r="X151" s="176">
        <f t="shared" ref="X151:X157" si="78">IF(OR(W151="/",W151=""),"/",IF(ISNUMBER(SEARCH("1天",W151)),0,IF(ISNUMBER(SEARCH("一周",W151)),1,IF(ISNUMBER(SEARCH("1个月",W151)),4,IF(ISNUMBER(SEARCH("超过",W151)),19,IF(ISNUMBER(SEARCH("6个月",W151)),17,""))))))</f>
        <v>0</v>
      </c>
      <c r="Y151" s="171" t="s">
        <v>83</v>
      </c>
      <c r="Z151" s="176">
        <f t="shared" ref="Z151:Z157" si="79">IF(OR(Y151="/",Y151=""),"/",IF(ISNUMBER(SEARCH("新手",Y151)),0,IF(ISNUMBER(SEARCH("熟练",Y151)),3,IF(ISNUMBER(SEARCH("多位",Y151)),17,IF(ISNUMBER(SEARCH("专家",Y151)),6,"")))))</f>
        <v>6</v>
      </c>
      <c r="AA151" s="171" t="s">
        <v>84</v>
      </c>
      <c r="AB151" s="176">
        <f t="shared" ref="AB151:AB157" si="80">IF(OR(AA151="/",AA151=""),"/",IF(ISNUMBER(SEARCH("公开",AA151)),0,IF(ISNUMBER(SEARCH("限制性信息",AA151)),3,IF(ISNUMBER(SEARCH("机密信息",AA151)),7,IF(ISNUMBER(SEARCH("严格保密",AA151)),11,"")))))</f>
        <v>3</v>
      </c>
      <c r="AC151" s="171" t="s">
        <v>85</v>
      </c>
      <c r="AD151" s="176">
        <f t="shared" ref="AD151:AD157" si="81">IF(OR(AC151="/",AC151=""),"/",IF(ISNUMBER(SEARCH("无限制",AC151)),0,IF(ISNUMBER(SEARCH("容易",AC151)),1,IF(ISNUMBER(SEARCH("一般",AC151)),4,IF(ISNUMBER(SEARCH("困难",AC151)),10,"")))))</f>
        <v>4</v>
      </c>
      <c r="AE151" s="171" t="s">
        <v>86</v>
      </c>
      <c r="AF151" s="176" cm="1">
        <f t="array" ref="AF151">IF(OR(AE151="/",AE151=""),"/",IF(ISNUMBER(SEARCH("普通",AE151)),0,IF(ISNUMBER(SEARCH("专用",AE151)),4,IF(ISNUMBER(SEARCH("定制",AE151)),7,IF(ISNUMBER(SEARCH("多个定制",AE151)),9,””)))))</f>
        <v>4</v>
      </c>
      <c r="AG151" s="176">
        <f t="shared" ref="AG151:AG157" si="82">IF(OR(X151="/",Z151="/",AB151="/",AD151="/",AF151="/"),"/",X151+Z151+AB151+AD151+AF151)</f>
        <v>17</v>
      </c>
      <c r="AH151" s="176" t="str">
        <f t="shared" ref="AH151:AH157" si="83">IF(AND(AG151&gt;=0,AG151&lt;14),"高High",IF(AND(AG151&gt;=14,AG151&lt;20),"中Medium",IF(AND(AG151&gt;=20,AG151&lt;25),"低Low",IF(AND(AG151&gt;=25,AG151&lt;57),"非常低Very low",""))))</f>
        <v>中Medium</v>
      </c>
      <c r="AI151" s="176" t="s">
        <v>144</v>
      </c>
      <c r="AJ151" s="176" t="str">
        <f t="shared" si="71"/>
        <v>保留
Retaining</v>
      </c>
      <c r="AK151" s="171" t="s">
        <v>145</v>
      </c>
      <c r="AL151" s="177" t="s">
        <v>145</v>
      </c>
      <c r="AM151" s="180" t="s">
        <v>90</v>
      </c>
      <c r="AN151" s="178" t="s">
        <v>91</v>
      </c>
      <c r="AO151" s="178" t="s">
        <v>92</v>
      </c>
    </row>
    <row r="152" s="116" customFormat="1" ht="20" customHeight="1" spans="1:41">
      <c r="A152" s="171">
        <v>148</v>
      </c>
      <c r="B152" s="179"/>
      <c r="C152" s="179"/>
      <c r="D152" s="179"/>
      <c r="E152" s="171" t="s">
        <v>73</v>
      </c>
      <c r="F152" s="171"/>
      <c r="G152" s="171"/>
      <c r="H152" s="171"/>
      <c r="I152" s="171"/>
      <c r="J152" s="171"/>
      <c r="K152" s="173" t="s">
        <v>515</v>
      </c>
      <c r="L152" s="173" t="s">
        <v>713</v>
      </c>
      <c r="M152" s="173" t="s">
        <v>106</v>
      </c>
      <c r="N152" s="174" t="s">
        <v>77</v>
      </c>
      <c r="O152" s="174" t="s">
        <v>77</v>
      </c>
      <c r="P152" s="174" t="s">
        <v>96</v>
      </c>
      <c r="Q152" s="174" t="s">
        <v>96</v>
      </c>
      <c r="R152" s="174" t="str">
        <f>IF(OR(N152="严重Severe",O152="严重Severe",P152="严重Severe",Q152="严重Severe"),"严重Severe",IF(OR(N152="中等Medium",O152="中等Medium",P152="中等Medium",Q152="中等Medium"),"中等Medium",IF(OR(N152="中等Medium",O152="中等Medium",P152="中等Medium",Q152="中等Medium"),"中等Medium",IF(OR(N152="可忽略不计Negligible",O152="可忽略不计Negligible",P152="可忽略不计Negligible",Q152="可忽略不计Negligible"),"可忽略不计Negligible","/"))))</f>
        <v>中等Medium</v>
      </c>
      <c r="S152" s="175" t="s">
        <v>107</v>
      </c>
      <c r="T152" s="175" t="s">
        <v>517</v>
      </c>
      <c r="U152" s="175" t="s">
        <v>109</v>
      </c>
      <c r="V152" s="171" t="s">
        <v>714</v>
      </c>
      <c r="W152" s="171" t="s">
        <v>111</v>
      </c>
      <c r="X152" s="176">
        <f t="shared" si="78"/>
        <v>1</v>
      </c>
      <c r="Y152" s="171" t="s">
        <v>83</v>
      </c>
      <c r="Z152" s="176">
        <f t="shared" si="79"/>
        <v>6</v>
      </c>
      <c r="AA152" s="171" t="s">
        <v>84</v>
      </c>
      <c r="AB152" s="176">
        <f t="shared" si="80"/>
        <v>3</v>
      </c>
      <c r="AC152" s="171" t="s">
        <v>85</v>
      </c>
      <c r="AD152" s="176">
        <f t="shared" si="81"/>
        <v>4</v>
      </c>
      <c r="AE152" s="171" t="s">
        <v>143</v>
      </c>
      <c r="AF152" s="176" cm="1">
        <f t="array" ref="AF152">IF(OR(AE152="/",AE152=""),"/",IF(ISNUMBER(SEARCH("普通",AE152)),0,IF(ISNUMBER(SEARCH("专用",AE152)),4,IF(ISNUMBER(SEARCH("定制",AE152)),7,IF(ISNUMBER(SEARCH("多个定制",AE152)),9,””)))))</f>
        <v>7</v>
      </c>
      <c r="AG152" s="176">
        <f t="shared" si="82"/>
        <v>21</v>
      </c>
      <c r="AH152" s="176" t="str">
        <f t="shared" si="83"/>
        <v>低Low</v>
      </c>
      <c r="AI152" s="176" t="s">
        <v>144</v>
      </c>
      <c r="AJ152" s="176" t="str">
        <f t="shared" si="71"/>
        <v>保留
Retaining</v>
      </c>
      <c r="AK152" s="171" t="s">
        <v>145</v>
      </c>
      <c r="AL152" s="177" t="s">
        <v>145</v>
      </c>
      <c r="AM152" s="180" t="s">
        <v>115</v>
      </c>
      <c r="AN152" s="178" t="s">
        <v>116</v>
      </c>
      <c r="AO152" s="178" t="s">
        <v>117</v>
      </c>
    </row>
    <row r="153" s="116" customFormat="1" ht="20" customHeight="1" spans="1:41">
      <c r="A153" s="171">
        <v>149</v>
      </c>
      <c r="B153" s="179"/>
      <c r="C153" s="179"/>
      <c r="D153" s="179"/>
      <c r="E153" s="171"/>
      <c r="F153" s="171" t="s">
        <v>73</v>
      </c>
      <c r="G153" s="171"/>
      <c r="H153" s="171"/>
      <c r="I153" s="171"/>
      <c r="J153" s="171"/>
      <c r="K153" s="173" t="s">
        <v>521</v>
      </c>
      <c r="L153" s="173" t="s">
        <v>715</v>
      </c>
      <c r="M153" s="173" t="s">
        <v>120</v>
      </c>
      <c r="N153" s="174" t="s">
        <v>77</v>
      </c>
      <c r="O153" s="174" t="s">
        <v>96</v>
      </c>
      <c r="P153" s="174" t="s">
        <v>96</v>
      </c>
      <c r="Q153" s="174" t="s">
        <v>77</v>
      </c>
      <c r="R153" s="174" t="str">
        <f>IF(OR(N153="严重Severe",O153="严重Severe",P153="严重Severe",Q153="严重Severe"),"严重Severe",IF(OR(N153="中等Medium",O153="中等Medium",P153="中等Medium",Q153="中等Medium"),"中等Medium",IF(OR(N153="中等Medium",O153="中等Medium",P153="中等Medium",Q153="中等Medium"),"中等Medium",IF(OR(N153="可忽略不计Negligible",O153="可忽略不计Negligible",P153="可忽略不计Negligible",Q153="可忽略不计Negligible"),"可忽略不计Negligible","/"))))</f>
        <v>中等Medium</v>
      </c>
      <c r="S153" s="175" t="s">
        <v>96</v>
      </c>
      <c r="T153" s="175" t="s">
        <v>523</v>
      </c>
      <c r="U153" s="175" t="s">
        <v>716</v>
      </c>
      <c r="V153" s="171" t="s">
        <v>712</v>
      </c>
      <c r="W153" s="171" t="s">
        <v>82</v>
      </c>
      <c r="X153" s="176">
        <f t="shared" si="78"/>
        <v>0</v>
      </c>
      <c r="Y153" s="171" t="s">
        <v>83</v>
      </c>
      <c r="Z153" s="176">
        <f t="shared" si="79"/>
        <v>6</v>
      </c>
      <c r="AA153" s="171" t="s">
        <v>84</v>
      </c>
      <c r="AB153" s="176">
        <f t="shared" si="80"/>
        <v>3</v>
      </c>
      <c r="AC153" s="171" t="s">
        <v>85</v>
      </c>
      <c r="AD153" s="176">
        <f t="shared" si="81"/>
        <v>4</v>
      </c>
      <c r="AE153" s="171" t="s">
        <v>86</v>
      </c>
      <c r="AF153" s="176" cm="1">
        <f t="array" ref="AF153">IF(OR(AE153="/",AE153=""),"/",IF(ISNUMBER(SEARCH("普通",AE153)),0,IF(ISNUMBER(SEARCH("专用",AE153)),4,IF(ISNUMBER(SEARCH("定制",AE153)),7,IF(ISNUMBER(SEARCH("多个定制",AE153)),9,””)))))</f>
        <v>4</v>
      </c>
      <c r="AG153" s="176">
        <f t="shared" si="82"/>
        <v>17</v>
      </c>
      <c r="AH153" s="176" t="str">
        <f t="shared" si="83"/>
        <v>中Medium</v>
      </c>
      <c r="AI153" s="176" t="s">
        <v>144</v>
      </c>
      <c r="AJ153" s="176" t="str">
        <f t="shared" si="71"/>
        <v>保留
Retaining</v>
      </c>
      <c r="AK153" s="171" t="s">
        <v>145</v>
      </c>
      <c r="AL153" s="177" t="s">
        <v>145</v>
      </c>
      <c r="AM153" s="180" t="s">
        <v>125</v>
      </c>
      <c r="AN153" s="178" t="s">
        <v>126</v>
      </c>
      <c r="AO153" s="178" t="s">
        <v>127</v>
      </c>
    </row>
    <row r="154" s="116" customFormat="1" ht="20" customHeight="1" spans="1:41">
      <c r="A154" s="171">
        <v>150</v>
      </c>
      <c r="B154" s="179"/>
      <c r="C154" s="179"/>
      <c r="D154" s="179"/>
      <c r="E154" s="171"/>
      <c r="F154" s="171" t="s">
        <v>73</v>
      </c>
      <c r="G154" s="171"/>
      <c r="H154" s="171"/>
      <c r="I154" s="171"/>
      <c r="J154" s="171"/>
      <c r="K154" s="173" t="s">
        <v>527</v>
      </c>
      <c r="L154" s="173" t="s">
        <v>717</v>
      </c>
      <c r="M154" s="173" t="s">
        <v>120</v>
      </c>
      <c r="N154" s="174" t="s">
        <v>96</v>
      </c>
      <c r="O154" s="174" t="s">
        <v>96</v>
      </c>
      <c r="P154" s="174" t="s">
        <v>96</v>
      </c>
      <c r="Q154" s="174" t="s">
        <v>77</v>
      </c>
      <c r="R154" s="174" t="str">
        <f>IF(OR(N154="严重Severe",O154="严重Severe",P154="严重Severe",Q154="严重Severe"),"严重Severe",IF(OR(N154="中等Medium",O154="中等Medium",P154="中等Medium",Q154="中等Medium"),"中等Medium",IF(OR(N154="中等Medium",O154="中等Medium",P154="中等Medium",Q154="中等Medium"),"中等Medium",IF(OR(N154="可忽略不计Negligible",O154="可忽略不计Negligible",P154="可忽略不计Negligible",Q154="可忽略不计Negligible"),"可忽略不计Negligible","/"))))</f>
        <v>中等Medium</v>
      </c>
      <c r="S154" s="175" t="s">
        <v>96</v>
      </c>
      <c r="T154" s="175" t="s">
        <v>529</v>
      </c>
      <c r="U154" s="175" t="s">
        <v>718</v>
      </c>
      <c r="V154" s="171" t="s">
        <v>712</v>
      </c>
      <c r="W154" s="171" t="s">
        <v>111</v>
      </c>
      <c r="X154" s="176">
        <f t="shared" si="78"/>
        <v>1</v>
      </c>
      <c r="Y154" s="171" t="s">
        <v>83</v>
      </c>
      <c r="Z154" s="176">
        <f t="shared" si="79"/>
        <v>6</v>
      </c>
      <c r="AA154" s="171" t="s">
        <v>84</v>
      </c>
      <c r="AB154" s="176">
        <f t="shared" si="80"/>
        <v>3</v>
      </c>
      <c r="AC154" s="171" t="s">
        <v>85</v>
      </c>
      <c r="AD154" s="176">
        <f t="shared" si="81"/>
        <v>4</v>
      </c>
      <c r="AE154" s="171" t="s">
        <v>86</v>
      </c>
      <c r="AF154" s="176" cm="1">
        <f t="array" ref="AF154">IF(OR(AE154="/",AE154=""),"/",IF(ISNUMBER(SEARCH("普通",AE154)),0,IF(ISNUMBER(SEARCH("专用",AE154)),4,IF(ISNUMBER(SEARCH("定制",AE154)),7,IF(ISNUMBER(SEARCH("多个定制",AE154)),9,””)))))</f>
        <v>4</v>
      </c>
      <c r="AG154" s="176">
        <f t="shared" si="82"/>
        <v>18</v>
      </c>
      <c r="AH154" s="176" t="str">
        <f t="shared" si="83"/>
        <v>中Medium</v>
      </c>
      <c r="AI154" s="176" t="s">
        <v>144</v>
      </c>
      <c r="AJ154" s="176" t="str">
        <f t="shared" si="71"/>
        <v>保留
Retaining</v>
      </c>
      <c r="AK154" s="171" t="s">
        <v>145</v>
      </c>
      <c r="AL154" s="177" t="s">
        <v>145</v>
      </c>
      <c r="AM154" s="180" t="s">
        <v>134</v>
      </c>
      <c r="AN154" s="178" t="s">
        <v>135</v>
      </c>
      <c r="AO154" s="178" t="s">
        <v>136</v>
      </c>
    </row>
    <row r="155" s="116" customFormat="1" ht="20" customHeight="1" spans="1:41">
      <c r="A155" s="171">
        <v>151</v>
      </c>
      <c r="B155" s="179"/>
      <c r="C155" s="179"/>
      <c r="D155" s="179"/>
      <c r="E155" s="171"/>
      <c r="F155" s="171"/>
      <c r="G155" s="171" t="s">
        <v>73</v>
      </c>
      <c r="H155" s="171"/>
      <c r="I155" s="171"/>
      <c r="J155" s="171"/>
      <c r="K155" s="173" t="s">
        <v>533</v>
      </c>
      <c r="L155" s="173" t="s">
        <v>719</v>
      </c>
      <c r="M155" s="173" t="s">
        <v>150</v>
      </c>
      <c r="N155" s="174" t="s">
        <v>96</v>
      </c>
      <c r="O155" s="174" t="s">
        <v>96</v>
      </c>
      <c r="P155" s="174" t="s">
        <v>96</v>
      </c>
      <c r="Q155" s="174" t="s">
        <v>77</v>
      </c>
      <c r="R155" s="174" t="str">
        <f>IF(OR(N155="严重Severe",O155="严重Severe",P155="严重Severe",Q155="严重Severe"),"严重Severe",IF(OR(N155="主要Major",O155="主要Major",P155="主要Major",Q155="主要Major"),"主要Major",IF(OR(N155="中等Medium",O155="中等Medium",P155="中等Medium",Q155="中等Medium"),"中等Medium",IF(OR(N155="可忽略不计Negligible",O155="可忽略不计Negligible",P155="可忽略不计Negligible",Q155="可忽略不计Negligible"),"可忽略不计Negligible","/"))))</f>
        <v>中等Medium</v>
      </c>
      <c r="S155" s="175" t="s">
        <v>96</v>
      </c>
      <c r="T155" s="175" t="s">
        <v>535</v>
      </c>
      <c r="U155" s="175" t="s">
        <v>152</v>
      </c>
      <c r="V155" s="171" t="s">
        <v>712</v>
      </c>
      <c r="W155" s="171" t="s">
        <v>82</v>
      </c>
      <c r="X155" s="176">
        <f t="shared" si="78"/>
        <v>0</v>
      </c>
      <c r="Y155" s="171" t="s">
        <v>83</v>
      </c>
      <c r="Z155" s="176">
        <f t="shared" si="79"/>
        <v>6</v>
      </c>
      <c r="AA155" s="171" t="s">
        <v>153</v>
      </c>
      <c r="AB155" s="176">
        <f t="shared" si="80"/>
        <v>0</v>
      </c>
      <c r="AC155" s="171" t="s">
        <v>85</v>
      </c>
      <c r="AD155" s="176">
        <f t="shared" si="81"/>
        <v>4</v>
      </c>
      <c r="AE155" s="171" t="s">
        <v>143</v>
      </c>
      <c r="AF155" s="176" cm="1">
        <f t="array" ref="AF155">IF(OR(AE155="/",AE155=""),"/",IF(ISNUMBER(SEARCH("普通",AE155)),0,IF(ISNUMBER(SEARCH("专用",AE155)),4,IF(ISNUMBER(SEARCH("定制",AE155)),7,IF(ISNUMBER(SEARCH("多个定制",AE155)),9,””)))))</f>
        <v>7</v>
      </c>
      <c r="AG155" s="176">
        <f t="shared" si="82"/>
        <v>17</v>
      </c>
      <c r="AH155" s="176" t="str">
        <f t="shared" si="83"/>
        <v>中Medium</v>
      </c>
      <c r="AI155" s="176" t="s">
        <v>144</v>
      </c>
      <c r="AJ155" s="176" t="str">
        <f t="shared" si="71"/>
        <v>保留
Retaining</v>
      </c>
      <c r="AK155" s="171" t="s">
        <v>145</v>
      </c>
      <c r="AL155" s="177" t="s">
        <v>145</v>
      </c>
      <c r="AM155" s="171" t="s">
        <v>145</v>
      </c>
      <c r="AN155" s="178" t="s">
        <v>280</v>
      </c>
      <c r="AO155" s="178" t="s">
        <v>281</v>
      </c>
    </row>
    <row r="156" s="116" customFormat="1" ht="20" customHeight="1" spans="1:41">
      <c r="A156" s="171">
        <v>152</v>
      </c>
      <c r="B156" s="179"/>
      <c r="C156" s="179"/>
      <c r="D156" s="179"/>
      <c r="E156" s="171"/>
      <c r="F156" s="171"/>
      <c r="G156" s="171"/>
      <c r="H156" s="171" t="s">
        <v>73</v>
      </c>
      <c r="I156" s="171"/>
      <c r="J156" s="171"/>
      <c r="K156" s="173" t="s">
        <v>536</v>
      </c>
      <c r="L156" s="173" t="s">
        <v>720</v>
      </c>
      <c r="M156" s="173" t="s">
        <v>166</v>
      </c>
      <c r="N156" s="174" t="s">
        <v>96</v>
      </c>
      <c r="O156" s="174" t="s">
        <v>96</v>
      </c>
      <c r="P156" s="174" t="s">
        <v>96</v>
      </c>
      <c r="Q156" s="174" t="s">
        <v>77</v>
      </c>
      <c r="R156" s="174" t="str">
        <f>IF(OR(N156="严重Severe",O156="严重Severe",P156="严重Severe",Q156="严重Severe"),"严重Severe",IF(OR(N156="主要Major",O156="主要Major",P156="主要Major",Q156="主要Major"),"主要Major",IF(OR(N156="中等Medium",O156="中等Medium",P156="中等Medium",Q156="中等Medium"),"中等Medium",IF(OR(N156="可忽略不计Negligible",O156="可忽略不计Negligible",P156="可忽略不计Negligible",Q156="可忽略不计Negligible"),"可忽略不计Negligible","/"))))</f>
        <v>中等Medium</v>
      </c>
      <c r="S156" s="171" t="s">
        <v>96</v>
      </c>
      <c r="T156" s="175" t="s">
        <v>538</v>
      </c>
      <c r="U156" s="175" t="s">
        <v>721</v>
      </c>
      <c r="V156" s="171" t="s">
        <v>712</v>
      </c>
      <c r="W156" s="171" t="s">
        <v>82</v>
      </c>
      <c r="X156" s="176">
        <f t="shared" si="78"/>
        <v>0</v>
      </c>
      <c r="Y156" s="171" t="s">
        <v>83</v>
      </c>
      <c r="Z156" s="176">
        <f t="shared" si="79"/>
        <v>6</v>
      </c>
      <c r="AA156" s="171" t="s">
        <v>84</v>
      </c>
      <c r="AB156" s="176">
        <f t="shared" si="80"/>
        <v>3</v>
      </c>
      <c r="AC156" s="171" t="s">
        <v>85</v>
      </c>
      <c r="AD156" s="176">
        <f t="shared" si="81"/>
        <v>4</v>
      </c>
      <c r="AE156" s="171" t="s">
        <v>86</v>
      </c>
      <c r="AF156" s="176" cm="1">
        <f t="array" ref="AF156">IF(OR(AE156="/",AE156=""),"/",IF(ISNUMBER(SEARCH("普通",AE156)),0,IF(ISNUMBER(SEARCH("专用",AE156)),4,IF(ISNUMBER(SEARCH("定制",AE156)),7,IF(ISNUMBER(SEARCH("多个定制",AE156)),9,””)))))</f>
        <v>4</v>
      </c>
      <c r="AG156" s="176">
        <f t="shared" si="82"/>
        <v>17</v>
      </c>
      <c r="AH156" s="176" t="str">
        <f t="shared" si="83"/>
        <v>中Medium</v>
      </c>
      <c r="AI156" s="176" t="s">
        <v>144</v>
      </c>
      <c r="AJ156" s="176" t="str">
        <f t="shared" si="71"/>
        <v>保留
Retaining</v>
      </c>
      <c r="AK156" s="171" t="s">
        <v>145</v>
      </c>
      <c r="AL156" s="177" t="s">
        <v>145</v>
      </c>
      <c r="AM156" s="180" t="s">
        <v>316</v>
      </c>
      <c r="AN156" s="178" t="s">
        <v>317</v>
      </c>
      <c r="AO156" s="178" t="s">
        <v>318</v>
      </c>
    </row>
    <row r="157" s="116" customFormat="1" ht="20" customHeight="1" spans="1:41">
      <c r="A157" s="171">
        <v>153</v>
      </c>
      <c r="B157" s="179"/>
      <c r="C157" s="179"/>
      <c r="D157" s="179"/>
      <c r="E157" s="171"/>
      <c r="F157" s="171"/>
      <c r="G157" s="171"/>
      <c r="H157" s="171"/>
      <c r="I157" s="171" t="s">
        <v>73</v>
      </c>
      <c r="J157" s="171"/>
      <c r="K157" s="173" t="s">
        <v>540</v>
      </c>
      <c r="L157" s="173" t="s">
        <v>722</v>
      </c>
      <c r="M157" s="173" t="s">
        <v>174</v>
      </c>
      <c r="N157" s="174" t="s">
        <v>96</v>
      </c>
      <c r="O157" s="174" t="s">
        <v>96</v>
      </c>
      <c r="P157" s="174" t="s">
        <v>96</v>
      </c>
      <c r="Q157" s="174" t="s">
        <v>77</v>
      </c>
      <c r="R157" s="174" t="str">
        <f>IF(OR(N157="严重Severe",O157="严重Severe",P157="严重Severe",Q157="严重Severe"),"严重Severe",IF(OR(N157="中等Medium",O157="中等Medium",P157="中等Medium",Q157="中等Medium"),"中等Medium",IF(OR(N157="中等Medium",O157="中等Medium",P157="中等Medium",Q157="中等Medium"),"中等Medium",IF(OR(N157="可忽略不计Negligible",O157="可忽略不计Negligible",P157="可忽略不计Negligible",Q157="可忽略不计Negligible"),"可忽略不计Negligible","/"))))</f>
        <v>中等Medium</v>
      </c>
      <c r="S157" s="175" t="s">
        <v>96</v>
      </c>
      <c r="T157" s="175" t="s">
        <v>542</v>
      </c>
      <c r="U157" s="175" t="s">
        <v>176</v>
      </c>
      <c r="V157" s="171" t="s">
        <v>712</v>
      </c>
      <c r="W157" s="171" t="s">
        <v>82</v>
      </c>
      <c r="X157" s="176">
        <f t="shared" si="78"/>
        <v>0</v>
      </c>
      <c r="Y157" s="171" t="s">
        <v>177</v>
      </c>
      <c r="Z157" s="176">
        <f t="shared" si="79"/>
        <v>3</v>
      </c>
      <c r="AA157" s="171" t="s">
        <v>153</v>
      </c>
      <c r="AB157" s="176">
        <f t="shared" si="80"/>
        <v>0</v>
      </c>
      <c r="AC157" s="171" t="s">
        <v>85</v>
      </c>
      <c r="AD157" s="176">
        <f t="shared" si="81"/>
        <v>4</v>
      </c>
      <c r="AE157" s="171" t="s">
        <v>86</v>
      </c>
      <c r="AF157" s="176" cm="1">
        <f t="array" ref="AF157">IF(OR(AE157="/",AE157=""),"/",IF(ISNUMBER(SEARCH("普通",AE157)),0,IF(ISNUMBER(SEARCH("专用",AE157)),4,IF(ISNUMBER(SEARCH("定制",AE157)),7,IF(ISNUMBER(SEARCH("多个定制",AE157)),9,””)))))</f>
        <v>4</v>
      </c>
      <c r="AG157" s="176">
        <f t="shared" si="82"/>
        <v>11</v>
      </c>
      <c r="AH157" s="176" t="str">
        <f t="shared" si="83"/>
        <v>高High</v>
      </c>
      <c r="AI157" s="176" t="s">
        <v>144</v>
      </c>
      <c r="AJ157" s="176" t="str">
        <f t="shared" si="71"/>
        <v>保留
Retaining</v>
      </c>
      <c r="AK157" s="171" t="s">
        <v>145</v>
      </c>
      <c r="AL157" s="177" t="s">
        <v>145</v>
      </c>
      <c r="AM157" s="180" t="s">
        <v>329</v>
      </c>
      <c r="AN157" s="178" t="s">
        <v>181</v>
      </c>
      <c r="AO157" s="178" t="s">
        <v>182</v>
      </c>
    </row>
    <row r="158" s="116" customFormat="1" ht="20" customHeight="1" spans="1:41">
      <c r="A158" s="171">
        <v>154</v>
      </c>
      <c r="B158" s="181"/>
      <c r="C158" s="181"/>
      <c r="D158" s="181"/>
      <c r="E158" s="171"/>
      <c r="F158" s="171"/>
      <c r="G158" s="171"/>
      <c r="H158" s="171"/>
      <c r="I158" s="171"/>
      <c r="J158" s="171" t="s">
        <v>183</v>
      </c>
      <c r="K158" s="173" t="s">
        <v>145</v>
      </c>
      <c r="L158" s="173" t="s">
        <v>145</v>
      </c>
      <c r="M158" s="173" t="s">
        <v>145</v>
      </c>
      <c r="N158" s="174" t="s">
        <v>145</v>
      </c>
      <c r="O158" s="174" t="s">
        <v>145</v>
      </c>
      <c r="P158" s="174" t="s">
        <v>145</v>
      </c>
      <c r="Q158" s="174" t="s">
        <v>145</v>
      </c>
      <c r="R158" s="174" t="s">
        <v>145</v>
      </c>
      <c r="S158" s="175" t="s">
        <v>145</v>
      </c>
      <c r="T158" s="175" t="s">
        <v>145</v>
      </c>
      <c r="U158" s="175" t="s">
        <v>145</v>
      </c>
      <c r="V158" s="171" t="s">
        <v>145</v>
      </c>
      <c r="W158" s="171" t="s">
        <v>145</v>
      </c>
      <c r="X158" s="176" t="s">
        <v>145</v>
      </c>
      <c r="Y158" s="171" t="s">
        <v>145</v>
      </c>
      <c r="Z158" s="176" t="s">
        <v>145</v>
      </c>
      <c r="AA158" s="171" t="s">
        <v>145</v>
      </c>
      <c r="AB158" s="176" t="s">
        <v>145</v>
      </c>
      <c r="AC158" s="171" t="s">
        <v>145</v>
      </c>
      <c r="AD158" s="176" t="s">
        <v>145</v>
      </c>
      <c r="AE158" s="171" t="s">
        <v>145</v>
      </c>
      <c r="AF158" s="176" t="str" cm="1">
        <f t="array" ref="AF158">IF(OR(AE158="/",AE158=""),"/",IF(ISNUMBER(SEARCH("普通",AE158)),0,IF(ISNUMBER(SEARCH("专用",AE158)),4,IF(ISNUMBER(SEARCH("定制",AE158)),7,IF(ISNUMBER(SEARCH("多个定制",AE158)),9,””)))))</f>
        <v>/</v>
      </c>
      <c r="AG158" s="176" t="s">
        <v>145</v>
      </c>
      <c r="AH158" s="176" t="s">
        <v>145</v>
      </c>
      <c r="AI158" s="176" t="s">
        <v>145</v>
      </c>
      <c r="AJ158" s="176" t="str">
        <f t="shared" si="71"/>
        <v>/</v>
      </c>
      <c r="AK158" s="171" t="s">
        <v>145</v>
      </c>
      <c r="AL158" s="177" t="s">
        <v>145</v>
      </c>
      <c r="AM158" s="177" t="s">
        <v>145</v>
      </c>
      <c r="AN158" s="177" t="s">
        <v>145</v>
      </c>
      <c r="AO158" s="177" t="s">
        <v>145</v>
      </c>
    </row>
    <row r="159" s="116" customFormat="1" ht="20" customHeight="1" spans="1:41">
      <c r="A159" s="171">
        <v>155</v>
      </c>
      <c r="B159" s="172" t="s">
        <v>723</v>
      </c>
      <c r="C159" s="171" t="s">
        <v>71</v>
      </c>
      <c r="D159" s="173" t="s">
        <v>724</v>
      </c>
      <c r="E159" s="171" t="s">
        <v>73</v>
      </c>
      <c r="F159" s="171"/>
      <c r="G159" s="171"/>
      <c r="H159" s="171"/>
      <c r="I159" s="171"/>
      <c r="J159" s="171"/>
      <c r="K159" s="173" t="s">
        <v>509</v>
      </c>
      <c r="L159" s="173" t="s">
        <v>725</v>
      </c>
      <c r="M159" s="173" t="s">
        <v>76</v>
      </c>
      <c r="N159" s="174" t="s">
        <v>77</v>
      </c>
      <c r="O159" s="174" t="s">
        <v>77</v>
      </c>
      <c r="P159" s="174" t="s">
        <v>96</v>
      </c>
      <c r="Q159" s="174" t="s">
        <v>77</v>
      </c>
      <c r="R159" s="174" t="str">
        <f>IF(OR(N159="严重Severe",O159="严重Severe",P159="严重Severe",Q159="严重Severe"),"严重Severe",IF(OR(N159="中等Medium",O159="中等Medium",P159="中等Medium",Q159="中等Medium"),"中等Medium",IF(OR(N159="中等Medium",O159="中等Medium",P159="中等Medium",Q159="中等Medium"),"中等Medium",IF(OR(N159="可忽略不计Negligible",O159="可忽略不计Negligible",P159="可忽略不计Negligible",Q159="可忽略不计Negligible"),"可忽略不计Negligible","/"))))</f>
        <v>中等Medium</v>
      </c>
      <c r="S159" s="175" t="s">
        <v>96</v>
      </c>
      <c r="T159" s="175" t="s">
        <v>511</v>
      </c>
      <c r="U159" s="175" t="s">
        <v>80</v>
      </c>
      <c r="V159" s="171" t="s">
        <v>726</v>
      </c>
      <c r="W159" s="171" t="s">
        <v>82</v>
      </c>
      <c r="X159" s="176">
        <f t="shared" ref="X159:X165" si="84">IF(OR(W159="/",W159=""),"/",IF(ISNUMBER(SEARCH("1天",W159)),0,IF(ISNUMBER(SEARCH("一周",W159)),1,IF(ISNUMBER(SEARCH("1个月",W159)),4,IF(ISNUMBER(SEARCH("超过",W159)),19,IF(ISNUMBER(SEARCH("6个月",W159)),17,""))))))</f>
        <v>0</v>
      </c>
      <c r="Y159" s="171" t="s">
        <v>83</v>
      </c>
      <c r="Z159" s="176">
        <f t="shared" ref="Z159:Z165" si="85">IF(OR(Y159="/",Y159=""),"/",IF(ISNUMBER(SEARCH("新手",Y159)),0,IF(ISNUMBER(SEARCH("熟练",Y159)),3,IF(ISNUMBER(SEARCH("多位",Y159)),17,IF(ISNUMBER(SEARCH("专家",Y159)),6,"")))))</f>
        <v>6</v>
      </c>
      <c r="AA159" s="171" t="s">
        <v>84</v>
      </c>
      <c r="AB159" s="176">
        <f t="shared" ref="AB159:AB165" si="86">IF(OR(AA159="/",AA159=""),"/",IF(ISNUMBER(SEARCH("公开",AA159)),0,IF(ISNUMBER(SEARCH("限制性信息",AA159)),3,IF(ISNUMBER(SEARCH("机密信息",AA159)),7,IF(ISNUMBER(SEARCH("严格保密",AA159)),11,"")))))</f>
        <v>3</v>
      </c>
      <c r="AC159" s="171" t="s">
        <v>85</v>
      </c>
      <c r="AD159" s="176">
        <f t="shared" ref="AD159:AD165" si="87">IF(OR(AC159="/",AC159=""),"/",IF(ISNUMBER(SEARCH("无限制",AC159)),0,IF(ISNUMBER(SEARCH("容易",AC159)),1,IF(ISNUMBER(SEARCH("一般",AC159)),4,IF(ISNUMBER(SEARCH("困难",AC159)),10,"")))))</f>
        <v>4</v>
      </c>
      <c r="AE159" s="171" t="s">
        <v>86</v>
      </c>
      <c r="AF159" s="176" cm="1">
        <f t="array" ref="AF159">IF(OR(AE159="/",AE159=""),"/",IF(ISNUMBER(SEARCH("普通",AE159)),0,IF(ISNUMBER(SEARCH("专用",AE159)),4,IF(ISNUMBER(SEARCH("定制",AE159)),7,IF(ISNUMBER(SEARCH("多个定制",AE159)),9,””)))))</f>
        <v>4</v>
      </c>
      <c r="AG159" s="176">
        <f t="shared" ref="AG159:AG165" si="88">IF(OR(X159="/",Z159="/",AB159="/",AD159="/",AF159="/"),"/",X159+Z159+AB159+AD159+AF159)</f>
        <v>17</v>
      </c>
      <c r="AH159" s="176" t="str">
        <f t="shared" ref="AH159:AH165" si="89">IF(AND(AG159&gt;=0,AG159&lt;14),"高High",IF(AND(AG159&gt;=14,AG159&lt;20),"中Medium",IF(AND(AG159&gt;=20,AG159&lt;25),"低Low",IF(AND(AG159&gt;=25,AG159&lt;57),"非常低Very low",""))))</f>
        <v>中Medium</v>
      </c>
      <c r="AI159" s="176" t="s">
        <v>144</v>
      </c>
      <c r="AJ159" s="176" t="str">
        <f t="shared" si="71"/>
        <v>保留
Retaining</v>
      </c>
      <c r="AK159" s="171" t="s">
        <v>145</v>
      </c>
      <c r="AL159" s="177" t="s">
        <v>145</v>
      </c>
      <c r="AM159" s="180" t="s">
        <v>90</v>
      </c>
      <c r="AN159" s="178" t="s">
        <v>91</v>
      </c>
      <c r="AO159" s="178" t="s">
        <v>92</v>
      </c>
    </row>
    <row r="160" s="116" customFormat="1" ht="20" customHeight="1" spans="1:41">
      <c r="A160" s="171">
        <v>156</v>
      </c>
      <c r="B160" s="179"/>
      <c r="C160" s="179"/>
      <c r="D160" s="179"/>
      <c r="E160" s="171" t="s">
        <v>73</v>
      </c>
      <c r="F160" s="171"/>
      <c r="G160" s="171"/>
      <c r="H160" s="171"/>
      <c r="I160" s="171"/>
      <c r="J160" s="171"/>
      <c r="K160" s="173" t="s">
        <v>515</v>
      </c>
      <c r="L160" s="173" t="s">
        <v>727</v>
      </c>
      <c r="M160" s="173" t="s">
        <v>106</v>
      </c>
      <c r="N160" s="174" t="s">
        <v>77</v>
      </c>
      <c r="O160" s="174" t="s">
        <v>77</v>
      </c>
      <c r="P160" s="174" t="s">
        <v>96</v>
      </c>
      <c r="Q160" s="174" t="s">
        <v>96</v>
      </c>
      <c r="R160" s="174" t="str">
        <f>IF(OR(N160="严重Severe",O160="严重Severe",P160="严重Severe",Q160="严重Severe"),"严重Severe",IF(OR(N160="中等Medium",O160="中等Medium",P160="中等Medium",Q160="中等Medium"),"中等Medium",IF(OR(N160="中等Medium",O160="中等Medium",P160="中等Medium",Q160="中等Medium"),"中等Medium",IF(OR(N160="可忽略不计Negligible",O160="可忽略不计Negligible",P160="可忽略不计Negligible",Q160="可忽略不计Negligible"),"可忽略不计Negligible","/"))))</f>
        <v>中等Medium</v>
      </c>
      <c r="S160" s="175" t="s">
        <v>107</v>
      </c>
      <c r="T160" s="175" t="s">
        <v>517</v>
      </c>
      <c r="U160" s="175" t="s">
        <v>109</v>
      </c>
      <c r="V160" s="171" t="s">
        <v>728</v>
      </c>
      <c r="W160" s="171" t="s">
        <v>111</v>
      </c>
      <c r="X160" s="176">
        <f t="shared" si="84"/>
        <v>1</v>
      </c>
      <c r="Y160" s="171" t="s">
        <v>83</v>
      </c>
      <c r="Z160" s="176">
        <f t="shared" si="85"/>
        <v>6</v>
      </c>
      <c r="AA160" s="171" t="s">
        <v>84</v>
      </c>
      <c r="AB160" s="176">
        <f t="shared" si="86"/>
        <v>3</v>
      </c>
      <c r="AC160" s="171" t="s">
        <v>85</v>
      </c>
      <c r="AD160" s="176">
        <f t="shared" si="87"/>
        <v>4</v>
      </c>
      <c r="AE160" s="171" t="s">
        <v>143</v>
      </c>
      <c r="AF160" s="176" cm="1">
        <f t="array" ref="AF160">IF(OR(AE160="/",AE160=""),"/",IF(ISNUMBER(SEARCH("普通",AE160)),0,IF(ISNUMBER(SEARCH("专用",AE160)),4,IF(ISNUMBER(SEARCH("定制",AE160)),7,IF(ISNUMBER(SEARCH("多个定制",AE160)),9,””)))))</f>
        <v>7</v>
      </c>
      <c r="AG160" s="176">
        <f t="shared" si="88"/>
        <v>21</v>
      </c>
      <c r="AH160" s="176" t="str">
        <f t="shared" si="89"/>
        <v>低Low</v>
      </c>
      <c r="AI160" s="176" t="s">
        <v>144</v>
      </c>
      <c r="AJ160" s="176" t="str">
        <f t="shared" si="71"/>
        <v>保留
Retaining</v>
      </c>
      <c r="AK160" s="171" t="s">
        <v>145</v>
      </c>
      <c r="AL160" s="177" t="s">
        <v>145</v>
      </c>
      <c r="AM160" s="180" t="s">
        <v>115</v>
      </c>
      <c r="AN160" s="178" t="s">
        <v>116</v>
      </c>
      <c r="AO160" s="178" t="s">
        <v>117</v>
      </c>
    </row>
    <row r="161" s="116" customFormat="1" ht="20" customHeight="1" spans="1:41">
      <c r="A161" s="171">
        <v>157</v>
      </c>
      <c r="B161" s="179"/>
      <c r="C161" s="179"/>
      <c r="D161" s="179"/>
      <c r="E161" s="171"/>
      <c r="F161" s="171" t="s">
        <v>73</v>
      </c>
      <c r="G161" s="171"/>
      <c r="H161" s="171"/>
      <c r="I161" s="171"/>
      <c r="J161" s="171"/>
      <c r="K161" s="173" t="s">
        <v>521</v>
      </c>
      <c r="L161" s="173" t="s">
        <v>729</v>
      </c>
      <c r="M161" s="173" t="s">
        <v>120</v>
      </c>
      <c r="N161" s="174" t="s">
        <v>77</v>
      </c>
      <c r="O161" s="174" t="s">
        <v>96</v>
      </c>
      <c r="P161" s="174" t="s">
        <v>96</v>
      </c>
      <c r="Q161" s="174" t="s">
        <v>77</v>
      </c>
      <c r="R161" s="174" t="str">
        <f>IF(OR(N161="严重Severe",O161="严重Severe",P161="严重Severe",Q161="严重Severe"),"严重Severe",IF(OR(N161="中等Medium",O161="中等Medium",P161="中等Medium",Q161="中等Medium"),"中等Medium",IF(OR(N161="中等Medium",O161="中等Medium",P161="中等Medium",Q161="中等Medium"),"中等Medium",IF(OR(N161="可忽略不计Negligible",O161="可忽略不计Negligible",P161="可忽略不计Negligible",Q161="可忽略不计Negligible"),"可忽略不计Negligible","/"))))</f>
        <v>中等Medium</v>
      </c>
      <c r="S161" s="175" t="s">
        <v>96</v>
      </c>
      <c r="T161" s="175" t="s">
        <v>523</v>
      </c>
      <c r="U161" s="175" t="s">
        <v>730</v>
      </c>
      <c r="V161" s="171" t="s">
        <v>726</v>
      </c>
      <c r="W161" s="171" t="s">
        <v>82</v>
      </c>
      <c r="X161" s="176">
        <f t="shared" si="84"/>
        <v>0</v>
      </c>
      <c r="Y161" s="171" t="s">
        <v>83</v>
      </c>
      <c r="Z161" s="176">
        <f t="shared" si="85"/>
        <v>6</v>
      </c>
      <c r="AA161" s="171" t="s">
        <v>84</v>
      </c>
      <c r="AB161" s="176">
        <f t="shared" si="86"/>
        <v>3</v>
      </c>
      <c r="AC161" s="171" t="s">
        <v>85</v>
      </c>
      <c r="AD161" s="176">
        <f t="shared" si="87"/>
        <v>4</v>
      </c>
      <c r="AE161" s="171" t="s">
        <v>86</v>
      </c>
      <c r="AF161" s="176" cm="1">
        <f t="array" ref="AF161">IF(OR(AE161="/",AE161=""),"/",IF(ISNUMBER(SEARCH("普通",AE161)),0,IF(ISNUMBER(SEARCH("专用",AE161)),4,IF(ISNUMBER(SEARCH("定制",AE161)),7,IF(ISNUMBER(SEARCH("多个定制",AE161)),9,””)))))</f>
        <v>4</v>
      </c>
      <c r="AG161" s="176">
        <f t="shared" si="88"/>
        <v>17</v>
      </c>
      <c r="AH161" s="176" t="str">
        <f t="shared" si="89"/>
        <v>中Medium</v>
      </c>
      <c r="AI161" s="176" t="s">
        <v>144</v>
      </c>
      <c r="AJ161" s="176" t="str">
        <f t="shared" si="71"/>
        <v>保留
Retaining</v>
      </c>
      <c r="AK161" s="171" t="s">
        <v>145</v>
      </c>
      <c r="AL161" s="177" t="s">
        <v>145</v>
      </c>
      <c r="AM161" s="180" t="s">
        <v>125</v>
      </c>
      <c r="AN161" s="178" t="s">
        <v>126</v>
      </c>
      <c r="AO161" s="178" t="s">
        <v>127</v>
      </c>
    </row>
    <row r="162" s="116" customFormat="1" ht="20" customHeight="1" spans="1:41">
      <c r="A162" s="171">
        <v>158</v>
      </c>
      <c r="B162" s="179"/>
      <c r="C162" s="179"/>
      <c r="D162" s="179"/>
      <c r="E162" s="171"/>
      <c r="F162" s="171" t="s">
        <v>73</v>
      </c>
      <c r="G162" s="171"/>
      <c r="H162" s="171"/>
      <c r="I162" s="171"/>
      <c r="J162" s="171"/>
      <c r="K162" s="173" t="s">
        <v>527</v>
      </c>
      <c r="L162" s="173" t="s">
        <v>731</v>
      </c>
      <c r="M162" s="173" t="s">
        <v>120</v>
      </c>
      <c r="N162" s="174" t="s">
        <v>96</v>
      </c>
      <c r="O162" s="174" t="s">
        <v>96</v>
      </c>
      <c r="P162" s="174" t="s">
        <v>96</v>
      </c>
      <c r="Q162" s="174" t="s">
        <v>77</v>
      </c>
      <c r="R162" s="174" t="str">
        <f>IF(OR(N162="严重Severe",O162="严重Severe",P162="严重Severe",Q162="严重Severe"),"严重Severe",IF(OR(N162="中等Medium",O162="中等Medium",P162="中等Medium",Q162="中等Medium"),"中等Medium",IF(OR(N162="中等Medium",O162="中等Medium",P162="中等Medium",Q162="中等Medium"),"中等Medium",IF(OR(N162="可忽略不计Negligible",O162="可忽略不计Negligible",P162="可忽略不计Negligible",Q162="可忽略不计Negligible"),"可忽略不计Negligible","/"))))</f>
        <v>中等Medium</v>
      </c>
      <c r="S162" s="175" t="s">
        <v>96</v>
      </c>
      <c r="T162" s="175" t="s">
        <v>529</v>
      </c>
      <c r="U162" s="175" t="s">
        <v>732</v>
      </c>
      <c r="V162" s="171" t="s">
        <v>726</v>
      </c>
      <c r="W162" s="171" t="s">
        <v>111</v>
      </c>
      <c r="X162" s="176">
        <f t="shared" si="84"/>
        <v>1</v>
      </c>
      <c r="Y162" s="171" t="s">
        <v>83</v>
      </c>
      <c r="Z162" s="176">
        <f t="shared" si="85"/>
        <v>6</v>
      </c>
      <c r="AA162" s="171" t="s">
        <v>84</v>
      </c>
      <c r="AB162" s="176">
        <f t="shared" si="86"/>
        <v>3</v>
      </c>
      <c r="AC162" s="171" t="s">
        <v>85</v>
      </c>
      <c r="AD162" s="176">
        <f t="shared" si="87"/>
        <v>4</v>
      </c>
      <c r="AE162" s="171" t="s">
        <v>86</v>
      </c>
      <c r="AF162" s="176" cm="1">
        <f t="array" ref="AF162">IF(OR(AE162="/",AE162=""),"/",IF(ISNUMBER(SEARCH("普通",AE162)),0,IF(ISNUMBER(SEARCH("专用",AE162)),4,IF(ISNUMBER(SEARCH("定制",AE162)),7,IF(ISNUMBER(SEARCH("多个定制",AE162)),9,””)))))</f>
        <v>4</v>
      </c>
      <c r="AG162" s="176">
        <f t="shared" si="88"/>
        <v>18</v>
      </c>
      <c r="AH162" s="176" t="str">
        <f t="shared" si="89"/>
        <v>中Medium</v>
      </c>
      <c r="AI162" s="176" t="s">
        <v>144</v>
      </c>
      <c r="AJ162" s="176" t="str">
        <f t="shared" si="71"/>
        <v>保留
Retaining</v>
      </c>
      <c r="AK162" s="171" t="s">
        <v>145</v>
      </c>
      <c r="AL162" s="177" t="s">
        <v>145</v>
      </c>
      <c r="AM162" s="180" t="s">
        <v>134</v>
      </c>
      <c r="AN162" s="178" t="s">
        <v>135</v>
      </c>
      <c r="AO162" s="178" t="s">
        <v>136</v>
      </c>
    </row>
    <row r="163" s="116" customFormat="1" ht="20" customHeight="1" spans="1:41">
      <c r="A163" s="171">
        <v>159</v>
      </c>
      <c r="B163" s="179"/>
      <c r="C163" s="179"/>
      <c r="D163" s="179"/>
      <c r="E163" s="171"/>
      <c r="F163" s="171"/>
      <c r="G163" s="171" t="s">
        <v>73</v>
      </c>
      <c r="H163" s="171"/>
      <c r="I163" s="171"/>
      <c r="J163" s="171"/>
      <c r="K163" s="173" t="s">
        <v>533</v>
      </c>
      <c r="L163" s="173" t="s">
        <v>733</v>
      </c>
      <c r="M163" s="173" t="s">
        <v>150</v>
      </c>
      <c r="N163" s="174" t="s">
        <v>96</v>
      </c>
      <c r="O163" s="174" t="s">
        <v>96</v>
      </c>
      <c r="P163" s="174" t="s">
        <v>96</v>
      </c>
      <c r="Q163" s="174" t="s">
        <v>77</v>
      </c>
      <c r="R163" s="174" t="str">
        <f>IF(OR(N163="严重Severe",O163="严重Severe",P163="严重Severe",Q163="严重Severe"),"严重Severe",IF(OR(N163="主要Major",O163="主要Major",P163="主要Major",Q163="主要Major"),"主要Major",IF(OR(N163="中等Medium",O163="中等Medium",P163="中等Medium",Q163="中等Medium"),"中等Medium",IF(OR(N163="可忽略不计Negligible",O163="可忽略不计Negligible",P163="可忽略不计Negligible",Q163="可忽略不计Negligible"),"可忽略不计Negligible","/"))))</f>
        <v>中等Medium</v>
      </c>
      <c r="S163" s="175" t="s">
        <v>96</v>
      </c>
      <c r="T163" s="175" t="s">
        <v>535</v>
      </c>
      <c r="U163" s="175" t="s">
        <v>152</v>
      </c>
      <c r="V163" s="171" t="s">
        <v>726</v>
      </c>
      <c r="W163" s="171" t="s">
        <v>82</v>
      </c>
      <c r="X163" s="176">
        <f t="shared" si="84"/>
        <v>0</v>
      </c>
      <c r="Y163" s="171" t="s">
        <v>83</v>
      </c>
      <c r="Z163" s="176">
        <f t="shared" si="85"/>
        <v>6</v>
      </c>
      <c r="AA163" s="171" t="s">
        <v>153</v>
      </c>
      <c r="AB163" s="176">
        <f t="shared" si="86"/>
        <v>0</v>
      </c>
      <c r="AC163" s="171" t="s">
        <v>85</v>
      </c>
      <c r="AD163" s="176">
        <f t="shared" si="87"/>
        <v>4</v>
      </c>
      <c r="AE163" s="171" t="s">
        <v>143</v>
      </c>
      <c r="AF163" s="176" cm="1">
        <f t="array" ref="AF163">IF(OR(AE163="/",AE163=""),"/",IF(ISNUMBER(SEARCH("普通",AE163)),0,IF(ISNUMBER(SEARCH("专用",AE163)),4,IF(ISNUMBER(SEARCH("定制",AE163)),7,IF(ISNUMBER(SEARCH("多个定制",AE163)),9,””)))))</f>
        <v>7</v>
      </c>
      <c r="AG163" s="176">
        <f t="shared" si="88"/>
        <v>17</v>
      </c>
      <c r="AH163" s="176" t="str">
        <f t="shared" si="89"/>
        <v>中Medium</v>
      </c>
      <c r="AI163" s="176" t="s">
        <v>144</v>
      </c>
      <c r="AJ163" s="176" t="str">
        <f t="shared" si="71"/>
        <v>保留
Retaining</v>
      </c>
      <c r="AK163" s="171" t="s">
        <v>145</v>
      </c>
      <c r="AL163" s="177" t="s">
        <v>145</v>
      </c>
      <c r="AM163" s="171" t="s">
        <v>145</v>
      </c>
      <c r="AN163" s="178" t="s">
        <v>280</v>
      </c>
      <c r="AO163" s="178" t="s">
        <v>281</v>
      </c>
    </row>
    <row r="164" s="116" customFormat="1" ht="20" customHeight="1" spans="1:41">
      <c r="A164" s="171">
        <v>160</v>
      </c>
      <c r="B164" s="179"/>
      <c r="C164" s="179"/>
      <c r="D164" s="179"/>
      <c r="E164" s="171"/>
      <c r="F164" s="171"/>
      <c r="G164" s="171"/>
      <c r="H164" s="171" t="s">
        <v>73</v>
      </c>
      <c r="I164" s="171"/>
      <c r="J164" s="171"/>
      <c r="K164" s="173" t="s">
        <v>536</v>
      </c>
      <c r="L164" s="173" t="s">
        <v>734</v>
      </c>
      <c r="M164" s="173" t="s">
        <v>166</v>
      </c>
      <c r="N164" s="174" t="s">
        <v>96</v>
      </c>
      <c r="O164" s="174" t="s">
        <v>96</v>
      </c>
      <c r="P164" s="174" t="s">
        <v>96</v>
      </c>
      <c r="Q164" s="174" t="s">
        <v>77</v>
      </c>
      <c r="R164" s="174" t="str">
        <f>IF(OR(N164="严重Severe",O164="严重Severe",P164="严重Severe",Q164="严重Severe"),"严重Severe",IF(OR(N164="主要Major",O164="主要Major",P164="主要Major",Q164="主要Major"),"主要Major",IF(OR(N164="中等Medium",O164="中等Medium",P164="中等Medium",Q164="中等Medium"),"中等Medium",IF(OR(N164="可忽略不计Negligible",O164="可忽略不计Negligible",P164="可忽略不计Negligible",Q164="可忽略不计Negligible"),"可忽略不计Negligible","/"))))</f>
        <v>中等Medium</v>
      </c>
      <c r="S164" s="171" t="s">
        <v>96</v>
      </c>
      <c r="T164" s="175" t="s">
        <v>538</v>
      </c>
      <c r="U164" s="175" t="s">
        <v>735</v>
      </c>
      <c r="V164" s="171" t="s">
        <v>726</v>
      </c>
      <c r="W164" s="171" t="s">
        <v>82</v>
      </c>
      <c r="X164" s="176">
        <f t="shared" si="84"/>
        <v>0</v>
      </c>
      <c r="Y164" s="171" t="s">
        <v>83</v>
      </c>
      <c r="Z164" s="176">
        <f t="shared" si="85"/>
        <v>6</v>
      </c>
      <c r="AA164" s="171" t="s">
        <v>84</v>
      </c>
      <c r="AB164" s="176">
        <f t="shared" si="86"/>
        <v>3</v>
      </c>
      <c r="AC164" s="171" t="s">
        <v>85</v>
      </c>
      <c r="AD164" s="176">
        <f t="shared" si="87"/>
        <v>4</v>
      </c>
      <c r="AE164" s="171" t="s">
        <v>86</v>
      </c>
      <c r="AF164" s="176" cm="1">
        <f t="array" ref="AF164">IF(OR(AE164="/",AE164=""),"/",IF(ISNUMBER(SEARCH("普通",AE164)),0,IF(ISNUMBER(SEARCH("专用",AE164)),4,IF(ISNUMBER(SEARCH("定制",AE164)),7,IF(ISNUMBER(SEARCH("多个定制",AE164)),9,””)))))</f>
        <v>4</v>
      </c>
      <c r="AG164" s="176">
        <f t="shared" si="88"/>
        <v>17</v>
      </c>
      <c r="AH164" s="176" t="str">
        <f t="shared" si="89"/>
        <v>中Medium</v>
      </c>
      <c r="AI164" s="176" t="s">
        <v>144</v>
      </c>
      <c r="AJ164" s="176" t="str">
        <f t="shared" si="71"/>
        <v>保留
Retaining</v>
      </c>
      <c r="AK164" s="171" t="s">
        <v>145</v>
      </c>
      <c r="AL164" s="177" t="s">
        <v>145</v>
      </c>
      <c r="AM164" s="180" t="s">
        <v>316</v>
      </c>
      <c r="AN164" s="178" t="s">
        <v>317</v>
      </c>
      <c r="AO164" s="178" t="s">
        <v>318</v>
      </c>
    </row>
    <row r="165" s="116" customFormat="1" ht="20" customHeight="1" spans="1:41">
      <c r="A165" s="171">
        <v>161</v>
      </c>
      <c r="B165" s="179"/>
      <c r="C165" s="179"/>
      <c r="D165" s="179"/>
      <c r="E165" s="171"/>
      <c r="F165" s="171"/>
      <c r="G165" s="171"/>
      <c r="H165" s="171"/>
      <c r="I165" s="171" t="s">
        <v>73</v>
      </c>
      <c r="J165" s="171"/>
      <c r="K165" s="173" t="s">
        <v>540</v>
      </c>
      <c r="L165" s="173" t="s">
        <v>736</v>
      </c>
      <c r="M165" s="173" t="s">
        <v>174</v>
      </c>
      <c r="N165" s="174" t="s">
        <v>96</v>
      </c>
      <c r="O165" s="174" t="s">
        <v>96</v>
      </c>
      <c r="P165" s="174" t="s">
        <v>96</v>
      </c>
      <c r="Q165" s="174" t="s">
        <v>77</v>
      </c>
      <c r="R165" s="174" t="str">
        <f>IF(OR(N165="严重Severe",O165="严重Severe",P165="严重Severe",Q165="严重Severe"),"严重Severe",IF(OR(N165="中等Medium",O165="中等Medium",P165="中等Medium",Q165="中等Medium"),"中等Medium",IF(OR(N165="中等Medium",O165="中等Medium",P165="中等Medium",Q165="中等Medium"),"中等Medium",IF(OR(N165="可忽略不计Negligible",O165="可忽略不计Negligible",P165="可忽略不计Negligible",Q165="可忽略不计Negligible"),"可忽略不计Negligible","/"))))</f>
        <v>中等Medium</v>
      </c>
      <c r="S165" s="175" t="s">
        <v>96</v>
      </c>
      <c r="T165" s="175" t="s">
        <v>542</v>
      </c>
      <c r="U165" s="175" t="s">
        <v>176</v>
      </c>
      <c r="V165" s="171" t="s">
        <v>726</v>
      </c>
      <c r="W165" s="171" t="s">
        <v>82</v>
      </c>
      <c r="X165" s="176">
        <f t="shared" si="84"/>
        <v>0</v>
      </c>
      <c r="Y165" s="171" t="s">
        <v>177</v>
      </c>
      <c r="Z165" s="176">
        <f t="shared" si="85"/>
        <v>3</v>
      </c>
      <c r="AA165" s="171" t="s">
        <v>153</v>
      </c>
      <c r="AB165" s="176">
        <f t="shared" si="86"/>
        <v>0</v>
      </c>
      <c r="AC165" s="171" t="s">
        <v>85</v>
      </c>
      <c r="AD165" s="176">
        <f t="shared" si="87"/>
        <v>4</v>
      </c>
      <c r="AE165" s="171" t="s">
        <v>86</v>
      </c>
      <c r="AF165" s="176" cm="1">
        <f t="array" ref="AF165">IF(OR(AE165="/",AE165=""),"/",IF(ISNUMBER(SEARCH("普通",AE165)),0,IF(ISNUMBER(SEARCH("专用",AE165)),4,IF(ISNUMBER(SEARCH("定制",AE165)),7,IF(ISNUMBER(SEARCH("多个定制",AE165)),9,””)))))</f>
        <v>4</v>
      </c>
      <c r="AG165" s="176">
        <f t="shared" si="88"/>
        <v>11</v>
      </c>
      <c r="AH165" s="176" t="str">
        <f t="shared" si="89"/>
        <v>高High</v>
      </c>
      <c r="AI165" s="176" t="s">
        <v>144</v>
      </c>
      <c r="AJ165" s="176" t="str">
        <f t="shared" si="71"/>
        <v>保留
Retaining</v>
      </c>
      <c r="AK165" s="171" t="s">
        <v>145</v>
      </c>
      <c r="AL165" s="177" t="s">
        <v>145</v>
      </c>
      <c r="AM165" s="180" t="s">
        <v>329</v>
      </c>
      <c r="AN165" s="178" t="s">
        <v>181</v>
      </c>
      <c r="AO165" s="178" t="s">
        <v>182</v>
      </c>
    </row>
    <row r="166" s="116" customFormat="1" ht="20" customHeight="1" spans="1:41">
      <c r="A166" s="171">
        <v>162</v>
      </c>
      <c r="B166" s="181"/>
      <c r="C166" s="181"/>
      <c r="D166" s="181"/>
      <c r="E166" s="171"/>
      <c r="F166" s="171"/>
      <c r="G166" s="171"/>
      <c r="H166" s="171"/>
      <c r="I166" s="171"/>
      <c r="J166" s="171" t="s">
        <v>183</v>
      </c>
      <c r="K166" s="173" t="s">
        <v>145</v>
      </c>
      <c r="L166" s="173" t="s">
        <v>145</v>
      </c>
      <c r="M166" s="173" t="s">
        <v>145</v>
      </c>
      <c r="N166" s="174" t="s">
        <v>145</v>
      </c>
      <c r="O166" s="174" t="s">
        <v>145</v>
      </c>
      <c r="P166" s="174" t="s">
        <v>145</v>
      </c>
      <c r="Q166" s="174" t="s">
        <v>145</v>
      </c>
      <c r="R166" s="174" t="s">
        <v>145</v>
      </c>
      <c r="S166" s="175" t="s">
        <v>145</v>
      </c>
      <c r="T166" s="175" t="s">
        <v>145</v>
      </c>
      <c r="U166" s="175" t="s">
        <v>145</v>
      </c>
      <c r="V166" s="171" t="s">
        <v>145</v>
      </c>
      <c r="W166" s="171" t="s">
        <v>145</v>
      </c>
      <c r="X166" s="176" t="s">
        <v>145</v>
      </c>
      <c r="Y166" s="171" t="s">
        <v>145</v>
      </c>
      <c r="Z166" s="176" t="s">
        <v>145</v>
      </c>
      <c r="AA166" s="171" t="s">
        <v>145</v>
      </c>
      <c r="AB166" s="176" t="s">
        <v>145</v>
      </c>
      <c r="AC166" s="171" t="s">
        <v>145</v>
      </c>
      <c r="AD166" s="176" t="s">
        <v>145</v>
      </c>
      <c r="AE166" s="171" t="s">
        <v>145</v>
      </c>
      <c r="AF166" s="176" t="str" cm="1">
        <f t="array" ref="AF166">IF(OR(AE166="/",AE166=""),"/",IF(ISNUMBER(SEARCH("普通",AE166)),0,IF(ISNUMBER(SEARCH("专用",AE166)),4,IF(ISNUMBER(SEARCH("定制",AE166)),7,IF(ISNUMBER(SEARCH("多个定制",AE166)),9,””)))))</f>
        <v>/</v>
      </c>
      <c r="AG166" s="176" t="s">
        <v>145</v>
      </c>
      <c r="AH166" s="176" t="s">
        <v>145</v>
      </c>
      <c r="AI166" s="176" t="s">
        <v>145</v>
      </c>
      <c r="AJ166" s="176" t="str">
        <f t="shared" si="71"/>
        <v>/</v>
      </c>
      <c r="AK166" s="171" t="s">
        <v>145</v>
      </c>
      <c r="AL166" s="177" t="s">
        <v>145</v>
      </c>
      <c r="AM166" s="177" t="s">
        <v>145</v>
      </c>
      <c r="AN166" s="177" t="s">
        <v>145</v>
      </c>
      <c r="AO166" s="177" t="s">
        <v>145</v>
      </c>
    </row>
    <row r="167" s="116" customFormat="1" ht="20" customHeight="1" spans="1:41">
      <c r="A167" s="171">
        <v>163</v>
      </c>
      <c r="B167" s="172" t="s">
        <v>737</v>
      </c>
      <c r="C167" s="171" t="s">
        <v>71</v>
      </c>
      <c r="D167" s="173" t="s">
        <v>738</v>
      </c>
      <c r="E167" s="171" t="s">
        <v>73</v>
      </c>
      <c r="F167" s="171"/>
      <c r="G167" s="171"/>
      <c r="H167" s="171"/>
      <c r="I167" s="171"/>
      <c r="J167" s="171"/>
      <c r="K167" s="173" t="s">
        <v>509</v>
      </c>
      <c r="L167" s="173" t="s">
        <v>739</v>
      </c>
      <c r="M167" s="173" t="s">
        <v>76</v>
      </c>
      <c r="N167" s="174" t="s">
        <v>77</v>
      </c>
      <c r="O167" s="174" t="s">
        <v>77</v>
      </c>
      <c r="P167" s="174" t="s">
        <v>78</v>
      </c>
      <c r="Q167" s="174" t="s">
        <v>77</v>
      </c>
      <c r="R167" s="174" t="str">
        <f t="shared" ref="R167:R173" si="90">IF(OR(N167="严重Severe",O167="严重Severe",P167="严重Severe",Q167="严重Severe"),"严重Severe",IF(OR(N167="主要Major",O167="主要Major",P167="主要Major",Q167="主要Major"),"主要Major",IF(OR(N167="中等Medium",O167="中等Medium",P167="中等Medium",Q167="中等Medium"),"中等Medium",IF(OR(N167="可忽略不计Negligible",O167="可忽略不计Negligible",P167="可忽略不计Negligible",Q167="可忽略不计Negligible"),"可忽略不计Negligible","/"))))</f>
        <v>主要Major</v>
      </c>
      <c r="S167" s="175" t="s">
        <v>78</v>
      </c>
      <c r="T167" s="175" t="s">
        <v>511</v>
      </c>
      <c r="U167" s="175" t="s">
        <v>80</v>
      </c>
      <c r="V167" s="171" t="s">
        <v>740</v>
      </c>
      <c r="W167" s="171" t="s">
        <v>82</v>
      </c>
      <c r="X167" s="176">
        <f t="shared" ref="X167:X173" si="91">IF(OR(W167="/",W167=""),"/",IF(ISNUMBER(SEARCH("1天",W167)),0,IF(ISNUMBER(SEARCH("一周",W167)),1,IF(ISNUMBER(SEARCH("1个月",W167)),4,IF(ISNUMBER(SEARCH("超过",W167)),19,IF(ISNUMBER(SEARCH("6个月",W167)),17,""))))))</f>
        <v>0</v>
      </c>
      <c r="Y167" s="171" t="s">
        <v>83</v>
      </c>
      <c r="Z167" s="176">
        <f t="shared" ref="Z167:Z173" si="92">IF(OR(Y167="/",Y167=""),"/",IF(ISNUMBER(SEARCH("新手",Y167)),0,IF(ISNUMBER(SEARCH("熟练",Y167)),3,IF(ISNUMBER(SEARCH("多位",Y167)),17,IF(ISNUMBER(SEARCH("专家",Y167)),6,"")))))</f>
        <v>6</v>
      </c>
      <c r="AA167" s="171" t="s">
        <v>84</v>
      </c>
      <c r="AB167" s="176">
        <f t="shared" ref="AB167:AB173" si="93">IF(OR(AA167="/",AA167=""),"/",IF(ISNUMBER(SEARCH("公开",AA167)),0,IF(ISNUMBER(SEARCH("限制性信息",AA167)),3,IF(ISNUMBER(SEARCH("机密信息",AA167)),7,IF(ISNUMBER(SEARCH("严格保密",AA167)),11,"")))))</f>
        <v>3</v>
      </c>
      <c r="AC167" s="171" t="s">
        <v>85</v>
      </c>
      <c r="AD167" s="176">
        <f t="shared" ref="AD167:AD173" si="94">IF(OR(AC167="/",AC167=""),"/",IF(ISNUMBER(SEARCH("无限制",AC167)),0,IF(ISNUMBER(SEARCH("容易",AC167)),1,IF(ISNUMBER(SEARCH("一般",AC167)),4,IF(ISNUMBER(SEARCH("困难",AC167)),10,"")))))</f>
        <v>4</v>
      </c>
      <c r="AE167" s="171" t="s">
        <v>86</v>
      </c>
      <c r="AF167" s="176" cm="1">
        <f t="array" ref="AF167">IF(OR(AE167="/",AE167=""),"/",IF(ISNUMBER(SEARCH("普通",AE167)),0,IF(ISNUMBER(SEARCH("专用",AE167)),4,IF(ISNUMBER(SEARCH("定制",AE167)),7,IF(ISNUMBER(SEARCH("多个定制",AE167)),9,””)))))</f>
        <v>4</v>
      </c>
      <c r="AG167" s="176">
        <f t="shared" ref="AG167:AG173" si="95">IF(OR(X167="/",Z167="/",AB167="/",AD167="/",AF167="/"),"/",X167+Z167+AB167+AD167+AF167)</f>
        <v>17</v>
      </c>
      <c r="AH167" s="176" t="str">
        <f t="shared" ref="AH167:AH173" si="96">IF(AND(AG167&gt;=0,AG167&lt;14),"高High",IF(AND(AG167&gt;=14,AG167&lt;20),"中Medium",IF(AND(AG167&gt;=20,AG167&lt;25),"低Low",IF(AND(AG167&gt;=25,AG167&lt;57),"非常低Very low",""))))</f>
        <v>中Medium</v>
      </c>
      <c r="AI167" s="176" t="s">
        <v>87</v>
      </c>
      <c r="AJ167" s="176" t="str">
        <f t="shared" si="71"/>
        <v>降低
Reucing</v>
      </c>
      <c r="AK167" s="171" t="s">
        <v>513</v>
      </c>
      <c r="AL167" s="177" t="s">
        <v>514</v>
      </c>
      <c r="AM167" s="180" t="s">
        <v>90</v>
      </c>
      <c r="AN167" s="178" t="s">
        <v>91</v>
      </c>
      <c r="AO167" s="178" t="s">
        <v>92</v>
      </c>
    </row>
    <row r="168" s="116" customFormat="1" ht="20" customHeight="1" spans="1:41">
      <c r="A168" s="171">
        <v>164</v>
      </c>
      <c r="B168" s="179"/>
      <c r="C168" s="179"/>
      <c r="D168" s="179"/>
      <c r="E168" s="171" t="s">
        <v>73</v>
      </c>
      <c r="F168" s="171"/>
      <c r="G168" s="171"/>
      <c r="H168" s="171"/>
      <c r="I168" s="171"/>
      <c r="J168" s="171"/>
      <c r="K168" s="173" t="s">
        <v>515</v>
      </c>
      <c r="L168" s="173" t="s">
        <v>741</v>
      </c>
      <c r="M168" s="173" t="s">
        <v>106</v>
      </c>
      <c r="N168" s="174" t="s">
        <v>77</v>
      </c>
      <c r="O168" s="174" t="s">
        <v>77</v>
      </c>
      <c r="P168" s="174" t="s">
        <v>96</v>
      </c>
      <c r="Q168" s="174" t="s">
        <v>78</v>
      </c>
      <c r="R168" s="174" t="str">
        <f t="shared" si="90"/>
        <v>主要Major</v>
      </c>
      <c r="S168" s="175" t="s">
        <v>107</v>
      </c>
      <c r="T168" s="175" t="s">
        <v>517</v>
      </c>
      <c r="U168" s="175" t="s">
        <v>109</v>
      </c>
      <c r="V168" s="171" t="s">
        <v>742</v>
      </c>
      <c r="W168" s="171" t="s">
        <v>111</v>
      </c>
      <c r="X168" s="176">
        <f t="shared" si="91"/>
        <v>1</v>
      </c>
      <c r="Y168" s="171" t="s">
        <v>83</v>
      </c>
      <c r="Z168" s="176">
        <f t="shared" si="92"/>
        <v>6</v>
      </c>
      <c r="AA168" s="171" t="s">
        <v>84</v>
      </c>
      <c r="AB168" s="176">
        <f t="shared" si="93"/>
        <v>3</v>
      </c>
      <c r="AC168" s="171" t="s">
        <v>85</v>
      </c>
      <c r="AD168" s="176">
        <f t="shared" si="94"/>
        <v>4</v>
      </c>
      <c r="AE168" s="171" t="s">
        <v>143</v>
      </c>
      <c r="AF168" s="176" cm="1">
        <f t="array" ref="AF168">IF(OR(AE168="/",AE168=""),"/",IF(ISNUMBER(SEARCH("普通",AE168)),0,IF(ISNUMBER(SEARCH("专用",AE168)),4,IF(ISNUMBER(SEARCH("定制",AE168)),7,IF(ISNUMBER(SEARCH("多个定制",AE168)),9,””)))))</f>
        <v>7</v>
      </c>
      <c r="AG168" s="176">
        <f t="shared" si="95"/>
        <v>21</v>
      </c>
      <c r="AH168" s="176" t="str">
        <f t="shared" si="96"/>
        <v>低Low</v>
      </c>
      <c r="AI168" s="176" t="s">
        <v>112</v>
      </c>
      <c r="AJ168" s="176" t="str">
        <f t="shared" si="71"/>
        <v>消除
Avoiding</v>
      </c>
      <c r="AK168" s="171" t="s">
        <v>519</v>
      </c>
      <c r="AL168" s="177" t="s">
        <v>520</v>
      </c>
      <c r="AM168" s="180" t="s">
        <v>115</v>
      </c>
      <c r="AN168" s="178" t="s">
        <v>116</v>
      </c>
      <c r="AO168" s="178" t="s">
        <v>117</v>
      </c>
    </row>
    <row r="169" s="116" customFormat="1" ht="20" customHeight="1" spans="1:41">
      <c r="A169" s="171">
        <v>165</v>
      </c>
      <c r="B169" s="179"/>
      <c r="C169" s="179"/>
      <c r="D169" s="179"/>
      <c r="E169" s="171"/>
      <c r="F169" s="171" t="s">
        <v>73</v>
      </c>
      <c r="G169" s="171"/>
      <c r="H169" s="171"/>
      <c r="I169" s="171"/>
      <c r="J169" s="171"/>
      <c r="K169" s="173" t="s">
        <v>521</v>
      </c>
      <c r="L169" s="173" t="s">
        <v>743</v>
      </c>
      <c r="M169" s="173" t="s">
        <v>120</v>
      </c>
      <c r="N169" s="174" t="s">
        <v>77</v>
      </c>
      <c r="O169" s="174" t="s">
        <v>96</v>
      </c>
      <c r="P169" s="174" t="s">
        <v>78</v>
      </c>
      <c r="Q169" s="174" t="s">
        <v>77</v>
      </c>
      <c r="R169" s="174" t="str">
        <f t="shared" si="90"/>
        <v>主要Major</v>
      </c>
      <c r="S169" s="175" t="s">
        <v>78</v>
      </c>
      <c r="T169" s="175" t="s">
        <v>523</v>
      </c>
      <c r="U169" s="175" t="s">
        <v>744</v>
      </c>
      <c r="V169" s="171" t="s">
        <v>740</v>
      </c>
      <c r="W169" s="171" t="s">
        <v>82</v>
      </c>
      <c r="X169" s="176">
        <f t="shared" si="91"/>
        <v>0</v>
      </c>
      <c r="Y169" s="171" t="s">
        <v>83</v>
      </c>
      <c r="Z169" s="176">
        <f t="shared" si="92"/>
        <v>6</v>
      </c>
      <c r="AA169" s="171" t="s">
        <v>84</v>
      </c>
      <c r="AB169" s="176">
        <f t="shared" si="93"/>
        <v>3</v>
      </c>
      <c r="AC169" s="171" t="s">
        <v>85</v>
      </c>
      <c r="AD169" s="176">
        <f t="shared" si="94"/>
        <v>4</v>
      </c>
      <c r="AE169" s="171" t="s">
        <v>86</v>
      </c>
      <c r="AF169" s="176" cm="1">
        <f t="array" ref="AF169">IF(OR(AE169="/",AE169=""),"/",IF(ISNUMBER(SEARCH("普通",AE169)),0,IF(ISNUMBER(SEARCH("专用",AE169)),4,IF(ISNUMBER(SEARCH("定制",AE169)),7,IF(ISNUMBER(SEARCH("多个定制",AE169)),9,””)))))</f>
        <v>4</v>
      </c>
      <c r="AG169" s="176">
        <f t="shared" si="95"/>
        <v>17</v>
      </c>
      <c r="AH169" s="176" t="str">
        <f t="shared" si="96"/>
        <v>中Medium</v>
      </c>
      <c r="AI169" s="176" t="s">
        <v>87</v>
      </c>
      <c r="AJ169" s="176" t="str">
        <f t="shared" si="71"/>
        <v>降低
Reucing</v>
      </c>
      <c r="AK169" s="171" t="s">
        <v>525</v>
      </c>
      <c r="AL169" s="177" t="s">
        <v>526</v>
      </c>
      <c r="AM169" s="180" t="s">
        <v>125</v>
      </c>
      <c r="AN169" s="178" t="s">
        <v>126</v>
      </c>
      <c r="AO169" s="178" t="s">
        <v>127</v>
      </c>
    </row>
    <row r="170" s="116" customFormat="1" ht="20" customHeight="1" spans="1:41">
      <c r="A170" s="171">
        <v>166</v>
      </c>
      <c r="B170" s="179"/>
      <c r="C170" s="179"/>
      <c r="D170" s="179"/>
      <c r="E170" s="171"/>
      <c r="F170" s="171" t="s">
        <v>73</v>
      </c>
      <c r="G170" s="171"/>
      <c r="H170" s="171"/>
      <c r="I170" s="171"/>
      <c r="J170" s="171"/>
      <c r="K170" s="173" t="s">
        <v>527</v>
      </c>
      <c r="L170" s="173" t="s">
        <v>745</v>
      </c>
      <c r="M170" s="173" t="s">
        <v>120</v>
      </c>
      <c r="N170" s="174" t="s">
        <v>96</v>
      </c>
      <c r="O170" s="174" t="s">
        <v>96</v>
      </c>
      <c r="P170" s="174" t="s">
        <v>78</v>
      </c>
      <c r="Q170" s="174" t="s">
        <v>77</v>
      </c>
      <c r="R170" s="174" t="str">
        <f t="shared" si="90"/>
        <v>主要Major</v>
      </c>
      <c r="S170" s="175" t="s">
        <v>78</v>
      </c>
      <c r="T170" s="175" t="s">
        <v>529</v>
      </c>
      <c r="U170" s="175" t="s">
        <v>746</v>
      </c>
      <c r="V170" s="171" t="s">
        <v>740</v>
      </c>
      <c r="W170" s="171" t="s">
        <v>111</v>
      </c>
      <c r="X170" s="176">
        <f t="shared" si="91"/>
        <v>1</v>
      </c>
      <c r="Y170" s="171" t="s">
        <v>83</v>
      </c>
      <c r="Z170" s="176">
        <f t="shared" si="92"/>
        <v>6</v>
      </c>
      <c r="AA170" s="171" t="s">
        <v>84</v>
      </c>
      <c r="AB170" s="176">
        <f t="shared" si="93"/>
        <v>3</v>
      </c>
      <c r="AC170" s="171" t="s">
        <v>85</v>
      </c>
      <c r="AD170" s="176">
        <f t="shared" si="94"/>
        <v>4</v>
      </c>
      <c r="AE170" s="171" t="s">
        <v>86</v>
      </c>
      <c r="AF170" s="176" cm="1">
        <f t="array" ref="AF170">IF(OR(AE170="/",AE170=""),"/",IF(ISNUMBER(SEARCH("普通",AE170)),0,IF(ISNUMBER(SEARCH("专用",AE170)),4,IF(ISNUMBER(SEARCH("定制",AE170)),7,IF(ISNUMBER(SEARCH("多个定制",AE170)),9,””)))))</f>
        <v>4</v>
      </c>
      <c r="AG170" s="176">
        <f t="shared" si="95"/>
        <v>18</v>
      </c>
      <c r="AH170" s="176" t="str">
        <f t="shared" si="96"/>
        <v>中Medium</v>
      </c>
      <c r="AI170" s="176" t="s">
        <v>144</v>
      </c>
      <c r="AJ170" s="176" t="str">
        <f t="shared" si="71"/>
        <v>保留
Retaining</v>
      </c>
      <c r="AK170" s="171" t="s">
        <v>145</v>
      </c>
      <c r="AL170" s="177" t="s">
        <v>145</v>
      </c>
      <c r="AM170" s="180" t="s">
        <v>134</v>
      </c>
      <c r="AN170" s="178" t="s">
        <v>135</v>
      </c>
      <c r="AO170" s="178" t="s">
        <v>136</v>
      </c>
    </row>
    <row r="171" s="116" customFormat="1" ht="20" customHeight="1" spans="1:41">
      <c r="A171" s="171">
        <v>167</v>
      </c>
      <c r="B171" s="179"/>
      <c r="C171" s="179"/>
      <c r="D171" s="179"/>
      <c r="E171" s="171"/>
      <c r="F171" s="171"/>
      <c r="G171" s="171" t="s">
        <v>73</v>
      </c>
      <c r="H171" s="171"/>
      <c r="I171" s="171"/>
      <c r="J171" s="171"/>
      <c r="K171" s="173" t="s">
        <v>533</v>
      </c>
      <c r="L171" s="173" t="s">
        <v>747</v>
      </c>
      <c r="M171" s="173" t="s">
        <v>150</v>
      </c>
      <c r="N171" s="174" t="s">
        <v>96</v>
      </c>
      <c r="O171" s="174" t="s">
        <v>96</v>
      </c>
      <c r="P171" s="174" t="s">
        <v>96</v>
      </c>
      <c r="Q171" s="174" t="s">
        <v>77</v>
      </c>
      <c r="R171" s="174" t="str">
        <f t="shared" si="90"/>
        <v>中等Medium</v>
      </c>
      <c r="S171" s="175" t="s">
        <v>96</v>
      </c>
      <c r="T171" s="175" t="s">
        <v>535</v>
      </c>
      <c r="U171" s="175" t="s">
        <v>152</v>
      </c>
      <c r="V171" s="171" t="s">
        <v>740</v>
      </c>
      <c r="W171" s="171" t="s">
        <v>82</v>
      </c>
      <c r="X171" s="176">
        <f t="shared" si="91"/>
        <v>0</v>
      </c>
      <c r="Y171" s="171" t="s">
        <v>83</v>
      </c>
      <c r="Z171" s="176">
        <f t="shared" si="92"/>
        <v>6</v>
      </c>
      <c r="AA171" s="171" t="s">
        <v>153</v>
      </c>
      <c r="AB171" s="176">
        <f t="shared" si="93"/>
        <v>0</v>
      </c>
      <c r="AC171" s="171" t="s">
        <v>85</v>
      </c>
      <c r="AD171" s="176">
        <f t="shared" si="94"/>
        <v>4</v>
      </c>
      <c r="AE171" s="171" t="s">
        <v>143</v>
      </c>
      <c r="AF171" s="176" cm="1">
        <f t="array" ref="AF171">IF(OR(AE171="/",AE171=""),"/",IF(ISNUMBER(SEARCH("普通",AE171)),0,IF(ISNUMBER(SEARCH("专用",AE171)),4,IF(ISNUMBER(SEARCH("定制",AE171)),7,IF(ISNUMBER(SEARCH("多个定制",AE171)),9,””)))))</f>
        <v>7</v>
      </c>
      <c r="AG171" s="176">
        <f t="shared" si="95"/>
        <v>17</v>
      </c>
      <c r="AH171" s="176" t="str">
        <f t="shared" si="96"/>
        <v>中Medium</v>
      </c>
      <c r="AI171" s="176" t="s">
        <v>144</v>
      </c>
      <c r="AJ171" s="176" t="str">
        <f t="shared" si="71"/>
        <v>保留
Retaining</v>
      </c>
      <c r="AK171" s="171" t="s">
        <v>145</v>
      </c>
      <c r="AL171" s="177" t="s">
        <v>145</v>
      </c>
      <c r="AM171" s="171" t="s">
        <v>145</v>
      </c>
      <c r="AN171" s="178" t="s">
        <v>280</v>
      </c>
      <c r="AO171" s="178" t="s">
        <v>281</v>
      </c>
    </row>
    <row r="172" s="116" customFormat="1" ht="20" customHeight="1" spans="1:41">
      <c r="A172" s="171">
        <v>168</v>
      </c>
      <c r="B172" s="179"/>
      <c r="C172" s="179"/>
      <c r="D172" s="179"/>
      <c r="E172" s="171"/>
      <c r="F172" s="171"/>
      <c r="G172" s="171"/>
      <c r="H172" s="171" t="s">
        <v>73</v>
      </c>
      <c r="I172" s="171"/>
      <c r="J172" s="171"/>
      <c r="K172" s="173" t="s">
        <v>536</v>
      </c>
      <c r="L172" s="173" t="s">
        <v>748</v>
      </c>
      <c r="M172" s="173" t="s">
        <v>166</v>
      </c>
      <c r="N172" s="174" t="s">
        <v>96</v>
      </c>
      <c r="O172" s="174" t="s">
        <v>96</v>
      </c>
      <c r="P172" s="174" t="s">
        <v>96</v>
      </c>
      <c r="Q172" s="174" t="s">
        <v>77</v>
      </c>
      <c r="R172" s="174" t="str">
        <f t="shared" si="90"/>
        <v>中等Medium</v>
      </c>
      <c r="S172" s="171" t="s">
        <v>96</v>
      </c>
      <c r="T172" s="175" t="s">
        <v>538</v>
      </c>
      <c r="U172" s="175" t="s">
        <v>749</v>
      </c>
      <c r="V172" s="171" t="s">
        <v>740</v>
      </c>
      <c r="W172" s="171" t="s">
        <v>82</v>
      </c>
      <c r="X172" s="176">
        <f t="shared" si="91"/>
        <v>0</v>
      </c>
      <c r="Y172" s="171" t="s">
        <v>83</v>
      </c>
      <c r="Z172" s="176">
        <f t="shared" si="92"/>
        <v>6</v>
      </c>
      <c r="AA172" s="171" t="s">
        <v>84</v>
      </c>
      <c r="AB172" s="176">
        <f t="shared" si="93"/>
        <v>3</v>
      </c>
      <c r="AC172" s="171" t="s">
        <v>85</v>
      </c>
      <c r="AD172" s="176">
        <f t="shared" si="94"/>
        <v>4</v>
      </c>
      <c r="AE172" s="171" t="s">
        <v>86</v>
      </c>
      <c r="AF172" s="176" cm="1">
        <f t="array" ref="AF172">IF(OR(AE172="/",AE172=""),"/",IF(ISNUMBER(SEARCH("普通",AE172)),0,IF(ISNUMBER(SEARCH("专用",AE172)),4,IF(ISNUMBER(SEARCH("定制",AE172)),7,IF(ISNUMBER(SEARCH("多个定制",AE172)),9,””)))))</f>
        <v>4</v>
      </c>
      <c r="AG172" s="176">
        <f t="shared" si="95"/>
        <v>17</v>
      </c>
      <c r="AH172" s="176" t="str">
        <f t="shared" si="96"/>
        <v>中Medium</v>
      </c>
      <c r="AI172" s="176" t="s">
        <v>144</v>
      </c>
      <c r="AJ172" s="176" t="str">
        <f t="shared" si="71"/>
        <v>保留
Retaining</v>
      </c>
      <c r="AK172" s="171" t="s">
        <v>145</v>
      </c>
      <c r="AL172" s="177" t="s">
        <v>145</v>
      </c>
      <c r="AM172" s="180" t="s">
        <v>316</v>
      </c>
      <c r="AN172" s="178" t="s">
        <v>317</v>
      </c>
      <c r="AO172" s="178" t="s">
        <v>318</v>
      </c>
    </row>
    <row r="173" s="116" customFormat="1" ht="20" customHeight="1" spans="1:41">
      <c r="A173" s="171">
        <v>169</v>
      </c>
      <c r="B173" s="179"/>
      <c r="C173" s="179"/>
      <c r="D173" s="179"/>
      <c r="E173" s="171"/>
      <c r="F173" s="171"/>
      <c r="G173" s="171"/>
      <c r="H173" s="171"/>
      <c r="I173" s="171" t="s">
        <v>73</v>
      </c>
      <c r="J173" s="171"/>
      <c r="K173" s="173" t="s">
        <v>540</v>
      </c>
      <c r="L173" s="173" t="s">
        <v>750</v>
      </c>
      <c r="M173" s="173" t="s">
        <v>174</v>
      </c>
      <c r="N173" s="174" t="s">
        <v>96</v>
      </c>
      <c r="O173" s="174" t="s">
        <v>96</v>
      </c>
      <c r="P173" s="174" t="s">
        <v>96</v>
      </c>
      <c r="Q173" s="174" t="s">
        <v>77</v>
      </c>
      <c r="R173" s="174" t="str">
        <f t="shared" si="90"/>
        <v>中等Medium</v>
      </c>
      <c r="S173" s="175" t="s">
        <v>96</v>
      </c>
      <c r="T173" s="175" t="s">
        <v>542</v>
      </c>
      <c r="U173" s="175" t="s">
        <v>176</v>
      </c>
      <c r="V173" s="171" t="s">
        <v>740</v>
      </c>
      <c r="W173" s="171" t="s">
        <v>82</v>
      </c>
      <c r="X173" s="176">
        <f t="shared" si="91"/>
        <v>0</v>
      </c>
      <c r="Y173" s="171" t="s">
        <v>177</v>
      </c>
      <c r="Z173" s="176">
        <f t="shared" si="92"/>
        <v>3</v>
      </c>
      <c r="AA173" s="171" t="s">
        <v>153</v>
      </c>
      <c r="AB173" s="176">
        <f t="shared" si="93"/>
        <v>0</v>
      </c>
      <c r="AC173" s="171" t="s">
        <v>85</v>
      </c>
      <c r="AD173" s="176">
        <f t="shared" si="94"/>
        <v>4</v>
      </c>
      <c r="AE173" s="171" t="s">
        <v>86</v>
      </c>
      <c r="AF173" s="176" cm="1">
        <f t="array" ref="AF173">IF(OR(AE173="/",AE173=""),"/",IF(ISNUMBER(SEARCH("普通",AE173)),0,IF(ISNUMBER(SEARCH("专用",AE173)),4,IF(ISNUMBER(SEARCH("定制",AE173)),7,IF(ISNUMBER(SEARCH("多个定制",AE173)),9,””)))))</f>
        <v>4</v>
      </c>
      <c r="AG173" s="176">
        <f t="shared" si="95"/>
        <v>11</v>
      </c>
      <c r="AH173" s="176" t="str">
        <f t="shared" si="96"/>
        <v>高High</v>
      </c>
      <c r="AI173" s="176" t="s">
        <v>87</v>
      </c>
      <c r="AJ173" s="176" t="str">
        <f t="shared" si="71"/>
        <v>降低
Reucing</v>
      </c>
      <c r="AK173" s="171" t="s">
        <v>543</v>
      </c>
      <c r="AL173" s="177" t="s">
        <v>544</v>
      </c>
      <c r="AM173" s="180" t="s">
        <v>329</v>
      </c>
      <c r="AN173" s="178" t="s">
        <v>181</v>
      </c>
      <c r="AO173" s="178" t="s">
        <v>182</v>
      </c>
    </row>
    <row r="174" s="116" customFormat="1" ht="20" customHeight="1" spans="1:41">
      <c r="A174" s="171">
        <v>170</v>
      </c>
      <c r="B174" s="181"/>
      <c r="C174" s="181"/>
      <c r="D174" s="181"/>
      <c r="E174" s="171"/>
      <c r="F174" s="171"/>
      <c r="G174" s="171"/>
      <c r="H174" s="171"/>
      <c r="I174" s="171"/>
      <c r="J174" s="171" t="s">
        <v>183</v>
      </c>
      <c r="K174" s="173" t="s">
        <v>145</v>
      </c>
      <c r="L174" s="173" t="s">
        <v>145</v>
      </c>
      <c r="M174" s="173" t="s">
        <v>145</v>
      </c>
      <c r="N174" s="174" t="s">
        <v>145</v>
      </c>
      <c r="O174" s="174" t="s">
        <v>145</v>
      </c>
      <c r="P174" s="174" t="s">
        <v>145</v>
      </c>
      <c r="Q174" s="174" t="s">
        <v>145</v>
      </c>
      <c r="R174" s="174" t="s">
        <v>145</v>
      </c>
      <c r="S174" s="175" t="s">
        <v>145</v>
      </c>
      <c r="T174" s="175" t="s">
        <v>145</v>
      </c>
      <c r="U174" s="175" t="s">
        <v>145</v>
      </c>
      <c r="V174" s="171" t="s">
        <v>145</v>
      </c>
      <c r="W174" s="171" t="s">
        <v>145</v>
      </c>
      <c r="X174" s="176" t="s">
        <v>145</v>
      </c>
      <c r="Y174" s="171" t="s">
        <v>145</v>
      </c>
      <c r="Z174" s="176" t="s">
        <v>145</v>
      </c>
      <c r="AA174" s="171" t="s">
        <v>145</v>
      </c>
      <c r="AB174" s="176" t="s">
        <v>145</v>
      </c>
      <c r="AC174" s="171" t="s">
        <v>145</v>
      </c>
      <c r="AD174" s="176" t="s">
        <v>145</v>
      </c>
      <c r="AE174" s="171" t="s">
        <v>145</v>
      </c>
      <c r="AF174" s="176" t="str" cm="1">
        <f t="array" ref="AF174">IF(OR(AE174="/",AE174=""),"/",IF(ISNUMBER(SEARCH("普通",AE174)),0,IF(ISNUMBER(SEARCH("专用",AE174)),4,IF(ISNUMBER(SEARCH("定制",AE174)),7,IF(ISNUMBER(SEARCH("多个定制",AE174)),9,””)))))</f>
        <v>/</v>
      </c>
      <c r="AG174" s="176" t="s">
        <v>145</v>
      </c>
      <c r="AH174" s="176" t="s">
        <v>145</v>
      </c>
      <c r="AI174" s="176" t="s">
        <v>145</v>
      </c>
      <c r="AJ174" s="176" t="str">
        <f t="shared" si="71"/>
        <v>/</v>
      </c>
      <c r="AK174" s="171" t="s">
        <v>145</v>
      </c>
      <c r="AL174" s="177" t="s">
        <v>145</v>
      </c>
      <c r="AM174" s="177" t="s">
        <v>145</v>
      </c>
      <c r="AN174" s="177" t="s">
        <v>145</v>
      </c>
      <c r="AO174" s="177" t="s">
        <v>145</v>
      </c>
    </row>
    <row r="175" s="116" customFormat="1" ht="20" customHeight="1" spans="1:41">
      <c r="A175" s="171">
        <v>171</v>
      </c>
      <c r="B175" s="172" t="s">
        <v>751</v>
      </c>
      <c r="C175" s="171" t="s">
        <v>71</v>
      </c>
      <c r="D175" s="173" t="s">
        <v>752</v>
      </c>
      <c r="E175" s="171" t="s">
        <v>73</v>
      </c>
      <c r="F175" s="171"/>
      <c r="G175" s="171"/>
      <c r="H175" s="171"/>
      <c r="I175" s="171"/>
      <c r="J175" s="171"/>
      <c r="K175" s="173" t="s">
        <v>509</v>
      </c>
      <c r="L175" s="173" t="s">
        <v>753</v>
      </c>
      <c r="M175" s="173" t="s">
        <v>76</v>
      </c>
      <c r="N175" s="174" t="s">
        <v>77</v>
      </c>
      <c r="O175" s="174" t="s">
        <v>77</v>
      </c>
      <c r="P175" s="174" t="s">
        <v>78</v>
      </c>
      <c r="Q175" s="174" t="s">
        <v>77</v>
      </c>
      <c r="R175" s="174" t="str">
        <f t="shared" ref="R175:R181" si="97">IF(OR(N175="严重Severe",O175="严重Severe",P175="严重Severe",Q175="严重Severe"),"严重Severe",IF(OR(N175="主要Major",O175="主要Major",P175="主要Major",Q175="主要Major"),"主要Major",IF(OR(N175="中等Medium",O175="中等Medium",P175="中等Medium",Q175="中等Medium"),"中等Medium",IF(OR(N175="可忽略不计Negligible",O175="可忽略不计Negligible",P175="可忽略不计Negligible",Q175="可忽略不计Negligible"),"可忽略不计Negligible","/"))))</f>
        <v>主要Major</v>
      </c>
      <c r="S175" s="175" t="s">
        <v>78</v>
      </c>
      <c r="T175" s="175" t="s">
        <v>511</v>
      </c>
      <c r="U175" s="175" t="s">
        <v>80</v>
      </c>
      <c r="V175" s="171" t="s">
        <v>754</v>
      </c>
      <c r="W175" s="171" t="s">
        <v>82</v>
      </c>
      <c r="X175" s="176">
        <f t="shared" ref="X175:X181" si="98">IF(OR(W175="/",W175=""),"/",IF(ISNUMBER(SEARCH("1天",W175)),0,IF(ISNUMBER(SEARCH("一周",W175)),1,IF(ISNUMBER(SEARCH("1个月",W175)),4,IF(ISNUMBER(SEARCH("超过",W175)),19,IF(ISNUMBER(SEARCH("6个月",W175)),17,""))))))</f>
        <v>0</v>
      </c>
      <c r="Y175" s="171" t="s">
        <v>83</v>
      </c>
      <c r="Z175" s="176">
        <f t="shared" ref="Z175:Z181" si="99">IF(OR(Y175="/",Y175=""),"/",IF(ISNUMBER(SEARCH("新手",Y175)),0,IF(ISNUMBER(SEARCH("熟练",Y175)),3,IF(ISNUMBER(SEARCH("多位",Y175)),17,IF(ISNUMBER(SEARCH("专家",Y175)),6,"")))))</f>
        <v>6</v>
      </c>
      <c r="AA175" s="171" t="s">
        <v>84</v>
      </c>
      <c r="AB175" s="176">
        <f t="shared" ref="AB175:AB181" si="100">IF(OR(AA175="/",AA175=""),"/",IF(ISNUMBER(SEARCH("公开",AA175)),0,IF(ISNUMBER(SEARCH("限制性信息",AA175)),3,IF(ISNUMBER(SEARCH("机密信息",AA175)),7,IF(ISNUMBER(SEARCH("严格保密",AA175)),11,"")))))</f>
        <v>3</v>
      </c>
      <c r="AC175" s="171" t="s">
        <v>85</v>
      </c>
      <c r="AD175" s="176">
        <f t="shared" ref="AD175:AD181" si="101">IF(OR(AC175="/",AC175=""),"/",IF(ISNUMBER(SEARCH("无限制",AC175)),0,IF(ISNUMBER(SEARCH("容易",AC175)),1,IF(ISNUMBER(SEARCH("一般",AC175)),4,IF(ISNUMBER(SEARCH("困难",AC175)),10,"")))))</f>
        <v>4</v>
      </c>
      <c r="AE175" s="171" t="s">
        <v>86</v>
      </c>
      <c r="AF175" s="176" cm="1">
        <f t="array" ref="AF175">IF(OR(AE175="/",AE175=""),"/",IF(ISNUMBER(SEARCH("普通",AE175)),0,IF(ISNUMBER(SEARCH("专用",AE175)),4,IF(ISNUMBER(SEARCH("定制",AE175)),7,IF(ISNUMBER(SEARCH("多个定制",AE175)),9,””)))))</f>
        <v>4</v>
      </c>
      <c r="AG175" s="176">
        <f t="shared" ref="AG175:AG181" si="102">IF(OR(X175="/",Z175="/",AB175="/",AD175="/",AF175="/"),"/",X175+Z175+AB175+AD175+AF175)</f>
        <v>17</v>
      </c>
      <c r="AH175" s="176" t="str">
        <f t="shared" ref="AH175:AH181" si="103">IF(AND(AG175&gt;=0,AG175&lt;14),"高High",IF(AND(AG175&gt;=14,AG175&lt;20),"中Medium",IF(AND(AG175&gt;=20,AG175&lt;25),"低Low",IF(AND(AG175&gt;=25,AG175&lt;57),"非常低Very low",""))))</f>
        <v>中Medium</v>
      </c>
      <c r="AI175" s="176" t="s">
        <v>87</v>
      </c>
      <c r="AJ175" s="176" t="str">
        <f t="shared" si="71"/>
        <v>降低
Reucing</v>
      </c>
      <c r="AK175" s="171" t="s">
        <v>513</v>
      </c>
      <c r="AL175" s="177" t="s">
        <v>514</v>
      </c>
      <c r="AM175" s="180" t="s">
        <v>90</v>
      </c>
      <c r="AN175" s="178" t="s">
        <v>91</v>
      </c>
      <c r="AO175" s="178" t="s">
        <v>92</v>
      </c>
    </row>
    <row r="176" s="116" customFormat="1" ht="20" customHeight="1" spans="1:41">
      <c r="A176" s="171">
        <v>172</v>
      </c>
      <c r="B176" s="179"/>
      <c r="C176" s="179"/>
      <c r="D176" s="179"/>
      <c r="E176" s="171" t="s">
        <v>73</v>
      </c>
      <c r="F176" s="171"/>
      <c r="G176" s="171"/>
      <c r="H176" s="171"/>
      <c r="I176" s="171"/>
      <c r="J176" s="171"/>
      <c r="K176" s="173" t="s">
        <v>515</v>
      </c>
      <c r="L176" s="173" t="s">
        <v>755</v>
      </c>
      <c r="M176" s="173" t="s">
        <v>106</v>
      </c>
      <c r="N176" s="174" t="s">
        <v>77</v>
      </c>
      <c r="O176" s="174" t="s">
        <v>77</v>
      </c>
      <c r="P176" s="174" t="s">
        <v>96</v>
      </c>
      <c r="Q176" s="174" t="s">
        <v>78</v>
      </c>
      <c r="R176" s="174" t="str">
        <f t="shared" si="97"/>
        <v>主要Major</v>
      </c>
      <c r="S176" s="175" t="s">
        <v>107</v>
      </c>
      <c r="T176" s="175" t="s">
        <v>517</v>
      </c>
      <c r="U176" s="175" t="s">
        <v>109</v>
      </c>
      <c r="V176" s="171" t="s">
        <v>756</v>
      </c>
      <c r="W176" s="171" t="s">
        <v>111</v>
      </c>
      <c r="X176" s="176">
        <f t="shared" si="98"/>
        <v>1</v>
      </c>
      <c r="Y176" s="171" t="s">
        <v>83</v>
      </c>
      <c r="Z176" s="176">
        <f t="shared" si="99"/>
        <v>6</v>
      </c>
      <c r="AA176" s="171" t="s">
        <v>84</v>
      </c>
      <c r="AB176" s="176">
        <f t="shared" si="100"/>
        <v>3</v>
      </c>
      <c r="AC176" s="171" t="s">
        <v>85</v>
      </c>
      <c r="AD176" s="176">
        <f t="shared" si="101"/>
        <v>4</v>
      </c>
      <c r="AE176" s="171" t="s">
        <v>143</v>
      </c>
      <c r="AF176" s="176" cm="1">
        <f t="array" ref="AF176">IF(OR(AE176="/",AE176=""),"/",IF(ISNUMBER(SEARCH("普通",AE176)),0,IF(ISNUMBER(SEARCH("专用",AE176)),4,IF(ISNUMBER(SEARCH("定制",AE176)),7,IF(ISNUMBER(SEARCH("多个定制",AE176)),9,””)))))</f>
        <v>7</v>
      </c>
      <c r="AG176" s="176">
        <f t="shared" si="102"/>
        <v>21</v>
      </c>
      <c r="AH176" s="176" t="str">
        <f t="shared" si="103"/>
        <v>低Low</v>
      </c>
      <c r="AI176" s="176" t="s">
        <v>112</v>
      </c>
      <c r="AJ176" s="176" t="str">
        <f t="shared" si="71"/>
        <v>消除
Avoiding</v>
      </c>
      <c r="AK176" s="171" t="s">
        <v>519</v>
      </c>
      <c r="AL176" s="177" t="s">
        <v>520</v>
      </c>
      <c r="AM176" s="180" t="s">
        <v>115</v>
      </c>
      <c r="AN176" s="178" t="s">
        <v>116</v>
      </c>
      <c r="AO176" s="178" t="s">
        <v>117</v>
      </c>
    </row>
    <row r="177" s="116" customFormat="1" ht="20" customHeight="1" spans="1:41">
      <c r="A177" s="171">
        <v>173</v>
      </c>
      <c r="B177" s="179"/>
      <c r="C177" s="179"/>
      <c r="D177" s="179"/>
      <c r="E177" s="171"/>
      <c r="F177" s="171" t="s">
        <v>73</v>
      </c>
      <c r="G177" s="171"/>
      <c r="H177" s="171"/>
      <c r="I177" s="171"/>
      <c r="J177" s="171"/>
      <c r="K177" s="173" t="s">
        <v>521</v>
      </c>
      <c r="L177" s="173" t="s">
        <v>757</v>
      </c>
      <c r="M177" s="173" t="s">
        <v>120</v>
      </c>
      <c r="N177" s="174" t="s">
        <v>77</v>
      </c>
      <c r="O177" s="174" t="s">
        <v>96</v>
      </c>
      <c r="P177" s="174" t="s">
        <v>78</v>
      </c>
      <c r="Q177" s="174" t="s">
        <v>77</v>
      </c>
      <c r="R177" s="174" t="str">
        <f t="shared" si="97"/>
        <v>主要Major</v>
      </c>
      <c r="S177" s="175" t="s">
        <v>78</v>
      </c>
      <c r="T177" s="175" t="s">
        <v>523</v>
      </c>
      <c r="U177" s="175" t="s">
        <v>758</v>
      </c>
      <c r="V177" s="171" t="s">
        <v>754</v>
      </c>
      <c r="W177" s="171" t="s">
        <v>82</v>
      </c>
      <c r="X177" s="176">
        <f t="shared" si="98"/>
        <v>0</v>
      </c>
      <c r="Y177" s="171" t="s">
        <v>83</v>
      </c>
      <c r="Z177" s="176">
        <f t="shared" si="99"/>
        <v>6</v>
      </c>
      <c r="AA177" s="171" t="s">
        <v>84</v>
      </c>
      <c r="AB177" s="176">
        <f t="shared" si="100"/>
        <v>3</v>
      </c>
      <c r="AC177" s="171" t="s">
        <v>85</v>
      </c>
      <c r="AD177" s="176">
        <f t="shared" si="101"/>
        <v>4</v>
      </c>
      <c r="AE177" s="171" t="s">
        <v>86</v>
      </c>
      <c r="AF177" s="176" cm="1">
        <f t="array" ref="AF177">IF(OR(AE177="/",AE177=""),"/",IF(ISNUMBER(SEARCH("普通",AE177)),0,IF(ISNUMBER(SEARCH("专用",AE177)),4,IF(ISNUMBER(SEARCH("定制",AE177)),7,IF(ISNUMBER(SEARCH("多个定制",AE177)),9,””)))))</f>
        <v>4</v>
      </c>
      <c r="AG177" s="176">
        <f t="shared" si="102"/>
        <v>17</v>
      </c>
      <c r="AH177" s="176" t="str">
        <f t="shared" si="103"/>
        <v>中Medium</v>
      </c>
      <c r="AI177" s="176" t="s">
        <v>87</v>
      </c>
      <c r="AJ177" s="176" t="str">
        <f t="shared" si="71"/>
        <v>降低
Reucing</v>
      </c>
      <c r="AK177" s="171" t="s">
        <v>525</v>
      </c>
      <c r="AL177" s="177" t="s">
        <v>526</v>
      </c>
      <c r="AM177" s="180" t="s">
        <v>125</v>
      </c>
      <c r="AN177" s="178" t="s">
        <v>126</v>
      </c>
      <c r="AO177" s="178" t="s">
        <v>127</v>
      </c>
    </row>
    <row r="178" s="116" customFormat="1" ht="14.75" customHeight="1" spans="1:41">
      <c r="A178" s="171">
        <v>174</v>
      </c>
      <c r="B178" s="179"/>
      <c r="C178" s="179"/>
      <c r="D178" s="179"/>
      <c r="E178" s="171"/>
      <c r="F178" s="171" t="s">
        <v>73</v>
      </c>
      <c r="G178" s="171"/>
      <c r="H178" s="171"/>
      <c r="I178" s="171"/>
      <c r="J178" s="171"/>
      <c r="K178" s="173" t="s">
        <v>527</v>
      </c>
      <c r="L178" s="173" t="s">
        <v>759</v>
      </c>
      <c r="M178" s="173" t="s">
        <v>120</v>
      </c>
      <c r="N178" s="174" t="s">
        <v>96</v>
      </c>
      <c r="O178" s="174" t="s">
        <v>96</v>
      </c>
      <c r="P178" s="174" t="s">
        <v>78</v>
      </c>
      <c r="Q178" s="174" t="s">
        <v>77</v>
      </c>
      <c r="R178" s="174" t="str">
        <f t="shared" si="97"/>
        <v>主要Major</v>
      </c>
      <c r="S178" s="175" t="s">
        <v>78</v>
      </c>
      <c r="T178" s="175" t="s">
        <v>529</v>
      </c>
      <c r="U178" s="175" t="s">
        <v>760</v>
      </c>
      <c r="V178" s="171" t="s">
        <v>754</v>
      </c>
      <c r="W178" s="171" t="s">
        <v>111</v>
      </c>
      <c r="X178" s="176">
        <f t="shared" si="98"/>
        <v>1</v>
      </c>
      <c r="Y178" s="171" t="s">
        <v>83</v>
      </c>
      <c r="Z178" s="176">
        <f t="shared" si="99"/>
        <v>6</v>
      </c>
      <c r="AA178" s="171" t="s">
        <v>84</v>
      </c>
      <c r="AB178" s="176">
        <f t="shared" si="100"/>
        <v>3</v>
      </c>
      <c r="AC178" s="171" t="s">
        <v>85</v>
      </c>
      <c r="AD178" s="176">
        <f t="shared" si="101"/>
        <v>4</v>
      </c>
      <c r="AE178" s="171" t="s">
        <v>86</v>
      </c>
      <c r="AF178" s="176" cm="1">
        <f t="array" ref="AF178">IF(OR(AE178="/",AE178=""),"/",IF(ISNUMBER(SEARCH("普通",AE178)),0,IF(ISNUMBER(SEARCH("专用",AE178)),4,IF(ISNUMBER(SEARCH("定制",AE178)),7,IF(ISNUMBER(SEARCH("多个定制",AE178)),9,””)))))</f>
        <v>4</v>
      </c>
      <c r="AG178" s="176">
        <f t="shared" si="102"/>
        <v>18</v>
      </c>
      <c r="AH178" s="176" t="str">
        <f t="shared" si="103"/>
        <v>中Medium</v>
      </c>
      <c r="AI178" s="176" t="s">
        <v>87</v>
      </c>
      <c r="AJ178" s="176" t="str">
        <f t="shared" si="71"/>
        <v>降低
Reucing</v>
      </c>
      <c r="AK178" s="171" t="s">
        <v>531</v>
      </c>
      <c r="AL178" s="177" t="s">
        <v>532</v>
      </c>
      <c r="AM178" s="180" t="s">
        <v>134</v>
      </c>
      <c r="AN178" s="178" t="s">
        <v>135</v>
      </c>
      <c r="AO178" s="178" t="s">
        <v>136</v>
      </c>
    </row>
    <row r="179" s="116" customFormat="1" ht="17" customHeight="1" spans="1:41">
      <c r="A179" s="171">
        <v>175</v>
      </c>
      <c r="B179" s="179"/>
      <c r="C179" s="179"/>
      <c r="D179" s="179"/>
      <c r="E179" s="171"/>
      <c r="F179" s="171"/>
      <c r="G179" s="171" t="s">
        <v>73</v>
      </c>
      <c r="H179" s="171"/>
      <c r="I179" s="171"/>
      <c r="J179" s="171"/>
      <c r="K179" s="173" t="s">
        <v>533</v>
      </c>
      <c r="L179" s="173" t="s">
        <v>761</v>
      </c>
      <c r="M179" s="173" t="s">
        <v>150</v>
      </c>
      <c r="N179" s="174" t="s">
        <v>96</v>
      </c>
      <c r="O179" s="174" t="s">
        <v>96</v>
      </c>
      <c r="P179" s="174" t="s">
        <v>96</v>
      </c>
      <c r="Q179" s="174" t="s">
        <v>77</v>
      </c>
      <c r="R179" s="174" t="str">
        <f t="shared" si="97"/>
        <v>中等Medium</v>
      </c>
      <c r="S179" s="175" t="s">
        <v>96</v>
      </c>
      <c r="T179" s="175" t="s">
        <v>535</v>
      </c>
      <c r="U179" s="175" t="s">
        <v>152</v>
      </c>
      <c r="V179" s="171" t="s">
        <v>754</v>
      </c>
      <c r="W179" s="171" t="s">
        <v>82</v>
      </c>
      <c r="X179" s="176">
        <f t="shared" si="98"/>
        <v>0</v>
      </c>
      <c r="Y179" s="171" t="s">
        <v>83</v>
      </c>
      <c r="Z179" s="176">
        <f t="shared" si="99"/>
        <v>6</v>
      </c>
      <c r="AA179" s="171" t="s">
        <v>153</v>
      </c>
      <c r="AB179" s="176">
        <f t="shared" si="100"/>
        <v>0</v>
      </c>
      <c r="AC179" s="171" t="s">
        <v>85</v>
      </c>
      <c r="AD179" s="176">
        <f t="shared" si="101"/>
        <v>4</v>
      </c>
      <c r="AE179" s="171" t="s">
        <v>143</v>
      </c>
      <c r="AF179" s="176" cm="1">
        <f t="array" ref="AF179">IF(OR(AE179="/",AE179=""),"/",IF(ISNUMBER(SEARCH("普通",AE179)),0,IF(ISNUMBER(SEARCH("专用",AE179)),4,IF(ISNUMBER(SEARCH("定制",AE179)),7,IF(ISNUMBER(SEARCH("多个定制",AE179)),9,””)))))</f>
        <v>7</v>
      </c>
      <c r="AG179" s="176">
        <f t="shared" si="102"/>
        <v>17</v>
      </c>
      <c r="AH179" s="176" t="str">
        <f t="shared" si="103"/>
        <v>中Medium</v>
      </c>
      <c r="AI179" s="176" t="s">
        <v>144</v>
      </c>
      <c r="AJ179" s="176" t="str">
        <f t="shared" si="71"/>
        <v>保留
Retaining</v>
      </c>
      <c r="AK179" s="171" t="s">
        <v>145</v>
      </c>
      <c r="AL179" s="177" t="s">
        <v>145</v>
      </c>
      <c r="AM179" s="171" t="s">
        <v>145</v>
      </c>
      <c r="AN179" s="178" t="s">
        <v>280</v>
      </c>
      <c r="AO179" s="178" t="s">
        <v>281</v>
      </c>
    </row>
    <row r="180" s="116" customFormat="1" ht="17" customHeight="1" spans="1:41">
      <c r="A180" s="171">
        <v>176</v>
      </c>
      <c r="B180" s="179"/>
      <c r="C180" s="179"/>
      <c r="D180" s="179"/>
      <c r="E180" s="171"/>
      <c r="F180" s="171"/>
      <c r="G180" s="171"/>
      <c r="H180" s="171" t="s">
        <v>73</v>
      </c>
      <c r="I180" s="171"/>
      <c r="J180" s="171"/>
      <c r="K180" s="173" t="s">
        <v>536</v>
      </c>
      <c r="L180" s="173" t="s">
        <v>762</v>
      </c>
      <c r="M180" s="173" t="s">
        <v>166</v>
      </c>
      <c r="N180" s="174" t="s">
        <v>96</v>
      </c>
      <c r="O180" s="174" t="s">
        <v>96</v>
      </c>
      <c r="P180" s="174" t="s">
        <v>96</v>
      </c>
      <c r="Q180" s="174" t="s">
        <v>77</v>
      </c>
      <c r="R180" s="174" t="str">
        <f t="shared" si="97"/>
        <v>中等Medium</v>
      </c>
      <c r="S180" s="171" t="s">
        <v>96</v>
      </c>
      <c r="T180" s="175" t="s">
        <v>538</v>
      </c>
      <c r="U180" s="175" t="s">
        <v>763</v>
      </c>
      <c r="V180" s="171" t="s">
        <v>754</v>
      </c>
      <c r="W180" s="171" t="s">
        <v>82</v>
      </c>
      <c r="X180" s="176">
        <f t="shared" si="98"/>
        <v>0</v>
      </c>
      <c r="Y180" s="171" t="s">
        <v>83</v>
      </c>
      <c r="Z180" s="176">
        <f t="shared" si="99"/>
        <v>6</v>
      </c>
      <c r="AA180" s="171" t="s">
        <v>84</v>
      </c>
      <c r="AB180" s="176">
        <f t="shared" si="100"/>
        <v>3</v>
      </c>
      <c r="AC180" s="171" t="s">
        <v>85</v>
      </c>
      <c r="AD180" s="176">
        <f t="shared" si="101"/>
        <v>4</v>
      </c>
      <c r="AE180" s="171" t="s">
        <v>86</v>
      </c>
      <c r="AF180" s="176" cm="1">
        <f t="array" ref="AF180">IF(OR(AE180="/",AE180=""),"/",IF(ISNUMBER(SEARCH("普通",AE180)),0,IF(ISNUMBER(SEARCH("专用",AE180)),4,IF(ISNUMBER(SEARCH("定制",AE180)),7,IF(ISNUMBER(SEARCH("多个定制",AE180)),9,””)))))</f>
        <v>4</v>
      </c>
      <c r="AG180" s="176">
        <f t="shared" si="102"/>
        <v>17</v>
      </c>
      <c r="AH180" s="176" t="str">
        <f t="shared" si="103"/>
        <v>中Medium</v>
      </c>
      <c r="AI180" s="176" t="s">
        <v>144</v>
      </c>
      <c r="AJ180" s="176" t="str">
        <f t="shared" si="71"/>
        <v>保留
Retaining</v>
      </c>
      <c r="AK180" s="171" t="s">
        <v>145</v>
      </c>
      <c r="AL180" s="177" t="s">
        <v>145</v>
      </c>
      <c r="AM180" s="180" t="s">
        <v>316</v>
      </c>
      <c r="AN180" s="178" t="s">
        <v>317</v>
      </c>
      <c r="AO180" s="178" t="s">
        <v>318</v>
      </c>
    </row>
    <row r="181" s="116" customFormat="1" ht="17" customHeight="1" spans="1:41">
      <c r="A181" s="171">
        <v>177</v>
      </c>
      <c r="B181" s="179"/>
      <c r="C181" s="179"/>
      <c r="D181" s="179"/>
      <c r="E181" s="171"/>
      <c r="F181" s="171"/>
      <c r="G181" s="171"/>
      <c r="H181" s="171"/>
      <c r="I181" s="171" t="s">
        <v>73</v>
      </c>
      <c r="J181" s="171"/>
      <c r="K181" s="173" t="s">
        <v>540</v>
      </c>
      <c r="L181" s="173" t="s">
        <v>764</v>
      </c>
      <c r="M181" s="173" t="s">
        <v>174</v>
      </c>
      <c r="N181" s="174" t="s">
        <v>96</v>
      </c>
      <c r="O181" s="174" t="s">
        <v>96</v>
      </c>
      <c r="P181" s="174" t="s">
        <v>96</v>
      </c>
      <c r="Q181" s="174" t="s">
        <v>77</v>
      </c>
      <c r="R181" s="174" t="str">
        <f t="shared" si="97"/>
        <v>中等Medium</v>
      </c>
      <c r="S181" s="175" t="s">
        <v>96</v>
      </c>
      <c r="T181" s="175" t="s">
        <v>542</v>
      </c>
      <c r="U181" s="175" t="s">
        <v>176</v>
      </c>
      <c r="V181" s="171" t="s">
        <v>754</v>
      </c>
      <c r="W181" s="171" t="s">
        <v>82</v>
      </c>
      <c r="X181" s="176">
        <f t="shared" si="98"/>
        <v>0</v>
      </c>
      <c r="Y181" s="171" t="s">
        <v>177</v>
      </c>
      <c r="Z181" s="176">
        <f t="shared" si="99"/>
        <v>3</v>
      </c>
      <c r="AA181" s="171" t="s">
        <v>153</v>
      </c>
      <c r="AB181" s="176">
        <f t="shared" si="100"/>
        <v>0</v>
      </c>
      <c r="AC181" s="171" t="s">
        <v>85</v>
      </c>
      <c r="AD181" s="176">
        <f t="shared" si="101"/>
        <v>4</v>
      </c>
      <c r="AE181" s="171" t="s">
        <v>86</v>
      </c>
      <c r="AF181" s="176" cm="1">
        <f t="array" ref="AF181">IF(OR(AE181="/",AE181=""),"/",IF(ISNUMBER(SEARCH("普通",AE181)),0,IF(ISNUMBER(SEARCH("专用",AE181)),4,IF(ISNUMBER(SEARCH("定制",AE181)),7,IF(ISNUMBER(SEARCH("多个定制",AE181)),9,””)))))</f>
        <v>4</v>
      </c>
      <c r="AG181" s="176">
        <f t="shared" si="102"/>
        <v>11</v>
      </c>
      <c r="AH181" s="176" t="str">
        <f t="shared" si="103"/>
        <v>高High</v>
      </c>
      <c r="AI181" s="176" t="s">
        <v>87</v>
      </c>
      <c r="AJ181" s="176" t="str">
        <f t="shared" si="71"/>
        <v>降低
Reucing</v>
      </c>
      <c r="AK181" s="171" t="s">
        <v>543</v>
      </c>
      <c r="AL181" s="177" t="s">
        <v>544</v>
      </c>
      <c r="AM181" s="180" t="s">
        <v>329</v>
      </c>
      <c r="AN181" s="178" t="s">
        <v>181</v>
      </c>
      <c r="AO181" s="178" t="s">
        <v>182</v>
      </c>
    </row>
    <row r="182" s="116" customFormat="1" ht="17" customHeight="1" spans="1:41">
      <c r="A182" s="171">
        <v>178</v>
      </c>
      <c r="B182" s="181"/>
      <c r="C182" s="181"/>
      <c r="D182" s="181"/>
      <c r="E182" s="171"/>
      <c r="F182" s="171"/>
      <c r="G182" s="171"/>
      <c r="H182" s="171"/>
      <c r="I182" s="171"/>
      <c r="J182" s="171" t="s">
        <v>183</v>
      </c>
      <c r="K182" s="173" t="s">
        <v>145</v>
      </c>
      <c r="L182" s="173" t="s">
        <v>145</v>
      </c>
      <c r="M182" s="173" t="s">
        <v>145</v>
      </c>
      <c r="N182" s="174" t="s">
        <v>145</v>
      </c>
      <c r="O182" s="174" t="s">
        <v>145</v>
      </c>
      <c r="P182" s="174" t="s">
        <v>145</v>
      </c>
      <c r="Q182" s="174" t="s">
        <v>145</v>
      </c>
      <c r="R182" s="174" t="s">
        <v>145</v>
      </c>
      <c r="S182" s="175" t="s">
        <v>145</v>
      </c>
      <c r="T182" s="175" t="s">
        <v>145</v>
      </c>
      <c r="U182" s="175" t="s">
        <v>145</v>
      </c>
      <c r="V182" s="171" t="s">
        <v>145</v>
      </c>
      <c r="W182" s="171" t="s">
        <v>145</v>
      </c>
      <c r="X182" s="176" t="s">
        <v>145</v>
      </c>
      <c r="Y182" s="171" t="s">
        <v>145</v>
      </c>
      <c r="Z182" s="176" t="s">
        <v>145</v>
      </c>
      <c r="AA182" s="171" t="s">
        <v>145</v>
      </c>
      <c r="AB182" s="176" t="s">
        <v>145</v>
      </c>
      <c r="AC182" s="171" t="s">
        <v>145</v>
      </c>
      <c r="AD182" s="176" t="s">
        <v>145</v>
      </c>
      <c r="AE182" s="171" t="s">
        <v>145</v>
      </c>
      <c r="AF182" s="176" t="str" cm="1">
        <f t="array" ref="AF182">IF(OR(AE182="/",AE182=""),"/",IF(ISNUMBER(SEARCH("普通",AE182)),0,IF(ISNUMBER(SEARCH("专用",AE182)),4,IF(ISNUMBER(SEARCH("定制",AE182)),7,IF(ISNUMBER(SEARCH("多个定制",AE182)),9,””)))))</f>
        <v>/</v>
      </c>
      <c r="AG182" s="176" t="s">
        <v>145</v>
      </c>
      <c r="AH182" s="176" t="s">
        <v>145</v>
      </c>
      <c r="AI182" s="176" t="s">
        <v>145</v>
      </c>
      <c r="AJ182" s="176" t="str">
        <f t="shared" si="71"/>
        <v>/</v>
      </c>
      <c r="AK182" s="171" t="s">
        <v>145</v>
      </c>
      <c r="AL182" s="177" t="s">
        <v>145</v>
      </c>
      <c r="AM182" s="177" t="s">
        <v>145</v>
      </c>
      <c r="AN182" s="177" t="s">
        <v>145</v>
      </c>
      <c r="AO182" s="177" t="s">
        <v>145</v>
      </c>
    </row>
    <row r="183" s="116" customFormat="1" ht="17" customHeight="1" spans="1:41">
      <c r="A183" s="171">
        <v>179</v>
      </c>
      <c r="B183" s="172" t="s">
        <v>765</v>
      </c>
      <c r="C183" s="171" t="s">
        <v>71</v>
      </c>
      <c r="D183" s="173" t="s">
        <v>766</v>
      </c>
      <c r="E183" s="171" t="s">
        <v>73</v>
      </c>
      <c r="F183" s="171"/>
      <c r="G183" s="171"/>
      <c r="H183" s="171"/>
      <c r="I183" s="171"/>
      <c r="J183" s="171"/>
      <c r="K183" s="173" t="s">
        <v>509</v>
      </c>
      <c r="L183" s="173" t="s">
        <v>767</v>
      </c>
      <c r="M183" s="173" t="s">
        <v>76</v>
      </c>
      <c r="N183" s="174" t="s">
        <v>77</v>
      </c>
      <c r="O183" s="174" t="s">
        <v>77</v>
      </c>
      <c r="P183" s="174" t="s">
        <v>78</v>
      </c>
      <c r="Q183" s="174" t="s">
        <v>77</v>
      </c>
      <c r="R183" s="174" t="str">
        <f t="shared" ref="R183:R189" si="104">IF(OR(N183="严重Severe",O183="严重Severe",P183="严重Severe",Q183="严重Severe"),"严重Severe",IF(OR(N183="主要Major",O183="主要Major",P183="主要Major",Q183="主要Major"),"主要Major",IF(OR(N183="中等Medium",O183="中等Medium",P183="中等Medium",Q183="中等Medium"),"中等Medium",IF(OR(N183="可忽略不计Negligible",O183="可忽略不计Negligible",P183="可忽略不计Negligible",Q183="可忽略不计Negligible"),"可忽略不计Negligible","/"))))</f>
        <v>主要Major</v>
      </c>
      <c r="S183" s="175" t="s">
        <v>78</v>
      </c>
      <c r="T183" s="175" t="s">
        <v>511</v>
      </c>
      <c r="U183" s="175" t="s">
        <v>80</v>
      </c>
      <c r="V183" s="171" t="s">
        <v>768</v>
      </c>
      <c r="W183" s="171" t="s">
        <v>82</v>
      </c>
      <c r="X183" s="176">
        <f t="shared" ref="X183:X189" si="105">IF(OR(W183="/",W183=""),"/",IF(ISNUMBER(SEARCH("1天",W183)),0,IF(ISNUMBER(SEARCH("一周",W183)),1,IF(ISNUMBER(SEARCH("1个月",W183)),4,IF(ISNUMBER(SEARCH("超过",W183)),19,IF(ISNUMBER(SEARCH("6个月",W183)),17,""))))))</f>
        <v>0</v>
      </c>
      <c r="Y183" s="171" t="s">
        <v>83</v>
      </c>
      <c r="Z183" s="176">
        <f t="shared" ref="Z183:Z189" si="106">IF(OR(Y183="/",Y183=""),"/",IF(ISNUMBER(SEARCH("新手",Y183)),0,IF(ISNUMBER(SEARCH("熟练",Y183)),3,IF(ISNUMBER(SEARCH("多位",Y183)),17,IF(ISNUMBER(SEARCH("专家",Y183)),6,"")))))</f>
        <v>6</v>
      </c>
      <c r="AA183" s="171" t="s">
        <v>84</v>
      </c>
      <c r="AB183" s="176">
        <f t="shared" ref="AB183:AB189" si="107">IF(OR(AA183="/",AA183=""),"/",IF(ISNUMBER(SEARCH("公开",AA183)),0,IF(ISNUMBER(SEARCH("限制性信息",AA183)),3,IF(ISNUMBER(SEARCH("机密信息",AA183)),7,IF(ISNUMBER(SEARCH("严格保密",AA183)),11,"")))))</f>
        <v>3</v>
      </c>
      <c r="AC183" s="171" t="s">
        <v>85</v>
      </c>
      <c r="AD183" s="176">
        <f t="shared" ref="AD183:AD189" si="108">IF(OR(AC183="/",AC183=""),"/",IF(ISNUMBER(SEARCH("无限制",AC183)),0,IF(ISNUMBER(SEARCH("容易",AC183)),1,IF(ISNUMBER(SEARCH("一般",AC183)),4,IF(ISNUMBER(SEARCH("困难",AC183)),10,"")))))</f>
        <v>4</v>
      </c>
      <c r="AE183" s="171" t="s">
        <v>86</v>
      </c>
      <c r="AF183" s="176" cm="1">
        <f t="array" ref="AF183">IF(OR(AE183="/",AE183=""),"/",IF(ISNUMBER(SEARCH("普通",AE183)),0,IF(ISNUMBER(SEARCH("专用",AE183)),4,IF(ISNUMBER(SEARCH("定制",AE183)),7,IF(ISNUMBER(SEARCH("多个定制",AE183)),9,””)))))</f>
        <v>4</v>
      </c>
      <c r="AG183" s="176">
        <f t="shared" ref="AG183:AG189" si="109">IF(OR(X183="/",Z183="/",AB183="/",AD183="/",AF183="/"),"/",X183+Z183+AB183+AD183+AF183)</f>
        <v>17</v>
      </c>
      <c r="AH183" s="176" t="str">
        <f t="shared" ref="AH183:AH189" si="110">IF(AND(AG183&gt;=0,AG183&lt;14),"高High",IF(AND(AG183&gt;=14,AG183&lt;20),"中Medium",IF(AND(AG183&gt;=20,AG183&lt;25),"低Low",IF(AND(AG183&gt;=25,AG183&lt;57),"非常低Very low",""))))</f>
        <v>中Medium</v>
      </c>
      <c r="AI183" s="176" t="s">
        <v>87</v>
      </c>
      <c r="AJ183" s="176" t="str">
        <f t="shared" si="71"/>
        <v>降低
Reucing</v>
      </c>
      <c r="AK183" s="171" t="s">
        <v>513</v>
      </c>
      <c r="AL183" s="177" t="s">
        <v>514</v>
      </c>
      <c r="AM183" s="180" t="s">
        <v>90</v>
      </c>
      <c r="AN183" s="178" t="s">
        <v>91</v>
      </c>
      <c r="AO183" s="178" t="s">
        <v>92</v>
      </c>
    </row>
    <row r="184" s="116" customFormat="1" ht="17" customHeight="1" spans="1:41">
      <c r="A184" s="171">
        <v>180</v>
      </c>
      <c r="B184" s="179"/>
      <c r="C184" s="179"/>
      <c r="D184" s="179"/>
      <c r="E184" s="171" t="s">
        <v>73</v>
      </c>
      <c r="F184" s="171"/>
      <c r="G184" s="171"/>
      <c r="H184" s="171"/>
      <c r="I184" s="171"/>
      <c r="J184" s="171"/>
      <c r="K184" s="173" t="s">
        <v>515</v>
      </c>
      <c r="L184" s="173" t="s">
        <v>769</v>
      </c>
      <c r="M184" s="173" t="s">
        <v>106</v>
      </c>
      <c r="N184" s="174" t="s">
        <v>77</v>
      </c>
      <c r="O184" s="174" t="s">
        <v>77</v>
      </c>
      <c r="P184" s="174" t="s">
        <v>96</v>
      </c>
      <c r="Q184" s="174" t="s">
        <v>78</v>
      </c>
      <c r="R184" s="174" t="str">
        <f t="shared" si="104"/>
        <v>主要Major</v>
      </c>
      <c r="S184" s="175" t="s">
        <v>107</v>
      </c>
      <c r="T184" s="175" t="s">
        <v>517</v>
      </c>
      <c r="U184" s="175" t="s">
        <v>109</v>
      </c>
      <c r="V184" s="171" t="s">
        <v>770</v>
      </c>
      <c r="W184" s="171" t="s">
        <v>111</v>
      </c>
      <c r="X184" s="176">
        <f t="shared" si="105"/>
        <v>1</v>
      </c>
      <c r="Y184" s="171" t="s">
        <v>83</v>
      </c>
      <c r="Z184" s="176">
        <f t="shared" si="106"/>
        <v>6</v>
      </c>
      <c r="AA184" s="171" t="s">
        <v>84</v>
      </c>
      <c r="AB184" s="176">
        <f t="shared" si="107"/>
        <v>3</v>
      </c>
      <c r="AC184" s="171" t="s">
        <v>85</v>
      </c>
      <c r="AD184" s="176">
        <f t="shared" si="108"/>
        <v>4</v>
      </c>
      <c r="AE184" s="171" t="s">
        <v>143</v>
      </c>
      <c r="AF184" s="176" cm="1">
        <f t="array" ref="AF184">IF(OR(AE184="/",AE184=""),"/",IF(ISNUMBER(SEARCH("普通",AE184)),0,IF(ISNUMBER(SEARCH("专用",AE184)),4,IF(ISNUMBER(SEARCH("定制",AE184)),7,IF(ISNUMBER(SEARCH("多个定制",AE184)),9,””)))))</f>
        <v>7</v>
      </c>
      <c r="AG184" s="176">
        <f t="shared" si="109"/>
        <v>21</v>
      </c>
      <c r="AH184" s="176" t="str">
        <f t="shared" si="110"/>
        <v>低Low</v>
      </c>
      <c r="AI184" s="176" t="s">
        <v>112</v>
      </c>
      <c r="AJ184" s="176" t="str">
        <f t="shared" si="71"/>
        <v>消除
Avoiding</v>
      </c>
      <c r="AK184" s="171" t="s">
        <v>519</v>
      </c>
      <c r="AL184" s="177" t="s">
        <v>520</v>
      </c>
      <c r="AM184" s="180" t="s">
        <v>115</v>
      </c>
      <c r="AN184" s="178" t="s">
        <v>116</v>
      </c>
      <c r="AO184" s="178" t="s">
        <v>117</v>
      </c>
    </row>
    <row r="185" s="116" customFormat="1" ht="17" customHeight="1" spans="1:41">
      <c r="A185" s="171">
        <v>181</v>
      </c>
      <c r="B185" s="179"/>
      <c r="C185" s="179"/>
      <c r="D185" s="179"/>
      <c r="E185" s="171"/>
      <c r="F185" s="171" t="s">
        <v>73</v>
      </c>
      <c r="G185" s="171"/>
      <c r="H185" s="171"/>
      <c r="I185" s="171"/>
      <c r="J185" s="171"/>
      <c r="K185" s="173" t="s">
        <v>521</v>
      </c>
      <c r="L185" s="173" t="s">
        <v>771</v>
      </c>
      <c r="M185" s="173" t="s">
        <v>120</v>
      </c>
      <c r="N185" s="174" t="s">
        <v>77</v>
      </c>
      <c r="O185" s="174" t="s">
        <v>96</v>
      </c>
      <c r="P185" s="174" t="s">
        <v>78</v>
      </c>
      <c r="Q185" s="174" t="s">
        <v>77</v>
      </c>
      <c r="R185" s="174" t="str">
        <f t="shared" si="104"/>
        <v>主要Major</v>
      </c>
      <c r="S185" s="175" t="s">
        <v>78</v>
      </c>
      <c r="T185" s="175" t="s">
        <v>523</v>
      </c>
      <c r="U185" s="175" t="s">
        <v>772</v>
      </c>
      <c r="V185" s="171" t="s">
        <v>768</v>
      </c>
      <c r="W185" s="171" t="s">
        <v>82</v>
      </c>
      <c r="X185" s="176">
        <f t="shared" si="105"/>
        <v>0</v>
      </c>
      <c r="Y185" s="171" t="s">
        <v>83</v>
      </c>
      <c r="Z185" s="176">
        <f t="shared" si="106"/>
        <v>6</v>
      </c>
      <c r="AA185" s="171" t="s">
        <v>84</v>
      </c>
      <c r="AB185" s="176">
        <f t="shared" si="107"/>
        <v>3</v>
      </c>
      <c r="AC185" s="171" t="s">
        <v>85</v>
      </c>
      <c r="AD185" s="176">
        <f t="shared" si="108"/>
        <v>4</v>
      </c>
      <c r="AE185" s="171" t="s">
        <v>86</v>
      </c>
      <c r="AF185" s="176" cm="1">
        <f t="array" ref="AF185">IF(OR(AE185="/",AE185=""),"/",IF(ISNUMBER(SEARCH("普通",AE185)),0,IF(ISNUMBER(SEARCH("专用",AE185)),4,IF(ISNUMBER(SEARCH("定制",AE185)),7,IF(ISNUMBER(SEARCH("多个定制",AE185)),9,””)))))</f>
        <v>4</v>
      </c>
      <c r="AG185" s="176">
        <f t="shared" si="109"/>
        <v>17</v>
      </c>
      <c r="AH185" s="176" t="str">
        <f t="shared" si="110"/>
        <v>中Medium</v>
      </c>
      <c r="AI185" s="176" t="s">
        <v>87</v>
      </c>
      <c r="AJ185" s="176" t="str">
        <f t="shared" si="71"/>
        <v>降低
Reucing</v>
      </c>
      <c r="AK185" s="171" t="s">
        <v>525</v>
      </c>
      <c r="AL185" s="177" t="s">
        <v>526</v>
      </c>
      <c r="AM185" s="180" t="s">
        <v>125</v>
      </c>
      <c r="AN185" s="178" t="s">
        <v>126</v>
      </c>
      <c r="AO185" s="178" t="s">
        <v>127</v>
      </c>
    </row>
    <row r="186" s="116" customFormat="1" ht="17" customHeight="1" spans="1:41">
      <c r="A186" s="171">
        <v>182</v>
      </c>
      <c r="B186" s="179"/>
      <c r="C186" s="179"/>
      <c r="D186" s="179"/>
      <c r="E186" s="171"/>
      <c r="F186" s="171" t="s">
        <v>73</v>
      </c>
      <c r="G186" s="171"/>
      <c r="H186" s="171"/>
      <c r="I186" s="171"/>
      <c r="J186" s="171"/>
      <c r="K186" s="173" t="s">
        <v>527</v>
      </c>
      <c r="L186" s="173" t="s">
        <v>773</v>
      </c>
      <c r="M186" s="173" t="s">
        <v>120</v>
      </c>
      <c r="N186" s="174" t="s">
        <v>96</v>
      </c>
      <c r="O186" s="174" t="s">
        <v>96</v>
      </c>
      <c r="P186" s="174" t="s">
        <v>78</v>
      </c>
      <c r="Q186" s="174" t="s">
        <v>77</v>
      </c>
      <c r="R186" s="174" t="str">
        <f t="shared" si="104"/>
        <v>主要Major</v>
      </c>
      <c r="S186" s="175" t="s">
        <v>78</v>
      </c>
      <c r="T186" s="175" t="s">
        <v>529</v>
      </c>
      <c r="U186" s="175" t="s">
        <v>774</v>
      </c>
      <c r="V186" s="171" t="s">
        <v>768</v>
      </c>
      <c r="W186" s="171" t="s">
        <v>111</v>
      </c>
      <c r="X186" s="176">
        <f t="shared" si="105"/>
        <v>1</v>
      </c>
      <c r="Y186" s="171" t="s">
        <v>83</v>
      </c>
      <c r="Z186" s="176">
        <f t="shared" si="106"/>
        <v>6</v>
      </c>
      <c r="AA186" s="171" t="s">
        <v>84</v>
      </c>
      <c r="AB186" s="176">
        <f t="shared" si="107"/>
        <v>3</v>
      </c>
      <c r="AC186" s="171" t="s">
        <v>85</v>
      </c>
      <c r="AD186" s="176">
        <f t="shared" si="108"/>
        <v>4</v>
      </c>
      <c r="AE186" s="171" t="s">
        <v>86</v>
      </c>
      <c r="AF186" s="176" cm="1">
        <f t="array" ref="AF186">IF(OR(AE186="/",AE186=""),"/",IF(ISNUMBER(SEARCH("普通",AE186)),0,IF(ISNUMBER(SEARCH("专用",AE186)),4,IF(ISNUMBER(SEARCH("定制",AE186)),7,IF(ISNUMBER(SEARCH("多个定制",AE186)),9,””)))))</f>
        <v>4</v>
      </c>
      <c r="AG186" s="176">
        <f t="shared" si="109"/>
        <v>18</v>
      </c>
      <c r="AH186" s="176" t="str">
        <f t="shared" si="110"/>
        <v>中Medium</v>
      </c>
      <c r="AI186" s="176" t="s">
        <v>87</v>
      </c>
      <c r="AJ186" s="176" t="str">
        <f t="shared" si="71"/>
        <v>降低
Reucing</v>
      </c>
      <c r="AK186" s="171" t="s">
        <v>531</v>
      </c>
      <c r="AL186" s="177" t="s">
        <v>532</v>
      </c>
      <c r="AM186" s="180" t="s">
        <v>134</v>
      </c>
      <c r="AN186" s="178" t="s">
        <v>135</v>
      </c>
      <c r="AO186" s="178" t="s">
        <v>136</v>
      </c>
    </row>
    <row r="187" s="116" customFormat="1" ht="17" customHeight="1" spans="1:41">
      <c r="A187" s="171">
        <v>183</v>
      </c>
      <c r="B187" s="179"/>
      <c r="C187" s="179"/>
      <c r="D187" s="179"/>
      <c r="E187" s="171"/>
      <c r="F187" s="171"/>
      <c r="G187" s="171" t="s">
        <v>73</v>
      </c>
      <c r="H187" s="171"/>
      <c r="I187" s="171"/>
      <c r="J187" s="171"/>
      <c r="K187" s="173" t="s">
        <v>533</v>
      </c>
      <c r="L187" s="173" t="s">
        <v>775</v>
      </c>
      <c r="M187" s="173" t="s">
        <v>150</v>
      </c>
      <c r="N187" s="174" t="s">
        <v>96</v>
      </c>
      <c r="O187" s="174" t="s">
        <v>96</v>
      </c>
      <c r="P187" s="174" t="s">
        <v>96</v>
      </c>
      <c r="Q187" s="174" t="s">
        <v>77</v>
      </c>
      <c r="R187" s="174" t="str">
        <f t="shared" si="104"/>
        <v>中等Medium</v>
      </c>
      <c r="S187" s="175" t="s">
        <v>96</v>
      </c>
      <c r="T187" s="175" t="s">
        <v>535</v>
      </c>
      <c r="U187" s="175" t="s">
        <v>152</v>
      </c>
      <c r="V187" s="171" t="s">
        <v>768</v>
      </c>
      <c r="W187" s="171" t="s">
        <v>82</v>
      </c>
      <c r="X187" s="176">
        <f t="shared" si="105"/>
        <v>0</v>
      </c>
      <c r="Y187" s="171" t="s">
        <v>83</v>
      </c>
      <c r="Z187" s="176">
        <f t="shared" si="106"/>
        <v>6</v>
      </c>
      <c r="AA187" s="171" t="s">
        <v>153</v>
      </c>
      <c r="AB187" s="176">
        <f t="shared" si="107"/>
        <v>0</v>
      </c>
      <c r="AC187" s="171" t="s">
        <v>85</v>
      </c>
      <c r="AD187" s="176">
        <f t="shared" si="108"/>
        <v>4</v>
      </c>
      <c r="AE187" s="171" t="s">
        <v>143</v>
      </c>
      <c r="AF187" s="176" cm="1">
        <f t="array" ref="AF187">IF(OR(AE187="/",AE187=""),"/",IF(ISNUMBER(SEARCH("普通",AE187)),0,IF(ISNUMBER(SEARCH("专用",AE187)),4,IF(ISNUMBER(SEARCH("定制",AE187)),7,IF(ISNUMBER(SEARCH("多个定制",AE187)),9,””)))))</f>
        <v>7</v>
      </c>
      <c r="AG187" s="176">
        <f t="shared" si="109"/>
        <v>17</v>
      </c>
      <c r="AH187" s="176" t="str">
        <f t="shared" si="110"/>
        <v>中Medium</v>
      </c>
      <c r="AI187" s="176" t="s">
        <v>144</v>
      </c>
      <c r="AJ187" s="176" t="str">
        <f t="shared" si="71"/>
        <v>保留
Retaining</v>
      </c>
      <c r="AK187" s="171" t="s">
        <v>145</v>
      </c>
      <c r="AL187" s="177" t="s">
        <v>145</v>
      </c>
      <c r="AM187" s="171" t="s">
        <v>145</v>
      </c>
      <c r="AN187" s="178" t="s">
        <v>280</v>
      </c>
      <c r="AO187" s="178" t="s">
        <v>281</v>
      </c>
    </row>
    <row r="188" s="116" customFormat="1" ht="17" customHeight="1" spans="1:41">
      <c r="A188" s="171">
        <v>184</v>
      </c>
      <c r="B188" s="179"/>
      <c r="C188" s="179"/>
      <c r="D188" s="179"/>
      <c r="E188" s="171"/>
      <c r="F188" s="171"/>
      <c r="G188" s="171"/>
      <c r="H188" s="171" t="s">
        <v>73</v>
      </c>
      <c r="I188" s="171"/>
      <c r="J188" s="171"/>
      <c r="K188" s="173" t="s">
        <v>536</v>
      </c>
      <c r="L188" s="173" t="s">
        <v>776</v>
      </c>
      <c r="M188" s="173" t="s">
        <v>166</v>
      </c>
      <c r="N188" s="174" t="s">
        <v>96</v>
      </c>
      <c r="O188" s="174" t="s">
        <v>96</v>
      </c>
      <c r="P188" s="174" t="s">
        <v>96</v>
      </c>
      <c r="Q188" s="174" t="s">
        <v>77</v>
      </c>
      <c r="R188" s="174" t="str">
        <f t="shared" si="104"/>
        <v>中等Medium</v>
      </c>
      <c r="S188" s="171" t="s">
        <v>96</v>
      </c>
      <c r="T188" s="175" t="s">
        <v>538</v>
      </c>
      <c r="U188" s="175" t="s">
        <v>777</v>
      </c>
      <c r="V188" s="171" t="s">
        <v>768</v>
      </c>
      <c r="W188" s="171" t="s">
        <v>82</v>
      </c>
      <c r="X188" s="176">
        <f t="shared" si="105"/>
        <v>0</v>
      </c>
      <c r="Y188" s="171" t="s">
        <v>83</v>
      </c>
      <c r="Z188" s="176">
        <f t="shared" si="106"/>
        <v>6</v>
      </c>
      <c r="AA188" s="171" t="s">
        <v>84</v>
      </c>
      <c r="AB188" s="176">
        <f t="shared" si="107"/>
        <v>3</v>
      </c>
      <c r="AC188" s="171" t="s">
        <v>85</v>
      </c>
      <c r="AD188" s="176">
        <f t="shared" si="108"/>
        <v>4</v>
      </c>
      <c r="AE188" s="171" t="s">
        <v>86</v>
      </c>
      <c r="AF188" s="176" cm="1">
        <f t="array" ref="AF188">IF(OR(AE188="/",AE188=""),"/",IF(ISNUMBER(SEARCH("普通",AE188)),0,IF(ISNUMBER(SEARCH("专用",AE188)),4,IF(ISNUMBER(SEARCH("定制",AE188)),7,IF(ISNUMBER(SEARCH("多个定制",AE188)),9,””)))))</f>
        <v>4</v>
      </c>
      <c r="AG188" s="176">
        <f t="shared" si="109"/>
        <v>17</v>
      </c>
      <c r="AH188" s="176" t="str">
        <f t="shared" si="110"/>
        <v>中Medium</v>
      </c>
      <c r="AI188" s="176" t="s">
        <v>144</v>
      </c>
      <c r="AJ188" s="176" t="str">
        <f t="shared" si="71"/>
        <v>保留
Retaining</v>
      </c>
      <c r="AK188" s="171" t="s">
        <v>145</v>
      </c>
      <c r="AL188" s="177" t="s">
        <v>145</v>
      </c>
      <c r="AM188" s="180" t="s">
        <v>316</v>
      </c>
      <c r="AN188" s="178" t="s">
        <v>317</v>
      </c>
      <c r="AO188" s="178" t="s">
        <v>318</v>
      </c>
    </row>
    <row r="189" s="116" customFormat="1" ht="17" customHeight="1" spans="1:41">
      <c r="A189" s="171">
        <v>185</v>
      </c>
      <c r="B189" s="179"/>
      <c r="C189" s="179"/>
      <c r="D189" s="179"/>
      <c r="E189" s="171"/>
      <c r="F189" s="171"/>
      <c r="G189" s="171"/>
      <c r="H189" s="171"/>
      <c r="I189" s="171" t="s">
        <v>73</v>
      </c>
      <c r="J189" s="171"/>
      <c r="K189" s="173" t="s">
        <v>540</v>
      </c>
      <c r="L189" s="173" t="s">
        <v>778</v>
      </c>
      <c r="M189" s="173" t="s">
        <v>174</v>
      </c>
      <c r="N189" s="174" t="s">
        <v>96</v>
      </c>
      <c r="O189" s="174" t="s">
        <v>96</v>
      </c>
      <c r="P189" s="174" t="s">
        <v>96</v>
      </c>
      <c r="Q189" s="174" t="s">
        <v>77</v>
      </c>
      <c r="R189" s="174" t="str">
        <f t="shared" si="104"/>
        <v>中等Medium</v>
      </c>
      <c r="S189" s="175" t="s">
        <v>96</v>
      </c>
      <c r="T189" s="175" t="s">
        <v>542</v>
      </c>
      <c r="U189" s="175" t="s">
        <v>176</v>
      </c>
      <c r="V189" s="171" t="s">
        <v>768</v>
      </c>
      <c r="W189" s="171" t="s">
        <v>82</v>
      </c>
      <c r="X189" s="176">
        <f t="shared" si="105"/>
        <v>0</v>
      </c>
      <c r="Y189" s="171" t="s">
        <v>177</v>
      </c>
      <c r="Z189" s="176">
        <f t="shared" si="106"/>
        <v>3</v>
      </c>
      <c r="AA189" s="171" t="s">
        <v>153</v>
      </c>
      <c r="AB189" s="176">
        <f t="shared" si="107"/>
        <v>0</v>
      </c>
      <c r="AC189" s="171" t="s">
        <v>85</v>
      </c>
      <c r="AD189" s="176">
        <f t="shared" si="108"/>
        <v>4</v>
      </c>
      <c r="AE189" s="171" t="s">
        <v>86</v>
      </c>
      <c r="AF189" s="176" cm="1">
        <f t="array" ref="AF189">IF(OR(AE189="/",AE189=""),"/",IF(ISNUMBER(SEARCH("普通",AE189)),0,IF(ISNUMBER(SEARCH("专用",AE189)),4,IF(ISNUMBER(SEARCH("定制",AE189)),7,IF(ISNUMBER(SEARCH("多个定制",AE189)),9,””)))))</f>
        <v>4</v>
      </c>
      <c r="AG189" s="176">
        <f t="shared" si="109"/>
        <v>11</v>
      </c>
      <c r="AH189" s="176" t="str">
        <f t="shared" si="110"/>
        <v>高High</v>
      </c>
      <c r="AI189" s="176" t="s">
        <v>87</v>
      </c>
      <c r="AJ189" s="176" t="str">
        <f t="shared" si="71"/>
        <v>降低
Reucing</v>
      </c>
      <c r="AK189" s="171" t="s">
        <v>543</v>
      </c>
      <c r="AL189" s="177" t="s">
        <v>544</v>
      </c>
      <c r="AM189" s="180" t="s">
        <v>329</v>
      </c>
      <c r="AN189" s="178" t="s">
        <v>181</v>
      </c>
      <c r="AO189" s="178" t="s">
        <v>182</v>
      </c>
    </row>
    <row r="190" s="116" customFormat="1" ht="17" customHeight="1" spans="1:41">
      <c r="A190" s="171">
        <v>186</v>
      </c>
      <c r="B190" s="181"/>
      <c r="C190" s="181"/>
      <c r="D190" s="181"/>
      <c r="E190" s="171"/>
      <c r="F190" s="171"/>
      <c r="G190" s="171"/>
      <c r="H190" s="171"/>
      <c r="I190" s="171"/>
      <c r="J190" s="171" t="s">
        <v>183</v>
      </c>
      <c r="K190" s="173" t="s">
        <v>145</v>
      </c>
      <c r="L190" s="173" t="s">
        <v>145</v>
      </c>
      <c r="M190" s="173" t="s">
        <v>145</v>
      </c>
      <c r="N190" s="174" t="s">
        <v>145</v>
      </c>
      <c r="O190" s="174" t="s">
        <v>145</v>
      </c>
      <c r="P190" s="174" t="s">
        <v>145</v>
      </c>
      <c r="Q190" s="174" t="s">
        <v>145</v>
      </c>
      <c r="R190" s="174" t="s">
        <v>145</v>
      </c>
      <c r="S190" s="175" t="s">
        <v>145</v>
      </c>
      <c r="T190" s="175" t="s">
        <v>145</v>
      </c>
      <c r="U190" s="175" t="s">
        <v>145</v>
      </c>
      <c r="V190" s="171" t="s">
        <v>145</v>
      </c>
      <c r="W190" s="171" t="s">
        <v>145</v>
      </c>
      <c r="X190" s="176" t="s">
        <v>145</v>
      </c>
      <c r="Y190" s="171" t="s">
        <v>145</v>
      </c>
      <c r="Z190" s="176" t="s">
        <v>145</v>
      </c>
      <c r="AA190" s="171" t="s">
        <v>145</v>
      </c>
      <c r="AB190" s="176" t="s">
        <v>145</v>
      </c>
      <c r="AC190" s="171" t="s">
        <v>145</v>
      </c>
      <c r="AD190" s="176" t="s">
        <v>145</v>
      </c>
      <c r="AE190" s="171" t="s">
        <v>145</v>
      </c>
      <c r="AF190" s="176" t="str" cm="1">
        <f t="array" ref="AF190">IF(OR(AE190="/",AE190=""),"/",IF(ISNUMBER(SEARCH("普通",AE190)),0,IF(ISNUMBER(SEARCH("专用",AE190)),4,IF(ISNUMBER(SEARCH("定制",AE190)),7,IF(ISNUMBER(SEARCH("多个定制",AE190)),9,””)))))</f>
        <v>/</v>
      </c>
      <c r="AG190" s="176" t="s">
        <v>145</v>
      </c>
      <c r="AH190" s="176" t="s">
        <v>145</v>
      </c>
      <c r="AI190" s="176" t="s">
        <v>145</v>
      </c>
      <c r="AJ190" s="176" t="str">
        <f t="shared" si="71"/>
        <v>/</v>
      </c>
      <c r="AK190" s="171" t="s">
        <v>145</v>
      </c>
      <c r="AL190" s="177" t="s">
        <v>145</v>
      </c>
      <c r="AM190" s="177" t="s">
        <v>145</v>
      </c>
      <c r="AN190" s="177" t="s">
        <v>145</v>
      </c>
      <c r="AO190" s="177" t="s">
        <v>145</v>
      </c>
    </row>
    <row r="191" s="116" customFormat="1" ht="17" customHeight="1" spans="1:41">
      <c r="A191" s="171">
        <v>187</v>
      </c>
      <c r="B191" s="172" t="s">
        <v>779</v>
      </c>
      <c r="C191" s="171" t="s">
        <v>71</v>
      </c>
      <c r="D191" s="173" t="s">
        <v>780</v>
      </c>
      <c r="E191" s="171" t="s">
        <v>73</v>
      </c>
      <c r="F191" s="171"/>
      <c r="G191" s="171"/>
      <c r="H191" s="171"/>
      <c r="I191" s="171"/>
      <c r="J191" s="171"/>
      <c r="K191" s="173" t="s">
        <v>509</v>
      </c>
      <c r="L191" s="173" t="s">
        <v>781</v>
      </c>
      <c r="M191" s="173" t="s">
        <v>76</v>
      </c>
      <c r="N191" s="174" t="s">
        <v>77</v>
      </c>
      <c r="O191" s="174" t="s">
        <v>77</v>
      </c>
      <c r="P191" s="174" t="s">
        <v>96</v>
      </c>
      <c r="Q191" s="174" t="s">
        <v>77</v>
      </c>
      <c r="R191" s="174" t="s">
        <v>96</v>
      </c>
      <c r="S191" s="171" t="s">
        <v>96</v>
      </c>
      <c r="T191" s="175" t="s">
        <v>511</v>
      </c>
      <c r="U191" s="175" t="s">
        <v>80</v>
      </c>
      <c r="V191" s="171" t="s">
        <v>782</v>
      </c>
      <c r="W191" s="171" t="s">
        <v>82</v>
      </c>
      <c r="X191" s="176">
        <f t="shared" ref="X191:X197" si="111">IF(OR(W191="/",W191=""),"/",IF(ISNUMBER(SEARCH("1天",W191)),0,IF(ISNUMBER(SEARCH("一周",W191)),1,IF(ISNUMBER(SEARCH("1个月",W191)),4,IF(ISNUMBER(SEARCH("超过",W191)),19,IF(ISNUMBER(SEARCH("6个月",W191)),17,""))))))</f>
        <v>0</v>
      </c>
      <c r="Y191" s="171" t="s">
        <v>83</v>
      </c>
      <c r="Z191" s="176">
        <f t="shared" ref="Z191:Z197" si="112">IF(OR(Y191="/",Y191=""),"/",IF(ISNUMBER(SEARCH("新手",Y191)),0,IF(ISNUMBER(SEARCH("熟练",Y191)),3,IF(ISNUMBER(SEARCH("多位",Y191)),17,IF(ISNUMBER(SEARCH("专家",Y191)),6,"")))))</f>
        <v>6</v>
      </c>
      <c r="AA191" s="171" t="s">
        <v>84</v>
      </c>
      <c r="AB191" s="176">
        <f t="shared" ref="AB191:AB197" si="113">IF(OR(AA191="/",AA191=""),"/",IF(ISNUMBER(SEARCH("公开",AA191)),0,IF(ISNUMBER(SEARCH("限制性信息",AA191)),3,IF(ISNUMBER(SEARCH("机密信息",AA191)),7,IF(ISNUMBER(SEARCH("严格保密",AA191)),11,"")))))</f>
        <v>3</v>
      </c>
      <c r="AC191" s="171" t="s">
        <v>85</v>
      </c>
      <c r="AD191" s="176">
        <f t="shared" ref="AD191:AD197" si="114">IF(OR(AC191="/",AC191=""),"/",IF(ISNUMBER(SEARCH("无限制",AC191)),0,IF(ISNUMBER(SEARCH("容易",AC191)),1,IF(ISNUMBER(SEARCH("一般",AC191)),4,IF(ISNUMBER(SEARCH("困难",AC191)),10,"")))))</f>
        <v>4</v>
      </c>
      <c r="AE191" s="171" t="s">
        <v>86</v>
      </c>
      <c r="AF191" s="176" cm="1">
        <f t="array" ref="AF191">IF(OR(AE191="/",AE191=""),"/",IF(ISNUMBER(SEARCH("普通",AE191)),0,IF(ISNUMBER(SEARCH("专用",AE191)),4,IF(ISNUMBER(SEARCH("定制",AE191)),7,IF(ISNUMBER(SEARCH("多个定制",AE191)),9,””)))))</f>
        <v>4</v>
      </c>
      <c r="AG191" s="176">
        <f t="shared" ref="AG191:AG197" si="115">IF(OR(X191="/",Z191="/",AB191="/",AD191="/",AF191="/"),"/",X191+Z191+AB191+AD191+AF191)</f>
        <v>17</v>
      </c>
      <c r="AH191" s="176" t="str">
        <f t="shared" ref="AH191:AH197" si="116">IF(AND(AG191&gt;=0,AG191&lt;14),"高High",IF(AND(AG191&gt;=14,AG191&lt;20),"中Medium",IF(AND(AG191&gt;=20,AG191&lt;25),"低Low",IF(AND(AG191&gt;=25,AG191&lt;57),"非常低Very low",""))))</f>
        <v>中Medium</v>
      </c>
      <c r="AI191" s="176" t="s">
        <v>144</v>
      </c>
      <c r="AJ191" s="176" t="str">
        <f t="shared" si="71"/>
        <v>保留
Retaining</v>
      </c>
      <c r="AK191" s="171" t="s">
        <v>145</v>
      </c>
      <c r="AL191" s="177" t="s">
        <v>145</v>
      </c>
      <c r="AM191" s="180" t="s">
        <v>90</v>
      </c>
      <c r="AN191" s="178" t="s">
        <v>91</v>
      </c>
      <c r="AO191" s="178" t="s">
        <v>92</v>
      </c>
    </row>
    <row r="192" s="116" customFormat="1" ht="17" customHeight="1" spans="1:41">
      <c r="A192" s="171">
        <v>188</v>
      </c>
      <c r="B192" s="179"/>
      <c r="C192" s="179"/>
      <c r="D192" s="179"/>
      <c r="E192" s="171" t="s">
        <v>73</v>
      </c>
      <c r="F192" s="171"/>
      <c r="G192" s="171"/>
      <c r="H192" s="171"/>
      <c r="I192" s="171"/>
      <c r="J192" s="171"/>
      <c r="K192" s="173" t="s">
        <v>515</v>
      </c>
      <c r="L192" s="173" t="s">
        <v>783</v>
      </c>
      <c r="M192" s="173" t="s">
        <v>106</v>
      </c>
      <c r="N192" s="174" t="s">
        <v>77</v>
      </c>
      <c r="O192" s="174" t="s">
        <v>77</v>
      </c>
      <c r="P192" s="174" t="s">
        <v>96</v>
      </c>
      <c r="Q192" s="174" t="s">
        <v>96</v>
      </c>
      <c r="R192" s="174" t="s">
        <v>96</v>
      </c>
      <c r="S192" s="171" t="s">
        <v>96</v>
      </c>
      <c r="T192" s="175" t="s">
        <v>517</v>
      </c>
      <c r="U192" s="175" t="s">
        <v>109</v>
      </c>
      <c r="V192" s="171" t="s">
        <v>784</v>
      </c>
      <c r="W192" s="171" t="s">
        <v>111</v>
      </c>
      <c r="X192" s="176">
        <f t="shared" si="111"/>
        <v>1</v>
      </c>
      <c r="Y192" s="171" t="s">
        <v>83</v>
      </c>
      <c r="Z192" s="176">
        <f t="shared" si="112"/>
        <v>6</v>
      </c>
      <c r="AA192" s="171" t="s">
        <v>84</v>
      </c>
      <c r="AB192" s="176">
        <f t="shared" si="113"/>
        <v>3</v>
      </c>
      <c r="AC192" s="171" t="s">
        <v>85</v>
      </c>
      <c r="AD192" s="176">
        <f t="shared" si="114"/>
        <v>4</v>
      </c>
      <c r="AE192" s="171" t="s">
        <v>143</v>
      </c>
      <c r="AF192" s="176" cm="1">
        <f t="array" ref="AF192">IF(OR(AE192="/",AE192=""),"/",IF(ISNUMBER(SEARCH("普通",AE192)),0,IF(ISNUMBER(SEARCH("专用",AE192)),4,IF(ISNUMBER(SEARCH("定制",AE192)),7,IF(ISNUMBER(SEARCH("多个定制",AE192)),9,””)))))</f>
        <v>7</v>
      </c>
      <c r="AG192" s="176">
        <f t="shared" si="115"/>
        <v>21</v>
      </c>
      <c r="AH192" s="176" t="str">
        <f t="shared" si="116"/>
        <v>低Low</v>
      </c>
      <c r="AI192" s="176" t="s">
        <v>144</v>
      </c>
      <c r="AJ192" s="176" t="str">
        <f t="shared" si="71"/>
        <v>保留
Retaining</v>
      </c>
      <c r="AK192" s="171" t="s">
        <v>145</v>
      </c>
      <c r="AL192" s="177" t="s">
        <v>145</v>
      </c>
      <c r="AM192" s="180" t="s">
        <v>115</v>
      </c>
      <c r="AN192" s="178" t="s">
        <v>116</v>
      </c>
      <c r="AO192" s="178" t="s">
        <v>117</v>
      </c>
    </row>
    <row r="193" s="116" customFormat="1" ht="17" customHeight="1" spans="1:41">
      <c r="A193" s="171">
        <v>189</v>
      </c>
      <c r="B193" s="179"/>
      <c r="C193" s="179"/>
      <c r="D193" s="179"/>
      <c r="E193" s="171"/>
      <c r="F193" s="171" t="s">
        <v>73</v>
      </c>
      <c r="G193" s="171"/>
      <c r="H193" s="171"/>
      <c r="I193" s="171"/>
      <c r="J193" s="171"/>
      <c r="K193" s="173" t="s">
        <v>521</v>
      </c>
      <c r="L193" s="173" t="s">
        <v>785</v>
      </c>
      <c r="M193" s="173" t="s">
        <v>120</v>
      </c>
      <c r="N193" s="174" t="s">
        <v>77</v>
      </c>
      <c r="O193" s="174" t="s">
        <v>96</v>
      </c>
      <c r="P193" s="174" t="s">
        <v>96</v>
      </c>
      <c r="Q193" s="174" t="s">
        <v>77</v>
      </c>
      <c r="R193" s="174" t="s">
        <v>96</v>
      </c>
      <c r="S193" s="171" t="s">
        <v>96</v>
      </c>
      <c r="T193" s="175" t="s">
        <v>523</v>
      </c>
      <c r="U193" s="175" t="s">
        <v>786</v>
      </c>
      <c r="V193" s="171" t="s">
        <v>782</v>
      </c>
      <c r="W193" s="171" t="s">
        <v>82</v>
      </c>
      <c r="X193" s="176">
        <f t="shared" si="111"/>
        <v>0</v>
      </c>
      <c r="Y193" s="171" t="s">
        <v>83</v>
      </c>
      <c r="Z193" s="176">
        <f t="shared" si="112"/>
        <v>6</v>
      </c>
      <c r="AA193" s="171" t="s">
        <v>84</v>
      </c>
      <c r="AB193" s="176">
        <f t="shared" si="113"/>
        <v>3</v>
      </c>
      <c r="AC193" s="171" t="s">
        <v>85</v>
      </c>
      <c r="AD193" s="176">
        <f t="shared" si="114"/>
        <v>4</v>
      </c>
      <c r="AE193" s="171" t="s">
        <v>86</v>
      </c>
      <c r="AF193" s="176" cm="1">
        <f t="array" ref="AF193">IF(OR(AE193="/",AE193=""),"/",IF(ISNUMBER(SEARCH("普通",AE193)),0,IF(ISNUMBER(SEARCH("专用",AE193)),4,IF(ISNUMBER(SEARCH("定制",AE193)),7,IF(ISNUMBER(SEARCH("多个定制",AE193)),9,””)))))</f>
        <v>4</v>
      </c>
      <c r="AG193" s="176">
        <f t="shared" si="115"/>
        <v>17</v>
      </c>
      <c r="AH193" s="176" t="str">
        <f t="shared" si="116"/>
        <v>中Medium</v>
      </c>
      <c r="AI193" s="176" t="s">
        <v>144</v>
      </c>
      <c r="AJ193" s="176" t="str">
        <f t="shared" si="71"/>
        <v>保留
Retaining</v>
      </c>
      <c r="AK193" s="171" t="s">
        <v>145</v>
      </c>
      <c r="AL193" s="177" t="s">
        <v>145</v>
      </c>
      <c r="AM193" s="180" t="s">
        <v>125</v>
      </c>
      <c r="AN193" s="178" t="s">
        <v>126</v>
      </c>
      <c r="AO193" s="178" t="s">
        <v>127</v>
      </c>
    </row>
    <row r="194" s="116" customFormat="1" ht="17" customHeight="1" spans="1:41">
      <c r="A194" s="171">
        <v>190</v>
      </c>
      <c r="B194" s="179"/>
      <c r="C194" s="179"/>
      <c r="D194" s="179"/>
      <c r="E194" s="171"/>
      <c r="F194" s="171" t="s">
        <v>73</v>
      </c>
      <c r="G194" s="171"/>
      <c r="H194" s="171"/>
      <c r="I194" s="171"/>
      <c r="J194" s="171"/>
      <c r="K194" s="173" t="s">
        <v>527</v>
      </c>
      <c r="L194" s="173" t="s">
        <v>787</v>
      </c>
      <c r="M194" s="173" t="s">
        <v>120</v>
      </c>
      <c r="N194" s="174" t="s">
        <v>96</v>
      </c>
      <c r="O194" s="174" t="s">
        <v>96</v>
      </c>
      <c r="P194" s="174" t="s">
        <v>96</v>
      </c>
      <c r="Q194" s="174" t="s">
        <v>77</v>
      </c>
      <c r="R194" s="174" t="s">
        <v>96</v>
      </c>
      <c r="S194" s="171" t="s">
        <v>96</v>
      </c>
      <c r="T194" s="175" t="s">
        <v>529</v>
      </c>
      <c r="U194" s="175" t="s">
        <v>788</v>
      </c>
      <c r="V194" s="171" t="s">
        <v>782</v>
      </c>
      <c r="W194" s="171" t="s">
        <v>111</v>
      </c>
      <c r="X194" s="176">
        <f t="shared" si="111"/>
        <v>1</v>
      </c>
      <c r="Y194" s="171" t="s">
        <v>83</v>
      </c>
      <c r="Z194" s="176">
        <f t="shared" si="112"/>
        <v>6</v>
      </c>
      <c r="AA194" s="171" t="s">
        <v>84</v>
      </c>
      <c r="AB194" s="176">
        <f t="shared" si="113"/>
        <v>3</v>
      </c>
      <c r="AC194" s="171" t="s">
        <v>85</v>
      </c>
      <c r="AD194" s="176">
        <f t="shared" si="114"/>
        <v>4</v>
      </c>
      <c r="AE194" s="171" t="s">
        <v>86</v>
      </c>
      <c r="AF194" s="176" cm="1">
        <f t="array" ref="AF194">IF(OR(AE194="/",AE194=""),"/",IF(ISNUMBER(SEARCH("普通",AE194)),0,IF(ISNUMBER(SEARCH("专用",AE194)),4,IF(ISNUMBER(SEARCH("定制",AE194)),7,IF(ISNUMBER(SEARCH("多个定制",AE194)),9,””)))))</f>
        <v>4</v>
      </c>
      <c r="AG194" s="176">
        <f t="shared" si="115"/>
        <v>18</v>
      </c>
      <c r="AH194" s="176" t="str">
        <f t="shared" si="116"/>
        <v>中Medium</v>
      </c>
      <c r="AI194" s="176" t="s">
        <v>144</v>
      </c>
      <c r="AJ194" s="176" t="str">
        <f t="shared" si="71"/>
        <v>保留
Retaining</v>
      </c>
      <c r="AK194" s="171" t="s">
        <v>145</v>
      </c>
      <c r="AL194" s="177" t="s">
        <v>145</v>
      </c>
      <c r="AM194" s="180" t="s">
        <v>134</v>
      </c>
      <c r="AN194" s="178" t="s">
        <v>135</v>
      </c>
      <c r="AO194" s="178" t="s">
        <v>136</v>
      </c>
    </row>
    <row r="195" s="116" customFormat="1" ht="17" customHeight="1" spans="1:41">
      <c r="A195" s="171">
        <v>191</v>
      </c>
      <c r="B195" s="179"/>
      <c r="C195" s="179"/>
      <c r="D195" s="179"/>
      <c r="E195" s="171"/>
      <c r="F195" s="171"/>
      <c r="G195" s="171" t="s">
        <v>73</v>
      </c>
      <c r="H195" s="171"/>
      <c r="I195" s="171"/>
      <c r="J195" s="171"/>
      <c r="K195" s="173" t="s">
        <v>533</v>
      </c>
      <c r="L195" s="173" t="s">
        <v>789</v>
      </c>
      <c r="M195" s="173" t="s">
        <v>150</v>
      </c>
      <c r="N195" s="174" t="s">
        <v>96</v>
      </c>
      <c r="O195" s="174" t="s">
        <v>96</v>
      </c>
      <c r="P195" s="174" t="s">
        <v>96</v>
      </c>
      <c r="Q195" s="174" t="s">
        <v>77</v>
      </c>
      <c r="R195" s="174" t="str">
        <f>IF(OR(N195="严重Severe",O195="严重Severe",P195="严重Severe",Q195="严重Severe"),"严重Severe",IF(OR(N195="主要Major",O195="主要Major",P195="主要Major",Q195="主要Major"),"主要Major",IF(OR(N195="中等Medium",O195="中等Medium",P195="中等Medium",Q195="中等Medium"),"中等Medium",IF(OR(N195="可忽略不计Negligible",O195="可忽略不计Negligible",P195="可忽略不计Negligible",Q195="可忽略不计Negligible"),"可忽略不计Negligible","/"))))</f>
        <v>中等Medium</v>
      </c>
      <c r="S195" s="175" t="s">
        <v>96</v>
      </c>
      <c r="T195" s="175" t="s">
        <v>535</v>
      </c>
      <c r="U195" s="175" t="s">
        <v>152</v>
      </c>
      <c r="V195" s="171" t="s">
        <v>782</v>
      </c>
      <c r="W195" s="171" t="s">
        <v>82</v>
      </c>
      <c r="X195" s="176">
        <f t="shared" si="111"/>
        <v>0</v>
      </c>
      <c r="Y195" s="171" t="s">
        <v>83</v>
      </c>
      <c r="Z195" s="176">
        <f t="shared" si="112"/>
        <v>6</v>
      </c>
      <c r="AA195" s="171" t="s">
        <v>153</v>
      </c>
      <c r="AB195" s="176">
        <f t="shared" si="113"/>
        <v>0</v>
      </c>
      <c r="AC195" s="171" t="s">
        <v>85</v>
      </c>
      <c r="AD195" s="176">
        <f t="shared" si="114"/>
        <v>4</v>
      </c>
      <c r="AE195" s="171" t="s">
        <v>143</v>
      </c>
      <c r="AF195" s="176" cm="1">
        <f t="array" ref="AF195">IF(OR(AE195="/",AE195=""),"/",IF(ISNUMBER(SEARCH("普通",AE195)),0,IF(ISNUMBER(SEARCH("专用",AE195)),4,IF(ISNUMBER(SEARCH("定制",AE195)),7,IF(ISNUMBER(SEARCH("多个定制",AE195)),9,””)))))</f>
        <v>7</v>
      </c>
      <c r="AG195" s="176">
        <f t="shared" si="115"/>
        <v>17</v>
      </c>
      <c r="AH195" s="176" t="str">
        <f t="shared" si="116"/>
        <v>中Medium</v>
      </c>
      <c r="AI195" s="176" t="s">
        <v>144</v>
      </c>
      <c r="AJ195" s="176" t="str">
        <f t="shared" si="71"/>
        <v>保留
Retaining</v>
      </c>
      <c r="AK195" s="171" t="s">
        <v>145</v>
      </c>
      <c r="AL195" s="177" t="s">
        <v>145</v>
      </c>
      <c r="AM195" s="171" t="s">
        <v>145</v>
      </c>
      <c r="AN195" s="178" t="s">
        <v>280</v>
      </c>
      <c r="AO195" s="178" t="s">
        <v>281</v>
      </c>
    </row>
    <row r="196" s="116" customFormat="1" ht="17" customHeight="1" spans="1:41">
      <c r="A196" s="171">
        <v>192</v>
      </c>
      <c r="B196" s="179"/>
      <c r="C196" s="179"/>
      <c r="D196" s="179"/>
      <c r="E196" s="171"/>
      <c r="F196" s="171"/>
      <c r="G196" s="171"/>
      <c r="H196" s="171" t="s">
        <v>73</v>
      </c>
      <c r="I196" s="171"/>
      <c r="J196" s="171"/>
      <c r="K196" s="173" t="s">
        <v>536</v>
      </c>
      <c r="L196" s="173" t="s">
        <v>790</v>
      </c>
      <c r="M196" s="173" t="s">
        <v>166</v>
      </c>
      <c r="N196" s="174" t="s">
        <v>96</v>
      </c>
      <c r="O196" s="174" t="s">
        <v>96</v>
      </c>
      <c r="P196" s="174" t="s">
        <v>96</v>
      </c>
      <c r="Q196" s="174" t="s">
        <v>77</v>
      </c>
      <c r="R196" s="174" t="str">
        <f>IF(OR(N196="严重Severe",O196="严重Severe",P196="严重Severe",Q196="严重Severe"),"严重Severe",IF(OR(N196="主要Major",O196="主要Major",P196="主要Major",Q196="主要Major"),"主要Major",IF(OR(N196="中等Medium",O196="中等Medium",P196="中等Medium",Q196="中等Medium"),"中等Medium",IF(OR(N196="可忽略不计Negligible",O196="可忽略不计Negligible",P196="可忽略不计Negligible",Q196="可忽略不计Negligible"),"可忽略不计Negligible","/"))))</f>
        <v>中等Medium</v>
      </c>
      <c r="S196" s="171" t="s">
        <v>96</v>
      </c>
      <c r="T196" s="175" t="s">
        <v>538</v>
      </c>
      <c r="U196" s="175" t="s">
        <v>791</v>
      </c>
      <c r="V196" s="171" t="s">
        <v>782</v>
      </c>
      <c r="W196" s="171" t="s">
        <v>82</v>
      </c>
      <c r="X196" s="176">
        <f t="shared" si="111"/>
        <v>0</v>
      </c>
      <c r="Y196" s="171" t="s">
        <v>83</v>
      </c>
      <c r="Z196" s="176">
        <f t="shared" si="112"/>
        <v>6</v>
      </c>
      <c r="AA196" s="171" t="s">
        <v>84</v>
      </c>
      <c r="AB196" s="176">
        <f t="shared" si="113"/>
        <v>3</v>
      </c>
      <c r="AC196" s="171" t="s">
        <v>85</v>
      </c>
      <c r="AD196" s="176">
        <f t="shared" si="114"/>
        <v>4</v>
      </c>
      <c r="AE196" s="171" t="s">
        <v>86</v>
      </c>
      <c r="AF196" s="176" cm="1">
        <f t="array" ref="AF196">IF(OR(AE196="/",AE196=""),"/",IF(ISNUMBER(SEARCH("普通",AE196)),0,IF(ISNUMBER(SEARCH("专用",AE196)),4,IF(ISNUMBER(SEARCH("定制",AE196)),7,IF(ISNUMBER(SEARCH("多个定制",AE196)),9,””)))))</f>
        <v>4</v>
      </c>
      <c r="AG196" s="176">
        <f t="shared" si="115"/>
        <v>17</v>
      </c>
      <c r="AH196" s="176" t="str">
        <f t="shared" si="116"/>
        <v>中Medium</v>
      </c>
      <c r="AI196" s="176" t="s">
        <v>144</v>
      </c>
      <c r="AJ196" s="176" t="str">
        <f t="shared" si="71"/>
        <v>保留
Retaining</v>
      </c>
      <c r="AK196" s="171" t="s">
        <v>145</v>
      </c>
      <c r="AL196" s="177" t="s">
        <v>145</v>
      </c>
      <c r="AM196" s="180" t="s">
        <v>316</v>
      </c>
      <c r="AN196" s="178" t="s">
        <v>317</v>
      </c>
      <c r="AO196" s="178" t="s">
        <v>318</v>
      </c>
    </row>
    <row r="197" s="116" customFormat="1" ht="17" customHeight="1" spans="1:41">
      <c r="A197" s="171">
        <v>193</v>
      </c>
      <c r="B197" s="179"/>
      <c r="C197" s="179"/>
      <c r="D197" s="179"/>
      <c r="E197" s="171"/>
      <c r="F197" s="171"/>
      <c r="G197" s="171"/>
      <c r="H197" s="171"/>
      <c r="I197" s="171" t="s">
        <v>73</v>
      </c>
      <c r="J197" s="171"/>
      <c r="K197" s="173" t="s">
        <v>540</v>
      </c>
      <c r="L197" s="173" t="s">
        <v>792</v>
      </c>
      <c r="M197" s="173" t="s">
        <v>174</v>
      </c>
      <c r="N197" s="174" t="s">
        <v>96</v>
      </c>
      <c r="O197" s="174" t="s">
        <v>96</v>
      </c>
      <c r="P197" s="174" t="s">
        <v>96</v>
      </c>
      <c r="Q197" s="174" t="s">
        <v>77</v>
      </c>
      <c r="R197" s="174" t="s">
        <v>96</v>
      </c>
      <c r="S197" s="171" t="s">
        <v>96</v>
      </c>
      <c r="T197" s="175" t="s">
        <v>542</v>
      </c>
      <c r="U197" s="175" t="s">
        <v>176</v>
      </c>
      <c r="V197" s="171" t="s">
        <v>782</v>
      </c>
      <c r="W197" s="171" t="s">
        <v>82</v>
      </c>
      <c r="X197" s="176">
        <f t="shared" si="111"/>
        <v>0</v>
      </c>
      <c r="Y197" s="171" t="s">
        <v>177</v>
      </c>
      <c r="Z197" s="176">
        <f t="shared" si="112"/>
        <v>3</v>
      </c>
      <c r="AA197" s="171" t="s">
        <v>153</v>
      </c>
      <c r="AB197" s="176">
        <f t="shared" si="113"/>
        <v>0</v>
      </c>
      <c r="AC197" s="171" t="s">
        <v>85</v>
      </c>
      <c r="AD197" s="176">
        <f t="shared" si="114"/>
        <v>4</v>
      </c>
      <c r="AE197" s="171" t="s">
        <v>86</v>
      </c>
      <c r="AF197" s="176" cm="1">
        <f t="array" ref="AF197">IF(OR(AE197="/",AE197=""),"/",IF(ISNUMBER(SEARCH("普通",AE197)),0,IF(ISNUMBER(SEARCH("专用",AE197)),4,IF(ISNUMBER(SEARCH("定制",AE197)),7,IF(ISNUMBER(SEARCH("多个定制",AE197)),9,””)))))</f>
        <v>4</v>
      </c>
      <c r="AG197" s="176">
        <f t="shared" si="115"/>
        <v>11</v>
      </c>
      <c r="AH197" s="176" t="str">
        <f t="shared" si="116"/>
        <v>高High</v>
      </c>
      <c r="AI197" s="176" t="s">
        <v>144</v>
      </c>
      <c r="AJ197" s="176" t="str">
        <f t="shared" si="71"/>
        <v>保留
Retaining</v>
      </c>
      <c r="AK197" s="171" t="s">
        <v>145</v>
      </c>
      <c r="AL197" s="177" t="s">
        <v>145</v>
      </c>
      <c r="AM197" s="180" t="s">
        <v>329</v>
      </c>
      <c r="AN197" s="178" t="s">
        <v>181</v>
      </c>
      <c r="AO197" s="178" t="s">
        <v>182</v>
      </c>
    </row>
    <row r="198" s="116" customFormat="1" ht="17" customHeight="1" spans="1:41">
      <c r="A198" s="171">
        <v>194</v>
      </c>
      <c r="B198" s="181"/>
      <c r="C198" s="181"/>
      <c r="D198" s="181"/>
      <c r="E198" s="171"/>
      <c r="F198" s="171"/>
      <c r="G198" s="171"/>
      <c r="H198" s="171"/>
      <c r="I198" s="171"/>
      <c r="J198" s="171" t="s">
        <v>183</v>
      </c>
      <c r="K198" s="173" t="s">
        <v>145</v>
      </c>
      <c r="L198" s="173" t="s">
        <v>145</v>
      </c>
      <c r="M198" s="173" t="s">
        <v>145</v>
      </c>
      <c r="N198" s="174" t="s">
        <v>145</v>
      </c>
      <c r="O198" s="174" t="s">
        <v>145</v>
      </c>
      <c r="P198" s="174" t="s">
        <v>145</v>
      </c>
      <c r="Q198" s="174" t="s">
        <v>145</v>
      </c>
      <c r="R198" s="174" t="s">
        <v>145</v>
      </c>
      <c r="S198" s="175" t="s">
        <v>145</v>
      </c>
      <c r="T198" s="175" t="s">
        <v>145</v>
      </c>
      <c r="U198" s="175" t="s">
        <v>145</v>
      </c>
      <c r="V198" s="171" t="s">
        <v>145</v>
      </c>
      <c r="W198" s="171" t="s">
        <v>145</v>
      </c>
      <c r="X198" s="176" t="s">
        <v>145</v>
      </c>
      <c r="Y198" s="171" t="s">
        <v>145</v>
      </c>
      <c r="Z198" s="176" t="s">
        <v>145</v>
      </c>
      <c r="AA198" s="171" t="s">
        <v>145</v>
      </c>
      <c r="AB198" s="176" t="s">
        <v>145</v>
      </c>
      <c r="AC198" s="171" t="s">
        <v>145</v>
      </c>
      <c r="AD198" s="176" t="s">
        <v>145</v>
      </c>
      <c r="AE198" s="171" t="s">
        <v>145</v>
      </c>
      <c r="AF198" s="176" t="str" cm="1">
        <f t="array" ref="AF198">IF(OR(AE198="/",AE198=""),"/",IF(ISNUMBER(SEARCH("普通",AE198)),0,IF(ISNUMBER(SEARCH("专用",AE198)),4,IF(ISNUMBER(SEARCH("定制",AE198)),7,IF(ISNUMBER(SEARCH("多个定制",AE198)),9,””)))))</f>
        <v>/</v>
      </c>
      <c r="AG198" s="176" t="s">
        <v>145</v>
      </c>
      <c r="AH198" s="176" t="s">
        <v>145</v>
      </c>
      <c r="AI198" s="176" t="s">
        <v>145</v>
      </c>
      <c r="AJ198" s="176" t="str">
        <f t="shared" si="71"/>
        <v>/</v>
      </c>
      <c r="AK198" s="171" t="s">
        <v>145</v>
      </c>
      <c r="AL198" s="177" t="s">
        <v>145</v>
      </c>
      <c r="AM198" s="177" t="s">
        <v>145</v>
      </c>
      <c r="AN198" s="177" t="s">
        <v>145</v>
      </c>
      <c r="AO198" s="177" t="s">
        <v>145</v>
      </c>
    </row>
    <row r="199" s="116" customFormat="1" ht="17" customHeight="1" spans="1:41">
      <c r="A199" s="171">
        <v>195</v>
      </c>
      <c r="B199" s="172" t="s">
        <v>793</v>
      </c>
      <c r="C199" s="171" t="s">
        <v>71</v>
      </c>
      <c r="D199" s="173" t="s">
        <v>794</v>
      </c>
      <c r="E199" s="171" t="s">
        <v>73</v>
      </c>
      <c r="F199" s="171"/>
      <c r="G199" s="171"/>
      <c r="H199" s="171"/>
      <c r="I199" s="171"/>
      <c r="J199" s="171"/>
      <c r="K199" s="173" t="s">
        <v>509</v>
      </c>
      <c r="L199" s="173" t="s">
        <v>795</v>
      </c>
      <c r="M199" s="173" t="s">
        <v>76</v>
      </c>
      <c r="N199" s="174" t="s">
        <v>77</v>
      </c>
      <c r="O199" s="174" t="s">
        <v>77</v>
      </c>
      <c r="P199" s="174" t="s">
        <v>96</v>
      </c>
      <c r="Q199" s="174" t="s">
        <v>77</v>
      </c>
      <c r="R199" s="174" t="s">
        <v>96</v>
      </c>
      <c r="S199" s="171" t="s">
        <v>96</v>
      </c>
      <c r="T199" s="175" t="s">
        <v>511</v>
      </c>
      <c r="U199" s="175" t="s">
        <v>80</v>
      </c>
      <c r="V199" s="171" t="s">
        <v>796</v>
      </c>
      <c r="W199" s="171" t="s">
        <v>82</v>
      </c>
      <c r="X199" s="176">
        <f t="shared" ref="X199:X205" si="117">IF(OR(W199="/",W199=""),"/",IF(ISNUMBER(SEARCH("1天",W199)),0,IF(ISNUMBER(SEARCH("一周",W199)),1,IF(ISNUMBER(SEARCH("1个月",W199)),4,IF(ISNUMBER(SEARCH("超过",W199)),19,IF(ISNUMBER(SEARCH("6个月",W199)),17,""))))))</f>
        <v>0</v>
      </c>
      <c r="Y199" s="171" t="s">
        <v>83</v>
      </c>
      <c r="Z199" s="176">
        <f t="shared" ref="Z199:Z205" si="118">IF(OR(Y199="/",Y199=""),"/",IF(ISNUMBER(SEARCH("新手",Y199)),0,IF(ISNUMBER(SEARCH("熟练",Y199)),3,IF(ISNUMBER(SEARCH("多位",Y199)),17,IF(ISNUMBER(SEARCH("专家",Y199)),6,"")))))</f>
        <v>6</v>
      </c>
      <c r="AA199" s="171" t="s">
        <v>84</v>
      </c>
      <c r="AB199" s="176">
        <f t="shared" ref="AB199:AB205" si="119">IF(OR(AA199="/",AA199=""),"/",IF(ISNUMBER(SEARCH("公开",AA199)),0,IF(ISNUMBER(SEARCH("限制性信息",AA199)),3,IF(ISNUMBER(SEARCH("机密信息",AA199)),7,IF(ISNUMBER(SEARCH("严格保密",AA199)),11,"")))))</f>
        <v>3</v>
      </c>
      <c r="AC199" s="171" t="s">
        <v>85</v>
      </c>
      <c r="AD199" s="176">
        <f t="shared" ref="AD199:AD205" si="120">IF(OR(AC199="/",AC199=""),"/",IF(ISNUMBER(SEARCH("无限制",AC199)),0,IF(ISNUMBER(SEARCH("容易",AC199)),1,IF(ISNUMBER(SEARCH("一般",AC199)),4,IF(ISNUMBER(SEARCH("困难",AC199)),10,"")))))</f>
        <v>4</v>
      </c>
      <c r="AE199" s="171" t="s">
        <v>86</v>
      </c>
      <c r="AF199" s="176" cm="1">
        <f t="array" ref="AF199">IF(OR(AE199="/",AE199=""),"/",IF(ISNUMBER(SEARCH("普通",AE199)),0,IF(ISNUMBER(SEARCH("专用",AE199)),4,IF(ISNUMBER(SEARCH("定制",AE199)),7,IF(ISNUMBER(SEARCH("多个定制",AE199)),9,””)))))</f>
        <v>4</v>
      </c>
      <c r="AG199" s="176">
        <f t="shared" ref="AG199:AG205" si="121">IF(OR(X199="/",Z199="/",AB199="/",AD199="/",AF199="/"),"/",X199+Z199+AB199+AD199+AF199)</f>
        <v>17</v>
      </c>
      <c r="AH199" s="176" t="str">
        <f t="shared" ref="AH199:AH205" si="122">IF(AND(AG199&gt;=0,AG199&lt;14),"高High",IF(AND(AG199&gt;=14,AG199&lt;20),"中Medium",IF(AND(AG199&gt;=20,AG199&lt;25),"低Low",IF(AND(AG199&gt;=25,AG199&lt;57),"非常低Very low",""))))</f>
        <v>中Medium</v>
      </c>
      <c r="AI199" s="176" t="s">
        <v>144</v>
      </c>
      <c r="AJ199" s="176" t="str">
        <f t="shared" si="71"/>
        <v>保留
Retaining</v>
      </c>
      <c r="AK199" s="171" t="s">
        <v>145</v>
      </c>
      <c r="AL199" s="177" t="s">
        <v>145</v>
      </c>
      <c r="AM199" s="180" t="s">
        <v>90</v>
      </c>
      <c r="AN199" s="178" t="s">
        <v>91</v>
      </c>
      <c r="AO199" s="178" t="s">
        <v>92</v>
      </c>
    </row>
    <row r="200" s="116" customFormat="1" ht="17" customHeight="1" spans="1:41">
      <c r="A200" s="171">
        <v>196</v>
      </c>
      <c r="B200" s="179"/>
      <c r="C200" s="179"/>
      <c r="D200" s="179"/>
      <c r="E200" s="171" t="s">
        <v>73</v>
      </c>
      <c r="F200" s="171"/>
      <c r="G200" s="171"/>
      <c r="H200" s="171"/>
      <c r="I200" s="171"/>
      <c r="J200" s="171"/>
      <c r="K200" s="173" t="s">
        <v>515</v>
      </c>
      <c r="L200" s="173" t="s">
        <v>797</v>
      </c>
      <c r="M200" s="173" t="s">
        <v>106</v>
      </c>
      <c r="N200" s="174" t="s">
        <v>77</v>
      </c>
      <c r="O200" s="174" t="s">
        <v>77</v>
      </c>
      <c r="P200" s="174" t="s">
        <v>96</v>
      </c>
      <c r="Q200" s="174" t="s">
        <v>96</v>
      </c>
      <c r="R200" s="174" t="s">
        <v>96</v>
      </c>
      <c r="S200" s="171" t="s">
        <v>96</v>
      </c>
      <c r="T200" s="175" t="s">
        <v>517</v>
      </c>
      <c r="U200" s="175" t="s">
        <v>109</v>
      </c>
      <c r="V200" s="171" t="s">
        <v>798</v>
      </c>
      <c r="W200" s="171" t="s">
        <v>111</v>
      </c>
      <c r="X200" s="176">
        <f t="shared" si="117"/>
        <v>1</v>
      </c>
      <c r="Y200" s="171" t="s">
        <v>83</v>
      </c>
      <c r="Z200" s="176">
        <f t="shared" si="118"/>
        <v>6</v>
      </c>
      <c r="AA200" s="171" t="s">
        <v>84</v>
      </c>
      <c r="AB200" s="176">
        <f t="shared" si="119"/>
        <v>3</v>
      </c>
      <c r="AC200" s="171" t="s">
        <v>85</v>
      </c>
      <c r="AD200" s="176">
        <f t="shared" si="120"/>
        <v>4</v>
      </c>
      <c r="AE200" s="171" t="s">
        <v>143</v>
      </c>
      <c r="AF200" s="176" cm="1">
        <f t="array" ref="AF200">IF(OR(AE200="/",AE200=""),"/",IF(ISNUMBER(SEARCH("普通",AE200)),0,IF(ISNUMBER(SEARCH("专用",AE200)),4,IF(ISNUMBER(SEARCH("定制",AE200)),7,IF(ISNUMBER(SEARCH("多个定制",AE200)),9,””)))))</f>
        <v>7</v>
      </c>
      <c r="AG200" s="176">
        <f t="shared" si="121"/>
        <v>21</v>
      </c>
      <c r="AH200" s="176" t="str">
        <f t="shared" si="122"/>
        <v>低Low</v>
      </c>
      <c r="AI200" s="176" t="s">
        <v>144</v>
      </c>
      <c r="AJ200" s="176" t="str">
        <f t="shared" si="71"/>
        <v>保留
Retaining</v>
      </c>
      <c r="AK200" s="171" t="s">
        <v>145</v>
      </c>
      <c r="AL200" s="177" t="s">
        <v>145</v>
      </c>
      <c r="AM200" s="180" t="s">
        <v>115</v>
      </c>
      <c r="AN200" s="178" t="s">
        <v>116</v>
      </c>
      <c r="AO200" s="178" t="s">
        <v>117</v>
      </c>
    </row>
    <row r="201" s="116" customFormat="1" ht="17" customHeight="1" spans="1:41">
      <c r="A201" s="171">
        <v>197</v>
      </c>
      <c r="B201" s="179"/>
      <c r="C201" s="179"/>
      <c r="D201" s="179"/>
      <c r="E201" s="171"/>
      <c r="F201" s="171" t="s">
        <v>73</v>
      </c>
      <c r="G201" s="171"/>
      <c r="H201" s="171"/>
      <c r="I201" s="171"/>
      <c r="J201" s="171"/>
      <c r="K201" s="173" t="s">
        <v>521</v>
      </c>
      <c r="L201" s="173" t="s">
        <v>799</v>
      </c>
      <c r="M201" s="173" t="s">
        <v>120</v>
      </c>
      <c r="N201" s="174" t="s">
        <v>77</v>
      </c>
      <c r="O201" s="174" t="s">
        <v>96</v>
      </c>
      <c r="P201" s="174" t="s">
        <v>96</v>
      </c>
      <c r="Q201" s="174" t="s">
        <v>77</v>
      </c>
      <c r="R201" s="174" t="s">
        <v>96</v>
      </c>
      <c r="S201" s="171" t="s">
        <v>96</v>
      </c>
      <c r="T201" s="175" t="s">
        <v>523</v>
      </c>
      <c r="U201" s="175" t="s">
        <v>800</v>
      </c>
      <c r="V201" s="171" t="s">
        <v>796</v>
      </c>
      <c r="W201" s="171" t="s">
        <v>82</v>
      </c>
      <c r="X201" s="176">
        <f t="shared" si="117"/>
        <v>0</v>
      </c>
      <c r="Y201" s="171" t="s">
        <v>83</v>
      </c>
      <c r="Z201" s="176">
        <f t="shared" si="118"/>
        <v>6</v>
      </c>
      <c r="AA201" s="171" t="s">
        <v>84</v>
      </c>
      <c r="AB201" s="176">
        <f t="shared" si="119"/>
        <v>3</v>
      </c>
      <c r="AC201" s="171" t="s">
        <v>85</v>
      </c>
      <c r="AD201" s="176">
        <f t="shared" si="120"/>
        <v>4</v>
      </c>
      <c r="AE201" s="171" t="s">
        <v>86</v>
      </c>
      <c r="AF201" s="176" cm="1">
        <f t="array" ref="AF201">IF(OR(AE201="/",AE201=""),"/",IF(ISNUMBER(SEARCH("普通",AE201)),0,IF(ISNUMBER(SEARCH("专用",AE201)),4,IF(ISNUMBER(SEARCH("定制",AE201)),7,IF(ISNUMBER(SEARCH("多个定制",AE201)),9,””)))))</f>
        <v>4</v>
      </c>
      <c r="AG201" s="176">
        <f t="shared" si="121"/>
        <v>17</v>
      </c>
      <c r="AH201" s="176" t="str">
        <f t="shared" si="122"/>
        <v>中Medium</v>
      </c>
      <c r="AI201" s="176" t="s">
        <v>144</v>
      </c>
      <c r="AJ201" s="176" t="str">
        <f t="shared" ref="AJ201:AJ264" si="123">IF(AI201="/","/",IF(AI201="CAL3","降低"&amp;CHAR(10)&amp;"Reucing",IF(AI201="CAL4","消除"&amp;CHAR(10)&amp;"Avoiding",IF(AI201="CAL2","保留"&amp;CHAR(10)&amp;"Retaining",IF(AI201="CAL1","保留"&amp;CHAR(10)&amp;"Retaining","")))))</f>
        <v>保留
Retaining</v>
      </c>
      <c r="AK201" s="171" t="s">
        <v>145</v>
      </c>
      <c r="AL201" s="177" t="s">
        <v>145</v>
      </c>
      <c r="AM201" s="180" t="s">
        <v>125</v>
      </c>
      <c r="AN201" s="178" t="s">
        <v>126</v>
      </c>
      <c r="AO201" s="178" t="s">
        <v>127</v>
      </c>
    </row>
    <row r="202" s="116" customFormat="1" ht="17" customHeight="1" spans="1:41">
      <c r="A202" s="171">
        <v>198</v>
      </c>
      <c r="B202" s="179"/>
      <c r="C202" s="179"/>
      <c r="D202" s="179"/>
      <c r="E202" s="171"/>
      <c r="F202" s="171" t="s">
        <v>73</v>
      </c>
      <c r="G202" s="171"/>
      <c r="H202" s="171"/>
      <c r="I202" s="171"/>
      <c r="J202" s="171"/>
      <c r="K202" s="173" t="s">
        <v>527</v>
      </c>
      <c r="L202" s="173" t="s">
        <v>801</v>
      </c>
      <c r="M202" s="173" t="s">
        <v>120</v>
      </c>
      <c r="N202" s="174" t="s">
        <v>96</v>
      </c>
      <c r="O202" s="174" t="s">
        <v>96</v>
      </c>
      <c r="P202" s="174" t="s">
        <v>96</v>
      </c>
      <c r="Q202" s="174" t="s">
        <v>77</v>
      </c>
      <c r="R202" s="174" t="s">
        <v>96</v>
      </c>
      <c r="S202" s="171" t="s">
        <v>96</v>
      </c>
      <c r="T202" s="175" t="s">
        <v>529</v>
      </c>
      <c r="U202" s="175" t="s">
        <v>802</v>
      </c>
      <c r="V202" s="171" t="s">
        <v>796</v>
      </c>
      <c r="W202" s="171" t="s">
        <v>111</v>
      </c>
      <c r="X202" s="176">
        <f t="shared" si="117"/>
        <v>1</v>
      </c>
      <c r="Y202" s="171" t="s">
        <v>83</v>
      </c>
      <c r="Z202" s="176">
        <f t="shared" si="118"/>
        <v>6</v>
      </c>
      <c r="AA202" s="171" t="s">
        <v>84</v>
      </c>
      <c r="AB202" s="176">
        <f t="shared" si="119"/>
        <v>3</v>
      </c>
      <c r="AC202" s="171" t="s">
        <v>85</v>
      </c>
      <c r="AD202" s="176">
        <f t="shared" si="120"/>
        <v>4</v>
      </c>
      <c r="AE202" s="171" t="s">
        <v>86</v>
      </c>
      <c r="AF202" s="176" cm="1">
        <f t="array" ref="AF202">IF(OR(AE202="/",AE202=""),"/",IF(ISNUMBER(SEARCH("普通",AE202)),0,IF(ISNUMBER(SEARCH("专用",AE202)),4,IF(ISNUMBER(SEARCH("定制",AE202)),7,IF(ISNUMBER(SEARCH("多个定制",AE202)),9,””)))))</f>
        <v>4</v>
      </c>
      <c r="AG202" s="176">
        <f t="shared" si="121"/>
        <v>18</v>
      </c>
      <c r="AH202" s="176" t="str">
        <f t="shared" si="122"/>
        <v>中Medium</v>
      </c>
      <c r="AI202" s="176" t="s">
        <v>144</v>
      </c>
      <c r="AJ202" s="176" t="str">
        <f t="shared" si="123"/>
        <v>保留
Retaining</v>
      </c>
      <c r="AK202" s="171" t="s">
        <v>145</v>
      </c>
      <c r="AL202" s="177" t="s">
        <v>145</v>
      </c>
      <c r="AM202" s="180" t="s">
        <v>134</v>
      </c>
      <c r="AN202" s="178" t="s">
        <v>135</v>
      </c>
      <c r="AO202" s="178" t="s">
        <v>136</v>
      </c>
    </row>
    <row r="203" s="116" customFormat="1" ht="17" customHeight="1" spans="1:41">
      <c r="A203" s="171">
        <v>199</v>
      </c>
      <c r="B203" s="179"/>
      <c r="C203" s="179"/>
      <c r="D203" s="179"/>
      <c r="E203" s="171"/>
      <c r="F203" s="171"/>
      <c r="G203" s="171" t="s">
        <v>73</v>
      </c>
      <c r="H203" s="171"/>
      <c r="I203" s="171"/>
      <c r="J203" s="171"/>
      <c r="K203" s="173" t="s">
        <v>533</v>
      </c>
      <c r="L203" s="173" t="s">
        <v>803</v>
      </c>
      <c r="M203" s="173" t="s">
        <v>150</v>
      </c>
      <c r="N203" s="174" t="s">
        <v>96</v>
      </c>
      <c r="O203" s="174" t="s">
        <v>96</v>
      </c>
      <c r="P203" s="174" t="s">
        <v>96</v>
      </c>
      <c r="Q203" s="174" t="s">
        <v>77</v>
      </c>
      <c r="R203" s="174" t="str">
        <f>IF(OR(N203="严重Severe",O203="严重Severe",P203="严重Severe",Q203="严重Severe"),"严重Severe",IF(OR(N203="主要Major",O203="主要Major",P203="主要Major",Q203="主要Major"),"主要Major",IF(OR(N203="中等Medium",O203="中等Medium",P203="中等Medium",Q203="中等Medium"),"中等Medium",IF(OR(N203="可忽略不计Negligible",O203="可忽略不计Negligible",P203="可忽略不计Negligible",Q203="可忽略不计Negligible"),"可忽略不计Negligible","/"))))</f>
        <v>中等Medium</v>
      </c>
      <c r="S203" s="175" t="s">
        <v>96</v>
      </c>
      <c r="T203" s="175" t="s">
        <v>535</v>
      </c>
      <c r="U203" s="175" t="s">
        <v>152</v>
      </c>
      <c r="V203" s="171" t="s">
        <v>796</v>
      </c>
      <c r="W203" s="171" t="s">
        <v>82</v>
      </c>
      <c r="X203" s="176">
        <f t="shared" si="117"/>
        <v>0</v>
      </c>
      <c r="Y203" s="171" t="s">
        <v>83</v>
      </c>
      <c r="Z203" s="176">
        <f t="shared" si="118"/>
        <v>6</v>
      </c>
      <c r="AA203" s="171" t="s">
        <v>153</v>
      </c>
      <c r="AB203" s="176">
        <f t="shared" si="119"/>
        <v>0</v>
      </c>
      <c r="AC203" s="171" t="s">
        <v>85</v>
      </c>
      <c r="AD203" s="176">
        <f t="shared" si="120"/>
        <v>4</v>
      </c>
      <c r="AE203" s="171" t="s">
        <v>143</v>
      </c>
      <c r="AF203" s="176" cm="1">
        <f t="array" ref="AF203">IF(OR(AE203="/",AE203=""),"/",IF(ISNUMBER(SEARCH("普通",AE203)),0,IF(ISNUMBER(SEARCH("专用",AE203)),4,IF(ISNUMBER(SEARCH("定制",AE203)),7,IF(ISNUMBER(SEARCH("多个定制",AE203)),9,””)))))</f>
        <v>7</v>
      </c>
      <c r="AG203" s="176">
        <f t="shared" si="121"/>
        <v>17</v>
      </c>
      <c r="AH203" s="176" t="str">
        <f t="shared" si="122"/>
        <v>中Medium</v>
      </c>
      <c r="AI203" s="176" t="s">
        <v>144</v>
      </c>
      <c r="AJ203" s="176" t="str">
        <f t="shared" si="123"/>
        <v>保留
Retaining</v>
      </c>
      <c r="AK203" s="171" t="s">
        <v>145</v>
      </c>
      <c r="AL203" s="177" t="s">
        <v>145</v>
      </c>
      <c r="AM203" s="171" t="s">
        <v>145</v>
      </c>
      <c r="AN203" s="178" t="s">
        <v>280</v>
      </c>
      <c r="AO203" s="178" t="s">
        <v>281</v>
      </c>
    </row>
    <row r="204" s="116" customFormat="1" ht="17" customHeight="1" spans="1:41">
      <c r="A204" s="171">
        <v>200</v>
      </c>
      <c r="B204" s="179"/>
      <c r="C204" s="179"/>
      <c r="D204" s="179"/>
      <c r="E204" s="171"/>
      <c r="F204" s="171"/>
      <c r="G204" s="171"/>
      <c r="H204" s="171" t="s">
        <v>73</v>
      </c>
      <c r="I204" s="171"/>
      <c r="J204" s="171"/>
      <c r="K204" s="173" t="s">
        <v>536</v>
      </c>
      <c r="L204" s="173" t="s">
        <v>804</v>
      </c>
      <c r="M204" s="173" t="s">
        <v>166</v>
      </c>
      <c r="N204" s="174" t="s">
        <v>96</v>
      </c>
      <c r="O204" s="174" t="s">
        <v>96</v>
      </c>
      <c r="P204" s="174" t="s">
        <v>96</v>
      </c>
      <c r="Q204" s="174" t="s">
        <v>77</v>
      </c>
      <c r="R204" s="174" t="str">
        <f>IF(OR(N204="严重Severe",O204="严重Severe",P204="严重Severe",Q204="严重Severe"),"严重Severe",IF(OR(N204="主要Major",O204="主要Major",P204="主要Major",Q204="主要Major"),"主要Major",IF(OR(N204="中等Medium",O204="中等Medium",P204="中等Medium",Q204="中等Medium"),"中等Medium",IF(OR(N204="可忽略不计Negligible",O204="可忽略不计Negligible",P204="可忽略不计Negligible",Q204="可忽略不计Negligible"),"可忽略不计Negligible","/"))))</f>
        <v>中等Medium</v>
      </c>
      <c r="S204" s="171" t="s">
        <v>96</v>
      </c>
      <c r="T204" s="175" t="s">
        <v>538</v>
      </c>
      <c r="U204" s="175" t="s">
        <v>805</v>
      </c>
      <c r="V204" s="171" t="s">
        <v>796</v>
      </c>
      <c r="W204" s="171" t="s">
        <v>82</v>
      </c>
      <c r="X204" s="176">
        <f t="shared" si="117"/>
        <v>0</v>
      </c>
      <c r="Y204" s="171" t="s">
        <v>83</v>
      </c>
      <c r="Z204" s="176">
        <f t="shared" si="118"/>
        <v>6</v>
      </c>
      <c r="AA204" s="171" t="s">
        <v>84</v>
      </c>
      <c r="AB204" s="176">
        <f t="shared" si="119"/>
        <v>3</v>
      </c>
      <c r="AC204" s="171" t="s">
        <v>85</v>
      </c>
      <c r="AD204" s="176">
        <f t="shared" si="120"/>
        <v>4</v>
      </c>
      <c r="AE204" s="171" t="s">
        <v>86</v>
      </c>
      <c r="AF204" s="176" cm="1">
        <f t="array" ref="AF204">IF(OR(AE204="/",AE204=""),"/",IF(ISNUMBER(SEARCH("普通",AE204)),0,IF(ISNUMBER(SEARCH("专用",AE204)),4,IF(ISNUMBER(SEARCH("定制",AE204)),7,IF(ISNUMBER(SEARCH("多个定制",AE204)),9,””)))))</f>
        <v>4</v>
      </c>
      <c r="AG204" s="176">
        <f t="shared" si="121"/>
        <v>17</v>
      </c>
      <c r="AH204" s="176" t="str">
        <f t="shared" si="122"/>
        <v>中Medium</v>
      </c>
      <c r="AI204" s="176" t="s">
        <v>144</v>
      </c>
      <c r="AJ204" s="176" t="str">
        <f t="shared" si="123"/>
        <v>保留
Retaining</v>
      </c>
      <c r="AK204" s="171" t="s">
        <v>145</v>
      </c>
      <c r="AL204" s="177" t="s">
        <v>145</v>
      </c>
      <c r="AM204" s="180" t="s">
        <v>316</v>
      </c>
      <c r="AN204" s="178" t="s">
        <v>317</v>
      </c>
      <c r="AO204" s="178" t="s">
        <v>318</v>
      </c>
    </row>
    <row r="205" s="116" customFormat="1" ht="17" customHeight="1" spans="1:41">
      <c r="A205" s="171">
        <v>201</v>
      </c>
      <c r="B205" s="179"/>
      <c r="C205" s="179"/>
      <c r="D205" s="179"/>
      <c r="E205" s="171"/>
      <c r="F205" s="171"/>
      <c r="G205" s="171"/>
      <c r="H205" s="171"/>
      <c r="I205" s="171" t="s">
        <v>73</v>
      </c>
      <c r="J205" s="171"/>
      <c r="K205" s="173" t="s">
        <v>540</v>
      </c>
      <c r="L205" s="173" t="s">
        <v>806</v>
      </c>
      <c r="M205" s="173" t="s">
        <v>174</v>
      </c>
      <c r="N205" s="174" t="s">
        <v>96</v>
      </c>
      <c r="O205" s="174" t="s">
        <v>96</v>
      </c>
      <c r="P205" s="174" t="s">
        <v>96</v>
      </c>
      <c r="Q205" s="174" t="s">
        <v>77</v>
      </c>
      <c r="R205" s="174" t="s">
        <v>96</v>
      </c>
      <c r="S205" s="171" t="s">
        <v>96</v>
      </c>
      <c r="T205" s="175" t="s">
        <v>542</v>
      </c>
      <c r="U205" s="175" t="s">
        <v>176</v>
      </c>
      <c r="V205" s="171" t="s">
        <v>796</v>
      </c>
      <c r="W205" s="171" t="s">
        <v>82</v>
      </c>
      <c r="X205" s="176">
        <f t="shared" si="117"/>
        <v>0</v>
      </c>
      <c r="Y205" s="171" t="s">
        <v>177</v>
      </c>
      <c r="Z205" s="176">
        <f t="shared" si="118"/>
        <v>3</v>
      </c>
      <c r="AA205" s="171" t="s">
        <v>153</v>
      </c>
      <c r="AB205" s="176">
        <f t="shared" si="119"/>
        <v>0</v>
      </c>
      <c r="AC205" s="171" t="s">
        <v>85</v>
      </c>
      <c r="AD205" s="176">
        <f t="shared" si="120"/>
        <v>4</v>
      </c>
      <c r="AE205" s="171" t="s">
        <v>143</v>
      </c>
      <c r="AF205" s="176" cm="1">
        <f t="array" ref="AF205">IF(OR(AE205="/",AE205=""),"/",IF(ISNUMBER(SEARCH("普通",AE205)),0,IF(ISNUMBER(SEARCH("专用",AE205)),4,IF(ISNUMBER(SEARCH("定制",AE205)),7,IF(ISNUMBER(SEARCH("多个定制",AE205)),9,””)))))</f>
        <v>7</v>
      </c>
      <c r="AG205" s="176">
        <f t="shared" si="121"/>
        <v>14</v>
      </c>
      <c r="AH205" s="176" t="str">
        <f t="shared" si="122"/>
        <v>中Medium</v>
      </c>
      <c r="AI205" s="176" t="s">
        <v>144</v>
      </c>
      <c r="AJ205" s="176" t="str">
        <f t="shared" si="123"/>
        <v>保留
Retaining</v>
      </c>
      <c r="AK205" s="171" t="s">
        <v>145</v>
      </c>
      <c r="AL205" s="177" t="s">
        <v>145</v>
      </c>
      <c r="AM205" s="180" t="s">
        <v>329</v>
      </c>
      <c r="AN205" s="178" t="s">
        <v>181</v>
      </c>
      <c r="AO205" s="178" t="s">
        <v>182</v>
      </c>
    </row>
    <row r="206" s="116" customFormat="1" ht="17" customHeight="1" spans="1:41">
      <c r="A206" s="171">
        <v>202</v>
      </c>
      <c r="B206" s="181"/>
      <c r="C206" s="181"/>
      <c r="D206" s="181"/>
      <c r="E206" s="171"/>
      <c r="F206" s="171"/>
      <c r="G206" s="171"/>
      <c r="H206" s="171"/>
      <c r="I206" s="171"/>
      <c r="J206" s="171" t="s">
        <v>183</v>
      </c>
      <c r="K206" s="173" t="s">
        <v>145</v>
      </c>
      <c r="L206" s="173" t="s">
        <v>145</v>
      </c>
      <c r="M206" s="173" t="s">
        <v>145</v>
      </c>
      <c r="N206" s="174" t="s">
        <v>145</v>
      </c>
      <c r="O206" s="174" t="s">
        <v>145</v>
      </c>
      <c r="P206" s="174" t="s">
        <v>145</v>
      </c>
      <c r="Q206" s="174" t="s">
        <v>145</v>
      </c>
      <c r="R206" s="174" t="s">
        <v>145</v>
      </c>
      <c r="S206" s="175" t="s">
        <v>145</v>
      </c>
      <c r="T206" s="175" t="s">
        <v>145</v>
      </c>
      <c r="U206" s="175" t="s">
        <v>145</v>
      </c>
      <c r="V206" s="171" t="s">
        <v>145</v>
      </c>
      <c r="W206" s="171" t="s">
        <v>145</v>
      </c>
      <c r="X206" s="176" t="s">
        <v>145</v>
      </c>
      <c r="Y206" s="171" t="s">
        <v>145</v>
      </c>
      <c r="Z206" s="176" t="s">
        <v>145</v>
      </c>
      <c r="AA206" s="171" t="s">
        <v>145</v>
      </c>
      <c r="AB206" s="176" t="s">
        <v>145</v>
      </c>
      <c r="AC206" s="171" t="s">
        <v>145</v>
      </c>
      <c r="AD206" s="176" t="s">
        <v>145</v>
      </c>
      <c r="AE206" s="171" t="s">
        <v>145</v>
      </c>
      <c r="AF206" s="176" t="str" cm="1">
        <f t="array" ref="AF206">IF(OR(AE206="/",AE206=""),"/",IF(ISNUMBER(SEARCH("普通",AE206)),0,IF(ISNUMBER(SEARCH("专用",AE206)),4,IF(ISNUMBER(SEARCH("定制",AE206)),7,IF(ISNUMBER(SEARCH("多个定制",AE206)),9,””)))))</f>
        <v>/</v>
      </c>
      <c r="AG206" s="176" t="s">
        <v>145</v>
      </c>
      <c r="AH206" s="176" t="s">
        <v>145</v>
      </c>
      <c r="AI206" s="176" t="s">
        <v>145</v>
      </c>
      <c r="AJ206" s="176" t="str">
        <f t="shared" si="123"/>
        <v>/</v>
      </c>
      <c r="AK206" s="171" t="s">
        <v>145</v>
      </c>
      <c r="AL206" s="177" t="s">
        <v>145</v>
      </c>
      <c r="AM206" s="177" t="s">
        <v>145</v>
      </c>
      <c r="AN206" s="177" t="s">
        <v>145</v>
      </c>
      <c r="AO206" s="177" t="s">
        <v>145</v>
      </c>
    </row>
    <row r="207" s="116" customFormat="1" ht="17" customHeight="1" spans="1:41">
      <c r="A207" s="171">
        <v>203</v>
      </c>
      <c r="B207" s="172" t="s">
        <v>807</v>
      </c>
      <c r="C207" s="171" t="s">
        <v>71</v>
      </c>
      <c r="D207" s="173" t="s">
        <v>808</v>
      </c>
      <c r="E207" s="171" t="s">
        <v>73</v>
      </c>
      <c r="F207" s="171"/>
      <c r="G207" s="171"/>
      <c r="H207" s="171"/>
      <c r="I207" s="171"/>
      <c r="J207" s="171"/>
      <c r="K207" s="173" t="s">
        <v>547</v>
      </c>
      <c r="L207" s="173" t="s">
        <v>809</v>
      </c>
      <c r="M207" s="173" t="s">
        <v>106</v>
      </c>
      <c r="N207" s="174" t="s">
        <v>77</v>
      </c>
      <c r="O207" s="174" t="s">
        <v>77</v>
      </c>
      <c r="P207" s="174" t="s">
        <v>96</v>
      </c>
      <c r="Q207" s="174" t="s">
        <v>78</v>
      </c>
      <c r="R207" s="192" t="s">
        <v>96</v>
      </c>
      <c r="S207" s="175" t="s">
        <v>96</v>
      </c>
      <c r="T207" s="175" t="s">
        <v>549</v>
      </c>
      <c r="U207" s="175" t="s">
        <v>109</v>
      </c>
      <c r="V207" s="171" t="s">
        <v>810</v>
      </c>
      <c r="W207" s="171" t="s">
        <v>82</v>
      </c>
      <c r="X207" s="176">
        <f t="shared" ref="X207:X211" si="124">IF(OR(W207="/",W207=""),"/",IF(ISNUMBER(SEARCH("1天",W207)),0,IF(ISNUMBER(SEARCH("一周",W207)),1,IF(ISNUMBER(SEARCH("1个月",W207)),4,IF(ISNUMBER(SEARCH("超过",W207)),19,IF(ISNUMBER(SEARCH("6个月",W207)),17,""))))))</f>
        <v>0</v>
      </c>
      <c r="Y207" s="171" t="s">
        <v>83</v>
      </c>
      <c r="Z207" s="176">
        <f t="shared" ref="Z207:Z211" si="125">IF(OR(Y207="/",Y207=""),"/",IF(ISNUMBER(SEARCH("新手",Y207)),0,IF(ISNUMBER(SEARCH("熟练",Y207)),3,IF(ISNUMBER(SEARCH("多位",Y207)),17,IF(ISNUMBER(SEARCH("专家",Y207)),6,"")))))</f>
        <v>6</v>
      </c>
      <c r="AA207" s="171" t="s">
        <v>84</v>
      </c>
      <c r="AB207" s="176">
        <f t="shared" ref="AB207:AB211" si="126">IF(OR(AA207="/",AA207=""),"/",IF(ISNUMBER(SEARCH("公开",AA207)),0,IF(ISNUMBER(SEARCH("限制性信息",AA207)),3,IF(ISNUMBER(SEARCH("机密信息",AA207)),7,IF(ISNUMBER(SEARCH("严格保密",AA207)),11,"")))))</f>
        <v>3</v>
      </c>
      <c r="AC207" s="171" t="s">
        <v>85</v>
      </c>
      <c r="AD207" s="176">
        <f t="shared" ref="AD207:AD211" si="127">IF(OR(AC207="/",AC207=""),"/",IF(ISNUMBER(SEARCH("无限制",AC207)),0,IF(ISNUMBER(SEARCH("容易",AC207)),1,IF(ISNUMBER(SEARCH("一般",AC207)),4,IF(ISNUMBER(SEARCH("困难",AC207)),10,"")))))</f>
        <v>4</v>
      </c>
      <c r="AE207" s="171" t="s">
        <v>86</v>
      </c>
      <c r="AF207" s="176" cm="1">
        <f t="array" ref="AF207">IF(OR(AE207="/",AE207=""),"/",IF(ISNUMBER(SEARCH("普通",AE207)),0,IF(ISNUMBER(SEARCH("专用",AE207)),4,IF(ISNUMBER(SEARCH("定制",AE207)),7,IF(ISNUMBER(SEARCH("多个定制",AE207)),9,””)))))</f>
        <v>4</v>
      </c>
      <c r="AG207" s="176">
        <f t="shared" ref="AG207:AG211" si="128">IF(OR(X207="/",Z207="/",AB207="/",AD207="/",AF207="/"),"/",X207+Z207+AB207+AD207+AF207)</f>
        <v>17</v>
      </c>
      <c r="AH207" s="176" t="str">
        <f t="shared" ref="AH207:AH211" si="129">IF(AND(AG207&gt;=0,AG207&lt;14),"高High",IF(AND(AG207&gt;=14,AG207&lt;20),"中Medium",IF(AND(AG207&gt;=20,AG207&lt;25),"低Low",IF(AND(AG207&gt;=25,AG207&lt;57),"非常低Very low",""))))</f>
        <v>中Medium</v>
      </c>
      <c r="AI207" s="176" t="s">
        <v>144</v>
      </c>
      <c r="AJ207" s="176" t="str">
        <f t="shared" si="123"/>
        <v>保留
Retaining</v>
      </c>
      <c r="AK207" s="171" t="s">
        <v>145</v>
      </c>
      <c r="AL207" s="177" t="s">
        <v>145</v>
      </c>
      <c r="AM207" s="180" t="s">
        <v>115</v>
      </c>
      <c r="AN207" s="178" t="s">
        <v>116</v>
      </c>
      <c r="AO207" s="178" t="s">
        <v>117</v>
      </c>
    </row>
    <row r="208" s="116" customFormat="1" ht="17" customHeight="1" spans="1:41">
      <c r="A208" s="171">
        <v>204</v>
      </c>
      <c r="B208" s="179"/>
      <c r="C208" s="179"/>
      <c r="D208" s="179"/>
      <c r="E208" s="171"/>
      <c r="F208" s="171" t="s">
        <v>73</v>
      </c>
      <c r="G208" s="171"/>
      <c r="H208" s="171"/>
      <c r="I208" s="171"/>
      <c r="J208" s="171"/>
      <c r="K208" s="173" t="s">
        <v>551</v>
      </c>
      <c r="L208" s="173" t="s">
        <v>811</v>
      </c>
      <c r="M208" s="173" t="s">
        <v>553</v>
      </c>
      <c r="N208" s="174" t="s">
        <v>77</v>
      </c>
      <c r="O208" s="174" t="s">
        <v>77</v>
      </c>
      <c r="P208" s="174" t="s">
        <v>96</v>
      </c>
      <c r="Q208" s="174" t="s">
        <v>77</v>
      </c>
      <c r="R208" s="174" t="str">
        <f>IF(OR(N208="严重Severe",O208="严重Severe",P208="严重Severe",Q208="严重Severe"),"严重Severe",IF(OR(N208="主要Major",O208="主要Major",P208="主要Major",Q208="主要Major"),"主要Major",IF(OR(N208="中等Medium",O208="中等Medium",P208="中等Medium",Q208="中等Medium"),"中等Medium",IF(OR(N208="可忽略不计Negligible",O208="可忽略不计Negligible",P208="可忽略不计Negligible",Q208="可忽略不计Negligible"),"可忽略不计Negligible","/"))))</f>
        <v>中等Medium</v>
      </c>
      <c r="S208" s="175" t="s">
        <v>96</v>
      </c>
      <c r="T208" s="175" t="s">
        <v>554</v>
      </c>
      <c r="U208" s="175" t="s">
        <v>555</v>
      </c>
      <c r="V208" s="171" t="s">
        <v>812</v>
      </c>
      <c r="W208" s="171" t="s">
        <v>111</v>
      </c>
      <c r="X208" s="176">
        <f t="shared" si="124"/>
        <v>1</v>
      </c>
      <c r="Y208" s="171" t="s">
        <v>83</v>
      </c>
      <c r="Z208" s="176">
        <f t="shared" si="125"/>
        <v>6</v>
      </c>
      <c r="AA208" s="171" t="s">
        <v>557</v>
      </c>
      <c r="AB208" s="176">
        <f t="shared" si="126"/>
        <v>0</v>
      </c>
      <c r="AC208" s="171" t="s">
        <v>558</v>
      </c>
      <c r="AD208" s="176">
        <f t="shared" si="127"/>
        <v>10</v>
      </c>
      <c r="AE208" s="171" t="s">
        <v>86</v>
      </c>
      <c r="AF208" s="176" cm="1">
        <f t="array" ref="AF208">IF(OR(AE208="/",AE208=""),"/",IF(ISNUMBER(SEARCH("普通",AE208)),0,IF(ISNUMBER(SEARCH("专用",AE208)),4,IF(ISNUMBER(SEARCH("定制",AE208)),7,IF(ISNUMBER(SEARCH("多个定制",AE208)),9,””)))))</f>
        <v>4</v>
      </c>
      <c r="AG208" s="176">
        <f t="shared" si="128"/>
        <v>21</v>
      </c>
      <c r="AH208" s="176" t="str">
        <f t="shared" si="129"/>
        <v>低Low</v>
      </c>
      <c r="AI208" s="176" t="s">
        <v>144</v>
      </c>
      <c r="AJ208" s="176" t="str">
        <f t="shared" si="123"/>
        <v>保留
Retaining</v>
      </c>
      <c r="AK208" s="171" t="s">
        <v>145</v>
      </c>
      <c r="AL208" s="177" t="s">
        <v>145</v>
      </c>
      <c r="AM208" s="171" t="s">
        <v>145</v>
      </c>
      <c r="AN208" s="178" t="s">
        <v>270</v>
      </c>
      <c r="AO208" s="178" t="s">
        <v>271</v>
      </c>
    </row>
    <row r="209" s="116" customFormat="1" ht="17" customHeight="1" spans="1:41">
      <c r="A209" s="171">
        <v>205</v>
      </c>
      <c r="B209" s="179"/>
      <c r="C209" s="179"/>
      <c r="D209" s="179"/>
      <c r="E209" s="171"/>
      <c r="F209" s="171" t="s">
        <v>73</v>
      </c>
      <c r="G209" s="171"/>
      <c r="H209" s="171"/>
      <c r="I209" s="171"/>
      <c r="J209" s="171"/>
      <c r="K209" s="173" t="s">
        <v>582</v>
      </c>
      <c r="L209" s="173" t="s">
        <v>813</v>
      </c>
      <c r="M209" s="173" t="s">
        <v>120</v>
      </c>
      <c r="N209" s="174" t="s">
        <v>77</v>
      </c>
      <c r="O209" s="174" t="s">
        <v>77</v>
      </c>
      <c r="P209" s="174" t="s">
        <v>78</v>
      </c>
      <c r="Q209" s="174" t="s">
        <v>77</v>
      </c>
      <c r="R209" s="192" t="s">
        <v>96</v>
      </c>
      <c r="S209" s="175" t="s">
        <v>96</v>
      </c>
      <c r="T209" s="175" t="s">
        <v>584</v>
      </c>
      <c r="U209" s="175" t="s">
        <v>814</v>
      </c>
      <c r="V209" s="171" t="s">
        <v>812</v>
      </c>
      <c r="W209" s="171" t="s">
        <v>111</v>
      </c>
      <c r="X209" s="176">
        <f t="shared" si="124"/>
        <v>1</v>
      </c>
      <c r="Y209" s="171" t="s">
        <v>83</v>
      </c>
      <c r="Z209" s="176">
        <f t="shared" si="125"/>
        <v>6</v>
      </c>
      <c r="AA209" s="171" t="s">
        <v>84</v>
      </c>
      <c r="AB209" s="176">
        <f t="shared" si="126"/>
        <v>3</v>
      </c>
      <c r="AC209" s="171" t="s">
        <v>85</v>
      </c>
      <c r="AD209" s="176">
        <f t="shared" si="127"/>
        <v>4</v>
      </c>
      <c r="AE209" s="171" t="s">
        <v>86</v>
      </c>
      <c r="AF209" s="176" cm="1">
        <f t="array" ref="AF209">IF(OR(AE209="/",AE209=""),"/",IF(ISNUMBER(SEARCH("普通",AE209)),0,IF(ISNUMBER(SEARCH("专用",AE209)),4,IF(ISNUMBER(SEARCH("定制",AE209)),7,IF(ISNUMBER(SEARCH("多个定制",AE209)),9,””)))))</f>
        <v>4</v>
      </c>
      <c r="AG209" s="176">
        <f t="shared" si="128"/>
        <v>18</v>
      </c>
      <c r="AH209" s="176" t="str">
        <f t="shared" si="129"/>
        <v>中Medium</v>
      </c>
      <c r="AI209" s="176" t="s">
        <v>144</v>
      </c>
      <c r="AJ209" s="176" t="str">
        <f t="shared" si="123"/>
        <v>保留
Retaining</v>
      </c>
      <c r="AK209" s="171" t="s">
        <v>145</v>
      </c>
      <c r="AL209" s="177" t="s">
        <v>145</v>
      </c>
      <c r="AM209" s="180" t="s">
        <v>134</v>
      </c>
      <c r="AN209" s="178" t="s">
        <v>135</v>
      </c>
      <c r="AO209" s="178" t="s">
        <v>136</v>
      </c>
    </row>
    <row r="210" s="116" customFormat="1" ht="17" customHeight="1" spans="1:41">
      <c r="A210" s="171">
        <v>206</v>
      </c>
      <c r="B210" s="179"/>
      <c r="C210" s="179"/>
      <c r="D210" s="179"/>
      <c r="E210" s="171"/>
      <c r="F210" s="171"/>
      <c r="G210" s="171" t="s">
        <v>559</v>
      </c>
      <c r="H210" s="171"/>
      <c r="I210" s="171"/>
      <c r="J210" s="171"/>
      <c r="K210" s="173" t="s">
        <v>560</v>
      </c>
      <c r="L210" s="173" t="s">
        <v>815</v>
      </c>
      <c r="M210" s="173" t="s">
        <v>145</v>
      </c>
      <c r="N210" s="174" t="s">
        <v>145</v>
      </c>
      <c r="O210" s="174" t="s">
        <v>145</v>
      </c>
      <c r="P210" s="174" t="s">
        <v>145</v>
      </c>
      <c r="Q210" s="174" t="s">
        <v>145</v>
      </c>
      <c r="R210" s="174" t="str">
        <f>IF(OR(N210="严重Severe",O210="严重Severe",P210="严重Severe",Q210="严重Severe"),"严重Severe",IF(OR(N210="主要Major",O210="主要Major",P210="主要Major",Q210="主要Major"),"主要Major",IF(OR(N210="中等Medium",O210="中等Medium",P210="中等Medium",Q210="中等Medium"),"中等Medium",IF(OR(N210="可忽略不计Negligible",O210="可忽略不计Negligible",P210="可忽略不计Negligible",Q210="可忽略不计Negligible"),"可忽略不计Negligible","/"))))</f>
        <v>/</v>
      </c>
      <c r="S210" s="175" t="s">
        <v>145</v>
      </c>
      <c r="T210" s="175" t="s">
        <v>145</v>
      </c>
      <c r="U210" s="175" t="s">
        <v>145</v>
      </c>
      <c r="V210" s="171" t="s">
        <v>145</v>
      </c>
      <c r="W210" s="171" t="s">
        <v>145</v>
      </c>
      <c r="X210" s="176" t="str">
        <f t="shared" si="124"/>
        <v>/</v>
      </c>
      <c r="Y210" s="171" t="s">
        <v>145</v>
      </c>
      <c r="Z210" s="176" t="str">
        <f t="shared" si="125"/>
        <v>/</v>
      </c>
      <c r="AA210" s="171" t="s">
        <v>145</v>
      </c>
      <c r="AB210" s="176" t="str">
        <f t="shared" si="126"/>
        <v>/</v>
      </c>
      <c r="AC210" s="171" t="s">
        <v>145</v>
      </c>
      <c r="AD210" s="176" t="str">
        <f t="shared" si="127"/>
        <v>/</v>
      </c>
      <c r="AE210" s="171" t="s">
        <v>145</v>
      </c>
      <c r="AF210" s="176" t="str" cm="1">
        <f t="array" ref="AF210">IF(OR(AE210="/",AE210=""),"/",IF(ISNUMBER(SEARCH("普通",AE210)),0,IF(ISNUMBER(SEARCH("专用",AE210)),4,IF(ISNUMBER(SEARCH("定制",AE210)),7,IF(ISNUMBER(SEARCH("多个定制",AE210)),9,””)))))</f>
        <v>/</v>
      </c>
      <c r="AG210" s="176" t="str">
        <f t="shared" si="128"/>
        <v>/</v>
      </c>
      <c r="AH210" s="176" t="str">
        <f t="shared" si="129"/>
        <v/>
      </c>
      <c r="AI210" s="176" t="s">
        <v>145</v>
      </c>
      <c r="AJ210" s="176" t="str">
        <f t="shared" si="123"/>
        <v>/</v>
      </c>
      <c r="AK210" s="171" t="s">
        <v>145</v>
      </c>
      <c r="AL210" s="177" t="s">
        <v>145</v>
      </c>
      <c r="AM210" s="177" t="s">
        <v>145</v>
      </c>
      <c r="AN210" s="177" t="s">
        <v>145</v>
      </c>
      <c r="AO210" s="177" t="s">
        <v>145</v>
      </c>
    </row>
    <row r="211" s="116" customFormat="1" ht="17" customHeight="1" spans="1:41">
      <c r="A211" s="171">
        <v>207</v>
      </c>
      <c r="B211" s="179"/>
      <c r="C211" s="179"/>
      <c r="D211" s="179"/>
      <c r="E211" s="171"/>
      <c r="F211" s="171"/>
      <c r="G211" s="171"/>
      <c r="H211" s="171" t="s">
        <v>73</v>
      </c>
      <c r="I211" s="171"/>
      <c r="J211" s="171"/>
      <c r="K211" s="173" t="s">
        <v>587</v>
      </c>
      <c r="L211" s="173" t="s">
        <v>816</v>
      </c>
      <c r="M211" s="173" t="s">
        <v>589</v>
      </c>
      <c r="N211" s="174" t="s">
        <v>77</v>
      </c>
      <c r="O211" s="174" t="s">
        <v>77</v>
      </c>
      <c r="P211" s="174" t="s">
        <v>96</v>
      </c>
      <c r="Q211" s="174" t="s">
        <v>77</v>
      </c>
      <c r="R211" s="192" t="s">
        <v>96</v>
      </c>
      <c r="S211" s="175" t="s">
        <v>96</v>
      </c>
      <c r="T211" s="175" t="s">
        <v>590</v>
      </c>
      <c r="U211" s="175" t="s">
        <v>591</v>
      </c>
      <c r="V211" s="171" t="s">
        <v>812</v>
      </c>
      <c r="W211" s="171" t="s">
        <v>82</v>
      </c>
      <c r="X211" s="176">
        <f t="shared" si="124"/>
        <v>0</v>
      </c>
      <c r="Y211" s="171" t="s">
        <v>83</v>
      </c>
      <c r="Z211" s="176">
        <f t="shared" si="125"/>
        <v>6</v>
      </c>
      <c r="AA211" s="171" t="s">
        <v>84</v>
      </c>
      <c r="AB211" s="176">
        <f t="shared" si="126"/>
        <v>3</v>
      </c>
      <c r="AC211" s="171" t="s">
        <v>85</v>
      </c>
      <c r="AD211" s="176">
        <f t="shared" si="127"/>
        <v>4</v>
      </c>
      <c r="AE211" s="171" t="s">
        <v>86</v>
      </c>
      <c r="AF211" s="176" cm="1">
        <f t="array" ref="AF211">IF(OR(AE211="/",AE211=""),"/",IF(ISNUMBER(SEARCH("普通",AE211)),0,IF(ISNUMBER(SEARCH("专用",AE211)),4,IF(ISNUMBER(SEARCH("定制",AE211)),7,IF(ISNUMBER(SEARCH("多个定制",AE211)),9,””)))))</f>
        <v>4</v>
      </c>
      <c r="AG211" s="176">
        <f t="shared" si="128"/>
        <v>17</v>
      </c>
      <c r="AH211" s="176" t="str">
        <f t="shared" si="129"/>
        <v>中Medium</v>
      </c>
      <c r="AI211" s="176" t="s">
        <v>144</v>
      </c>
      <c r="AJ211" s="176" t="str">
        <f t="shared" si="123"/>
        <v>保留
Retaining</v>
      </c>
      <c r="AK211" s="171" t="s">
        <v>145</v>
      </c>
      <c r="AL211" s="177" t="s">
        <v>145</v>
      </c>
      <c r="AM211" s="180" t="s">
        <v>101</v>
      </c>
      <c r="AN211" s="178" t="s">
        <v>592</v>
      </c>
      <c r="AO211" s="178" t="s">
        <v>593</v>
      </c>
    </row>
    <row r="212" s="116" customFormat="1" ht="17" customHeight="1" spans="1:41">
      <c r="A212" s="171">
        <v>208</v>
      </c>
      <c r="B212" s="179"/>
      <c r="C212" s="179"/>
      <c r="D212" s="179"/>
      <c r="E212" s="171"/>
      <c r="F212" s="171"/>
      <c r="G212" s="171"/>
      <c r="H212" s="171"/>
      <c r="I212" s="171" t="s">
        <v>183</v>
      </c>
      <c r="J212" s="171"/>
      <c r="K212" s="173" t="s">
        <v>145</v>
      </c>
      <c r="L212" s="173" t="s">
        <v>145</v>
      </c>
      <c r="M212" s="173" t="s">
        <v>145</v>
      </c>
      <c r="N212" s="174" t="s">
        <v>145</v>
      </c>
      <c r="O212" s="174" t="s">
        <v>145</v>
      </c>
      <c r="P212" s="174" t="s">
        <v>145</v>
      </c>
      <c r="Q212" s="174" t="s">
        <v>145</v>
      </c>
      <c r="R212" s="174" t="s">
        <v>145</v>
      </c>
      <c r="S212" s="175" t="s">
        <v>145</v>
      </c>
      <c r="T212" s="175" t="s">
        <v>145</v>
      </c>
      <c r="U212" s="175" t="s">
        <v>145</v>
      </c>
      <c r="V212" s="171" t="s">
        <v>145</v>
      </c>
      <c r="W212" s="171" t="s">
        <v>145</v>
      </c>
      <c r="X212" s="176" t="s">
        <v>145</v>
      </c>
      <c r="Y212" s="171" t="s">
        <v>145</v>
      </c>
      <c r="Z212" s="176" t="s">
        <v>145</v>
      </c>
      <c r="AA212" s="171" t="s">
        <v>145</v>
      </c>
      <c r="AB212" s="176" t="s">
        <v>145</v>
      </c>
      <c r="AC212" s="171" t="s">
        <v>145</v>
      </c>
      <c r="AD212" s="176" t="s">
        <v>145</v>
      </c>
      <c r="AE212" s="171" t="s">
        <v>145</v>
      </c>
      <c r="AF212" s="176" t="str" cm="1">
        <f t="array" ref="AF212">IF(OR(AE212="/",AE212=""),"/",IF(ISNUMBER(SEARCH("普通",AE212)),0,IF(ISNUMBER(SEARCH("专用",AE212)),4,IF(ISNUMBER(SEARCH("定制",AE212)),7,IF(ISNUMBER(SEARCH("多个定制",AE212)),9,””)))))</f>
        <v>/</v>
      </c>
      <c r="AG212" s="176" t="s">
        <v>145</v>
      </c>
      <c r="AH212" s="176" t="s">
        <v>145</v>
      </c>
      <c r="AI212" s="176" t="s">
        <v>145</v>
      </c>
      <c r="AJ212" s="176" t="str">
        <f t="shared" si="123"/>
        <v>/</v>
      </c>
      <c r="AK212" s="171" t="s">
        <v>145</v>
      </c>
      <c r="AL212" s="177" t="s">
        <v>145</v>
      </c>
      <c r="AM212" s="177" t="s">
        <v>145</v>
      </c>
      <c r="AN212" s="177" t="s">
        <v>145</v>
      </c>
      <c r="AO212" s="177" t="s">
        <v>145</v>
      </c>
    </row>
    <row r="213" s="116" customFormat="1" ht="17" customHeight="1" spans="1:41">
      <c r="A213" s="171">
        <v>209</v>
      </c>
      <c r="B213" s="181"/>
      <c r="C213" s="181"/>
      <c r="D213" s="181"/>
      <c r="E213" s="171"/>
      <c r="F213" s="171"/>
      <c r="G213" s="171"/>
      <c r="H213" s="171"/>
      <c r="I213" s="171"/>
      <c r="J213" s="171" t="s">
        <v>183</v>
      </c>
      <c r="K213" s="173" t="s">
        <v>145</v>
      </c>
      <c r="L213" s="173" t="s">
        <v>145</v>
      </c>
      <c r="M213" s="173" t="s">
        <v>145</v>
      </c>
      <c r="N213" s="174" t="s">
        <v>145</v>
      </c>
      <c r="O213" s="174" t="s">
        <v>145</v>
      </c>
      <c r="P213" s="174" t="s">
        <v>145</v>
      </c>
      <c r="Q213" s="174" t="s">
        <v>145</v>
      </c>
      <c r="R213" s="174" t="s">
        <v>145</v>
      </c>
      <c r="S213" s="175" t="s">
        <v>145</v>
      </c>
      <c r="T213" s="175" t="s">
        <v>145</v>
      </c>
      <c r="U213" s="175" t="s">
        <v>145</v>
      </c>
      <c r="V213" s="171" t="s">
        <v>145</v>
      </c>
      <c r="W213" s="171" t="s">
        <v>145</v>
      </c>
      <c r="X213" s="176" t="s">
        <v>145</v>
      </c>
      <c r="Y213" s="171" t="s">
        <v>145</v>
      </c>
      <c r="Z213" s="176" t="s">
        <v>145</v>
      </c>
      <c r="AA213" s="171" t="s">
        <v>145</v>
      </c>
      <c r="AB213" s="176" t="s">
        <v>145</v>
      </c>
      <c r="AC213" s="171" t="s">
        <v>145</v>
      </c>
      <c r="AD213" s="176" t="s">
        <v>145</v>
      </c>
      <c r="AE213" s="171" t="s">
        <v>145</v>
      </c>
      <c r="AF213" s="176" t="str" cm="1">
        <f t="array" ref="AF213">IF(OR(AE213="/",AE213=""),"/",IF(ISNUMBER(SEARCH("普通",AE213)),0,IF(ISNUMBER(SEARCH("专用",AE213)),4,IF(ISNUMBER(SEARCH("定制",AE213)),7,IF(ISNUMBER(SEARCH("多个定制",AE213)),9,””)))))</f>
        <v>/</v>
      </c>
      <c r="AG213" s="176" t="s">
        <v>145</v>
      </c>
      <c r="AH213" s="176" t="s">
        <v>145</v>
      </c>
      <c r="AI213" s="176" t="s">
        <v>145</v>
      </c>
      <c r="AJ213" s="176" t="str">
        <f t="shared" si="123"/>
        <v>/</v>
      </c>
      <c r="AK213" s="171" t="s">
        <v>145</v>
      </c>
      <c r="AL213" s="177" t="s">
        <v>145</v>
      </c>
      <c r="AM213" s="177" t="s">
        <v>145</v>
      </c>
      <c r="AN213" s="177" t="s">
        <v>145</v>
      </c>
      <c r="AO213" s="177" t="s">
        <v>145</v>
      </c>
    </row>
    <row r="214" s="116" customFormat="1" ht="17" customHeight="1" spans="1:41">
      <c r="A214" s="171">
        <v>210</v>
      </c>
      <c r="B214" s="172" t="s">
        <v>817</v>
      </c>
      <c r="C214" s="171" t="s">
        <v>71</v>
      </c>
      <c r="D214" s="173" t="s">
        <v>818</v>
      </c>
      <c r="E214" s="171" t="s">
        <v>73</v>
      </c>
      <c r="F214" s="171"/>
      <c r="G214" s="171"/>
      <c r="H214" s="171"/>
      <c r="I214" s="171"/>
      <c r="J214" s="171"/>
      <c r="K214" s="173" t="s">
        <v>509</v>
      </c>
      <c r="L214" s="173" t="s">
        <v>819</v>
      </c>
      <c r="M214" s="173" t="s">
        <v>76</v>
      </c>
      <c r="N214" s="174" t="s">
        <v>77</v>
      </c>
      <c r="O214" s="174" t="s">
        <v>77</v>
      </c>
      <c r="P214" s="174" t="s">
        <v>78</v>
      </c>
      <c r="Q214" s="174" t="s">
        <v>77</v>
      </c>
      <c r="R214" s="174" t="str">
        <f t="shared" ref="R214:R220" si="130">IF(OR(N214="严重Severe",O214="严重Severe",P214="严重Severe",Q214="严重Severe"),"严重Severe",IF(OR(N214="主要Major",O214="主要Major",P214="主要Major",Q214="主要Major"),"主要Major",IF(OR(N214="中等Medium",O214="中等Medium",P214="中等Medium",Q214="中等Medium"),"中等Medium",IF(OR(N214="可忽略不计Negligible",O214="可忽略不计Negligible",P214="可忽略不计Negligible",Q214="可忽略不计Negligible"),"可忽略不计Negligible","/"))))</f>
        <v>主要Major</v>
      </c>
      <c r="S214" s="175" t="s">
        <v>78</v>
      </c>
      <c r="T214" s="175" t="s">
        <v>511</v>
      </c>
      <c r="U214" s="175" t="s">
        <v>80</v>
      </c>
      <c r="V214" s="171" t="s">
        <v>820</v>
      </c>
      <c r="W214" s="171" t="s">
        <v>82</v>
      </c>
      <c r="X214" s="176">
        <f t="shared" ref="X214:X220" si="131">IF(OR(W214="/",W214=""),"/",IF(ISNUMBER(SEARCH("1天",W214)),0,IF(ISNUMBER(SEARCH("一周",W214)),1,IF(ISNUMBER(SEARCH("1个月",W214)),4,IF(ISNUMBER(SEARCH("超过",W214)),19,IF(ISNUMBER(SEARCH("6个月",W214)),17,""))))))</f>
        <v>0</v>
      </c>
      <c r="Y214" s="171" t="s">
        <v>83</v>
      </c>
      <c r="Z214" s="176">
        <f t="shared" ref="Z214:Z220" si="132">IF(OR(Y214="/",Y214=""),"/",IF(ISNUMBER(SEARCH("新手",Y214)),0,IF(ISNUMBER(SEARCH("熟练",Y214)),3,IF(ISNUMBER(SEARCH("多位",Y214)),17,IF(ISNUMBER(SEARCH("专家",Y214)),6,"")))))</f>
        <v>6</v>
      </c>
      <c r="AA214" s="171" t="s">
        <v>84</v>
      </c>
      <c r="AB214" s="176">
        <f t="shared" ref="AB214:AB220" si="133">IF(OR(AA214="/",AA214=""),"/",IF(ISNUMBER(SEARCH("公开",AA214)),0,IF(ISNUMBER(SEARCH("限制性信息",AA214)),3,IF(ISNUMBER(SEARCH("机密信息",AA214)),7,IF(ISNUMBER(SEARCH("严格保密",AA214)),11,"")))))</f>
        <v>3</v>
      </c>
      <c r="AC214" s="171" t="s">
        <v>85</v>
      </c>
      <c r="AD214" s="176">
        <f t="shared" ref="AD214:AD220" si="134">IF(OR(AC214="/",AC214=""),"/",IF(ISNUMBER(SEARCH("无限制",AC214)),0,IF(ISNUMBER(SEARCH("容易",AC214)),1,IF(ISNUMBER(SEARCH("一般",AC214)),4,IF(ISNUMBER(SEARCH("困难",AC214)),10,"")))))</f>
        <v>4</v>
      </c>
      <c r="AE214" s="171" t="s">
        <v>86</v>
      </c>
      <c r="AF214" s="176" cm="1">
        <f t="array" ref="AF214">IF(OR(AE214="/",AE214=""),"/",IF(ISNUMBER(SEARCH("普通",AE214)),0,IF(ISNUMBER(SEARCH("专用",AE214)),4,IF(ISNUMBER(SEARCH("定制",AE214)),7,IF(ISNUMBER(SEARCH("多个定制",AE214)),9,””)))))</f>
        <v>4</v>
      </c>
      <c r="AG214" s="176">
        <f t="shared" ref="AG214:AG220" si="135">IF(OR(X214="/",Z214="/",AB214="/",AD214="/",AF214="/"),"/",X214+Z214+AB214+AD214+AF214)</f>
        <v>17</v>
      </c>
      <c r="AH214" s="176" t="str">
        <f t="shared" ref="AH214:AH220" si="136">IF(AND(AG214&gt;=0,AG214&lt;14),"高High",IF(AND(AG214&gt;=14,AG214&lt;20),"中Medium",IF(AND(AG214&gt;=20,AG214&lt;25),"低Low",IF(AND(AG214&gt;=25,AG214&lt;57),"非常低Very low",""))))</f>
        <v>中Medium</v>
      </c>
      <c r="AI214" s="176" t="s">
        <v>87</v>
      </c>
      <c r="AJ214" s="176" t="str">
        <f t="shared" si="123"/>
        <v>降低
Reucing</v>
      </c>
      <c r="AK214" s="171" t="s">
        <v>513</v>
      </c>
      <c r="AL214" s="177" t="s">
        <v>514</v>
      </c>
      <c r="AM214" s="180" t="s">
        <v>90</v>
      </c>
      <c r="AN214" s="178" t="s">
        <v>91</v>
      </c>
      <c r="AO214" s="178" t="s">
        <v>92</v>
      </c>
    </row>
    <row r="215" s="116" customFormat="1" ht="17" customHeight="1" spans="1:41">
      <c r="A215" s="171">
        <v>211</v>
      </c>
      <c r="B215" s="179"/>
      <c r="C215" s="179"/>
      <c r="D215" s="179"/>
      <c r="E215" s="171" t="s">
        <v>73</v>
      </c>
      <c r="F215" s="171"/>
      <c r="G215" s="171"/>
      <c r="H215" s="171"/>
      <c r="I215" s="171"/>
      <c r="J215" s="171"/>
      <c r="K215" s="173" t="s">
        <v>515</v>
      </c>
      <c r="L215" s="173" t="s">
        <v>821</v>
      </c>
      <c r="M215" s="173" t="s">
        <v>106</v>
      </c>
      <c r="N215" s="174" t="s">
        <v>77</v>
      </c>
      <c r="O215" s="174" t="s">
        <v>77</v>
      </c>
      <c r="P215" s="174" t="s">
        <v>96</v>
      </c>
      <c r="Q215" s="174" t="s">
        <v>78</v>
      </c>
      <c r="R215" s="174" t="str">
        <f t="shared" si="130"/>
        <v>主要Major</v>
      </c>
      <c r="S215" s="175" t="s">
        <v>107</v>
      </c>
      <c r="T215" s="175" t="s">
        <v>517</v>
      </c>
      <c r="U215" s="175" t="s">
        <v>109</v>
      </c>
      <c r="V215" s="171" t="s">
        <v>822</v>
      </c>
      <c r="W215" s="171" t="s">
        <v>111</v>
      </c>
      <c r="X215" s="176">
        <f t="shared" si="131"/>
        <v>1</v>
      </c>
      <c r="Y215" s="171" t="s">
        <v>83</v>
      </c>
      <c r="Z215" s="176">
        <f t="shared" si="132"/>
        <v>6</v>
      </c>
      <c r="AA215" s="171" t="s">
        <v>84</v>
      </c>
      <c r="AB215" s="176">
        <f t="shared" si="133"/>
        <v>3</v>
      </c>
      <c r="AC215" s="171" t="s">
        <v>85</v>
      </c>
      <c r="AD215" s="176">
        <f t="shared" si="134"/>
        <v>4</v>
      </c>
      <c r="AE215" s="171" t="s">
        <v>143</v>
      </c>
      <c r="AF215" s="176" cm="1">
        <f t="array" ref="AF215">IF(OR(AE215="/",AE215=""),"/",IF(ISNUMBER(SEARCH("普通",AE215)),0,IF(ISNUMBER(SEARCH("专用",AE215)),4,IF(ISNUMBER(SEARCH("定制",AE215)),7,IF(ISNUMBER(SEARCH("多个定制",AE215)),9,””)))))</f>
        <v>7</v>
      </c>
      <c r="AG215" s="176">
        <f t="shared" si="135"/>
        <v>21</v>
      </c>
      <c r="AH215" s="176" t="str">
        <f t="shared" si="136"/>
        <v>低Low</v>
      </c>
      <c r="AI215" s="176" t="s">
        <v>112</v>
      </c>
      <c r="AJ215" s="176" t="str">
        <f t="shared" si="123"/>
        <v>消除
Avoiding</v>
      </c>
      <c r="AK215" s="171" t="s">
        <v>519</v>
      </c>
      <c r="AL215" s="177" t="s">
        <v>520</v>
      </c>
      <c r="AM215" s="180" t="s">
        <v>115</v>
      </c>
      <c r="AN215" s="178" t="s">
        <v>116</v>
      </c>
      <c r="AO215" s="178" t="s">
        <v>117</v>
      </c>
    </row>
    <row r="216" s="116" customFormat="1" ht="17" customHeight="1" spans="1:41">
      <c r="A216" s="171">
        <v>212</v>
      </c>
      <c r="B216" s="179"/>
      <c r="C216" s="179"/>
      <c r="D216" s="179"/>
      <c r="E216" s="171"/>
      <c r="F216" s="171" t="s">
        <v>73</v>
      </c>
      <c r="G216" s="171"/>
      <c r="H216" s="171"/>
      <c r="I216" s="171"/>
      <c r="J216" s="171"/>
      <c r="K216" s="173" t="s">
        <v>521</v>
      </c>
      <c r="L216" s="173" t="s">
        <v>823</v>
      </c>
      <c r="M216" s="173" t="s">
        <v>120</v>
      </c>
      <c r="N216" s="174" t="s">
        <v>77</v>
      </c>
      <c r="O216" s="174" t="s">
        <v>96</v>
      </c>
      <c r="P216" s="174" t="s">
        <v>78</v>
      </c>
      <c r="Q216" s="174" t="s">
        <v>77</v>
      </c>
      <c r="R216" s="174" t="str">
        <f t="shared" si="130"/>
        <v>主要Major</v>
      </c>
      <c r="S216" s="175" t="s">
        <v>78</v>
      </c>
      <c r="T216" s="175" t="s">
        <v>523</v>
      </c>
      <c r="U216" s="175" t="s">
        <v>824</v>
      </c>
      <c r="V216" s="171" t="s">
        <v>820</v>
      </c>
      <c r="W216" s="171" t="s">
        <v>82</v>
      </c>
      <c r="X216" s="176">
        <f t="shared" si="131"/>
        <v>0</v>
      </c>
      <c r="Y216" s="171" t="s">
        <v>83</v>
      </c>
      <c r="Z216" s="176">
        <f t="shared" si="132"/>
        <v>6</v>
      </c>
      <c r="AA216" s="171" t="s">
        <v>84</v>
      </c>
      <c r="AB216" s="176">
        <f t="shared" si="133"/>
        <v>3</v>
      </c>
      <c r="AC216" s="171" t="s">
        <v>85</v>
      </c>
      <c r="AD216" s="176">
        <f t="shared" si="134"/>
        <v>4</v>
      </c>
      <c r="AE216" s="171" t="s">
        <v>86</v>
      </c>
      <c r="AF216" s="176" cm="1">
        <f t="array" ref="AF216">IF(OR(AE216="/",AE216=""),"/",IF(ISNUMBER(SEARCH("普通",AE216)),0,IF(ISNUMBER(SEARCH("专用",AE216)),4,IF(ISNUMBER(SEARCH("定制",AE216)),7,IF(ISNUMBER(SEARCH("多个定制",AE216)),9,””)))))</f>
        <v>4</v>
      </c>
      <c r="AG216" s="176">
        <f t="shared" si="135"/>
        <v>17</v>
      </c>
      <c r="AH216" s="176" t="str">
        <f t="shared" si="136"/>
        <v>中Medium</v>
      </c>
      <c r="AI216" s="176" t="s">
        <v>87</v>
      </c>
      <c r="AJ216" s="176" t="str">
        <f t="shared" si="123"/>
        <v>降低
Reucing</v>
      </c>
      <c r="AK216" s="171" t="s">
        <v>525</v>
      </c>
      <c r="AL216" s="177" t="s">
        <v>526</v>
      </c>
      <c r="AM216" s="180" t="s">
        <v>125</v>
      </c>
      <c r="AN216" s="178" t="s">
        <v>126</v>
      </c>
      <c r="AO216" s="178" t="s">
        <v>127</v>
      </c>
    </row>
    <row r="217" s="116" customFormat="1" ht="17" customHeight="1" spans="1:41">
      <c r="A217" s="171">
        <v>213</v>
      </c>
      <c r="B217" s="179"/>
      <c r="C217" s="179"/>
      <c r="D217" s="179"/>
      <c r="E217" s="171"/>
      <c r="F217" s="171" t="s">
        <v>73</v>
      </c>
      <c r="G217" s="171"/>
      <c r="H217" s="171"/>
      <c r="I217" s="171"/>
      <c r="J217" s="171"/>
      <c r="K217" s="173" t="s">
        <v>527</v>
      </c>
      <c r="L217" s="173" t="s">
        <v>825</v>
      </c>
      <c r="M217" s="173" t="s">
        <v>120</v>
      </c>
      <c r="N217" s="174" t="s">
        <v>96</v>
      </c>
      <c r="O217" s="174" t="s">
        <v>96</v>
      </c>
      <c r="P217" s="174" t="s">
        <v>78</v>
      </c>
      <c r="Q217" s="174" t="s">
        <v>77</v>
      </c>
      <c r="R217" s="174" t="str">
        <f t="shared" si="130"/>
        <v>主要Major</v>
      </c>
      <c r="S217" s="175" t="s">
        <v>78</v>
      </c>
      <c r="T217" s="175" t="s">
        <v>529</v>
      </c>
      <c r="U217" s="175" t="s">
        <v>826</v>
      </c>
      <c r="V217" s="171" t="s">
        <v>820</v>
      </c>
      <c r="W217" s="171" t="s">
        <v>111</v>
      </c>
      <c r="X217" s="176">
        <f t="shared" si="131"/>
        <v>1</v>
      </c>
      <c r="Y217" s="171" t="s">
        <v>83</v>
      </c>
      <c r="Z217" s="176">
        <f t="shared" si="132"/>
        <v>6</v>
      </c>
      <c r="AA217" s="171" t="s">
        <v>84</v>
      </c>
      <c r="AB217" s="176">
        <f t="shared" si="133"/>
        <v>3</v>
      </c>
      <c r="AC217" s="171" t="s">
        <v>85</v>
      </c>
      <c r="AD217" s="176">
        <f t="shared" si="134"/>
        <v>4</v>
      </c>
      <c r="AE217" s="171" t="s">
        <v>86</v>
      </c>
      <c r="AF217" s="176" cm="1">
        <f t="array" ref="AF217">IF(OR(AE217="/",AE217=""),"/",IF(ISNUMBER(SEARCH("普通",AE217)),0,IF(ISNUMBER(SEARCH("专用",AE217)),4,IF(ISNUMBER(SEARCH("定制",AE217)),7,IF(ISNUMBER(SEARCH("多个定制",AE217)),9,””)))))</f>
        <v>4</v>
      </c>
      <c r="AG217" s="176">
        <f t="shared" si="135"/>
        <v>18</v>
      </c>
      <c r="AH217" s="176" t="str">
        <f t="shared" si="136"/>
        <v>中Medium</v>
      </c>
      <c r="AI217" s="176" t="s">
        <v>87</v>
      </c>
      <c r="AJ217" s="176" t="str">
        <f t="shared" si="123"/>
        <v>降低
Reucing</v>
      </c>
      <c r="AK217" s="171" t="s">
        <v>531</v>
      </c>
      <c r="AL217" s="177" t="s">
        <v>532</v>
      </c>
      <c r="AM217" s="180" t="s">
        <v>134</v>
      </c>
      <c r="AN217" s="178" t="s">
        <v>135</v>
      </c>
      <c r="AO217" s="178" t="s">
        <v>136</v>
      </c>
    </row>
    <row r="218" s="116" customFormat="1" ht="17" customHeight="1" spans="1:41">
      <c r="A218" s="171">
        <v>214</v>
      </c>
      <c r="B218" s="179"/>
      <c r="C218" s="179"/>
      <c r="D218" s="179"/>
      <c r="E218" s="171"/>
      <c r="F218" s="171"/>
      <c r="G218" s="171" t="s">
        <v>73</v>
      </c>
      <c r="H218" s="171"/>
      <c r="I218" s="171"/>
      <c r="J218" s="171"/>
      <c r="K218" s="173" t="s">
        <v>533</v>
      </c>
      <c r="L218" s="173" t="s">
        <v>827</v>
      </c>
      <c r="M218" s="173" t="s">
        <v>150</v>
      </c>
      <c r="N218" s="174" t="s">
        <v>96</v>
      </c>
      <c r="O218" s="174" t="s">
        <v>96</v>
      </c>
      <c r="P218" s="174" t="s">
        <v>96</v>
      </c>
      <c r="Q218" s="174" t="s">
        <v>77</v>
      </c>
      <c r="R218" s="174" t="str">
        <f t="shared" si="130"/>
        <v>中等Medium</v>
      </c>
      <c r="S218" s="175" t="s">
        <v>96</v>
      </c>
      <c r="T218" s="175" t="s">
        <v>535</v>
      </c>
      <c r="U218" s="175" t="s">
        <v>152</v>
      </c>
      <c r="V218" s="171" t="s">
        <v>820</v>
      </c>
      <c r="W218" s="171" t="s">
        <v>82</v>
      </c>
      <c r="X218" s="176">
        <f t="shared" si="131"/>
        <v>0</v>
      </c>
      <c r="Y218" s="171" t="s">
        <v>83</v>
      </c>
      <c r="Z218" s="176">
        <f t="shared" si="132"/>
        <v>6</v>
      </c>
      <c r="AA218" s="171" t="s">
        <v>153</v>
      </c>
      <c r="AB218" s="176">
        <f t="shared" si="133"/>
        <v>0</v>
      </c>
      <c r="AC218" s="171" t="s">
        <v>85</v>
      </c>
      <c r="AD218" s="176">
        <f t="shared" si="134"/>
        <v>4</v>
      </c>
      <c r="AE218" s="171" t="s">
        <v>143</v>
      </c>
      <c r="AF218" s="176" cm="1">
        <f t="array" ref="AF218">IF(OR(AE218="/",AE218=""),"/",IF(ISNUMBER(SEARCH("普通",AE218)),0,IF(ISNUMBER(SEARCH("专用",AE218)),4,IF(ISNUMBER(SEARCH("定制",AE218)),7,IF(ISNUMBER(SEARCH("多个定制",AE218)),9,””)))))</f>
        <v>7</v>
      </c>
      <c r="AG218" s="176">
        <f t="shared" si="135"/>
        <v>17</v>
      </c>
      <c r="AH218" s="176" t="str">
        <f t="shared" si="136"/>
        <v>中Medium</v>
      </c>
      <c r="AI218" s="176" t="s">
        <v>144</v>
      </c>
      <c r="AJ218" s="176" t="str">
        <f t="shared" si="123"/>
        <v>保留
Retaining</v>
      </c>
      <c r="AK218" s="171" t="s">
        <v>145</v>
      </c>
      <c r="AL218" s="177" t="s">
        <v>145</v>
      </c>
      <c r="AM218" s="171" t="s">
        <v>145</v>
      </c>
      <c r="AN218" s="178" t="s">
        <v>280</v>
      </c>
      <c r="AO218" s="178" t="s">
        <v>281</v>
      </c>
    </row>
    <row r="219" s="116" customFormat="1" ht="17" customHeight="1" spans="1:41">
      <c r="A219" s="171">
        <v>215</v>
      </c>
      <c r="B219" s="179"/>
      <c r="C219" s="179"/>
      <c r="D219" s="179"/>
      <c r="E219" s="171"/>
      <c r="F219" s="171"/>
      <c r="G219" s="171"/>
      <c r="H219" s="171" t="s">
        <v>73</v>
      </c>
      <c r="I219" s="171"/>
      <c r="J219" s="171"/>
      <c r="K219" s="173" t="s">
        <v>536</v>
      </c>
      <c r="L219" s="173" t="s">
        <v>828</v>
      </c>
      <c r="M219" s="173" t="s">
        <v>166</v>
      </c>
      <c r="N219" s="174" t="s">
        <v>96</v>
      </c>
      <c r="O219" s="174" t="s">
        <v>96</v>
      </c>
      <c r="P219" s="174" t="s">
        <v>96</v>
      </c>
      <c r="Q219" s="174" t="s">
        <v>77</v>
      </c>
      <c r="R219" s="174" t="str">
        <f t="shared" si="130"/>
        <v>中等Medium</v>
      </c>
      <c r="S219" s="171" t="s">
        <v>96</v>
      </c>
      <c r="T219" s="175" t="s">
        <v>538</v>
      </c>
      <c r="U219" s="175" t="s">
        <v>829</v>
      </c>
      <c r="V219" s="171" t="s">
        <v>820</v>
      </c>
      <c r="W219" s="171" t="s">
        <v>82</v>
      </c>
      <c r="X219" s="176">
        <f t="shared" si="131"/>
        <v>0</v>
      </c>
      <c r="Y219" s="171" t="s">
        <v>83</v>
      </c>
      <c r="Z219" s="176">
        <f t="shared" si="132"/>
        <v>6</v>
      </c>
      <c r="AA219" s="171" t="s">
        <v>84</v>
      </c>
      <c r="AB219" s="176">
        <f t="shared" si="133"/>
        <v>3</v>
      </c>
      <c r="AC219" s="171" t="s">
        <v>85</v>
      </c>
      <c r="AD219" s="176">
        <f t="shared" si="134"/>
        <v>4</v>
      </c>
      <c r="AE219" s="171" t="s">
        <v>86</v>
      </c>
      <c r="AF219" s="176" cm="1">
        <f t="array" ref="AF219">IF(OR(AE219="/",AE219=""),"/",IF(ISNUMBER(SEARCH("普通",AE219)),0,IF(ISNUMBER(SEARCH("专用",AE219)),4,IF(ISNUMBER(SEARCH("定制",AE219)),7,IF(ISNUMBER(SEARCH("多个定制",AE219)),9,””)))))</f>
        <v>4</v>
      </c>
      <c r="AG219" s="176">
        <f t="shared" si="135"/>
        <v>17</v>
      </c>
      <c r="AH219" s="176" t="str">
        <f t="shared" si="136"/>
        <v>中Medium</v>
      </c>
      <c r="AI219" s="176" t="s">
        <v>144</v>
      </c>
      <c r="AJ219" s="176" t="str">
        <f t="shared" si="123"/>
        <v>保留
Retaining</v>
      </c>
      <c r="AK219" s="171" t="s">
        <v>145</v>
      </c>
      <c r="AL219" s="177" t="s">
        <v>145</v>
      </c>
      <c r="AM219" s="180" t="s">
        <v>316</v>
      </c>
      <c r="AN219" s="178" t="s">
        <v>317</v>
      </c>
      <c r="AO219" s="178" t="s">
        <v>318</v>
      </c>
    </row>
    <row r="220" s="116" customFormat="1" ht="17" customHeight="1" spans="1:41">
      <c r="A220" s="171">
        <v>216</v>
      </c>
      <c r="B220" s="179"/>
      <c r="C220" s="179"/>
      <c r="D220" s="179"/>
      <c r="E220" s="171"/>
      <c r="F220" s="171"/>
      <c r="G220" s="171"/>
      <c r="H220" s="171"/>
      <c r="I220" s="171" t="s">
        <v>73</v>
      </c>
      <c r="J220" s="171"/>
      <c r="K220" s="173" t="s">
        <v>540</v>
      </c>
      <c r="L220" s="173" t="s">
        <v>830</v>
      </c>
      <c r="M220" s="173" t="s">
        <v>174</v>
      </c>
      <c r="N220" s="174" t="s">
        <v>96</v>
      </c>
      <c r="O220" s="174" t="s">
        <v>96</v>
      </c>
      <c r="P220" s="174" t="s">
        <v>96</v>
      </c>
      <c r="Q220" s="174" t="s">
        <v>77</v>
      </c>
      <c r="R220" s="174" t="str">
        <f t="shared" si="130"/>
        <v>中等Medium</v>
      </c>
      <c r="S220" s="175" t="s">
        <v>96</v>
      </c>
      <c r="T220" s="175" t="s">
        <v>542</v>
      </c>
      <c r="U220" s="175" t="s">
        <v>176</v>
      </c>
      <c r="V220" s="171" t="s">
        <v>820</v>
      </c>
      <c r="W220" s="171" t="s">
        <v>82</v>
      </c>
      <c r="X220" s="176">
        <f t="shared" si="131"/>
        <v>0</v>
      </c>
      <c r="Y220" s="171" t="s">
        <v>177</v>
      </c>
      <c r="Z220" s="176">
        <f t="shared" si="132"/>
        <v>3</v>
      </c>
      <c r="AA220" s="171" t="s">
        <v>153</v>
      </c>
      <c r="AB220" s="176">
        <f t="shared" si="133"/>
        <v>0</v>
      </c>
      <c r="AC220" s="171" t="s">
        <v>85</v>
      </c>
      <c r="AD220" s="176">
        <f t="shared" si="134"/>
        <v>4</v>
      </c>
      <c r="AE220" s="171" t="s">
        <v>86</v>
      </c>
      <c r="AF220" s="176" cm="1">
        <f t="array" ref="AF220">IF(OR(AE220="/",AE220=""),"/",IF(ISNUMBER(SEARCH("普通",AE220)),0,IF(ISNUMBER(SEARCH("专用",AE220)),4,IF(ISNUMBER(SEARCH("定制",AE220)),7,IF(ISNUMBER(SEARCH("多个定制",AE220)),9,””)))))</f>
        <v>4</v>
      </c>
      <c r="AG220" s="176">
        <f t="shared" si="135"/>
        <v>11</v>
      </c>
      <c r="AH220" s="176" t="str">
        <f t="shared" si="136"/>
        <v>高High</v>
      </c>
      <c r="AI220" s="176" t="s">
        <v>87</v>
      </c>
      <c r="AJ220" s="176" t="str">
        <f t="shared" si="123"/>
        <v>降低
Reucing</v>
      </c>
      <c r="AK220" s="171" t="s">
        <v>543</v>
      </c>
      <c r="AL220" s="177" t="s">
        <v>544</v>
      </c>
      <c r="AM220" s="180" t="s">
        <v>329</v>
      </c>
      <c r="AN220" s="178" t="s">
        <v>181</v>
      </c>
      <c r="AO220" s="178" t="s">
        <v>182</v>
      </c>
    </row>
    <row r="221" s="116" customFormat="1" ht="17" customHeight="1" spans="1:41">
      <c r="A221" s="171">
        <v>217</v>
      </c>
      <c r="B221" s="181"/>
      <c r="C221" s="181"/>
      <c r="D221" s="181"/>
      <c r="E221" s="171"/>
      <c r="F221" s="171"/>
      <c r="G221" s="171"/>
      <c r="H221" s="171"/>
      <c r="I221" s="171"/>
      <c r="J221" s="171" t="s">
        <v>183</v>
      </c>
      <c r="K221" s="173" t="s">
        <v>145</v>
      </c>
      <c r="L221" s="173" t="s">
        <v>145</v>
      </c>
      <c r="M221" s="173" t="s">
        <v>145</v>
      </c>
      <c r="N221" s="174" t="s">
        <v>145</v>
      </c>
      <c r="O221" s="174" t="s">
        <v>145</v>
      </c>
      <c r="P221" s="174" t="s">
        <v>145</v>
      </c>
      <c r="Q221" s="174" t="s">
        <v>145</v>
      </c>
      <c r="R221" s="174" t="s">
        <v>145</v>
      </c>
      <c r="S221" s="175" t="s">
        <v>145</v>
      </c>
      <c r="T221" s="175" t="s">
        <v>145</v>
      </c>
      <c r="U221" s="175" t="s">
        <v>145</v>
      </c>
      <c r="V221" s="171" t="s">
        <v>145</v>
      </c>
      <c r="W221" s="171" t="s">
        <v>145</v>
      </c>
      <c r="X221" s="176" t="s">
        <v>145</v>
      </c>
      <c r="Y221" s="171" t="s">
        <v>145</v>
      </c>
      <c r="Z221" s="176" t="s">
        <v>145</v>
      </c>
      <c r="AA221" s="171" t="s">
        <v>145</v>
      </c>
      <c r="AB221" s="176" t="s">
        <v>145</v>
      </c>
      <c r="AC221" s="171" t="s">
        <v>145</v>
      </c>
      <c r="AD221" s="176" t="s">
        <v>145</v>
      </c>
      <c r="AE221" s="171" t="s">
        <v>145</v>
      </c>
      <c r="AF221" s="176" t="str" cm="1">
        <f t="array" ref="AF221">IF(OR(AE221="/",AE221=""),"/",IF(ISNUMBER(SEARCH("普通",AE221)),0,IF(ISNUMBER(SEARCH("专用",AE221)),4,IF(ISNUMBER(SEARCH("定制",AE221)),7,IF(ISNUMBER(SEARCH("多个定制",AE221)),9,””)))))</f>
        <v>/</v>
      </c>
      <c r="AG221" s="176" t="s">
        <v>145</v>
      </c>
      <c r="AH221" s="176" t="s">
        <v>145</v>
      </c>
      <c r="AI221" s="176" t="s">
        <v>145</v>
      </c>
      <c r="AJ221" s="176" t="str">
        <f t="shared" si="123"/>
        <v>/</v>
      </c>
      <c r="AK221" s="171" t="s">
        <v>145</v>
      </c>
      <c r="AL221" s="177" t="s">
        <v>145</v>
      </c>
      <c r="AM221" s="177" t="s">
        <v>145</v>
      </c>
      <c r="AN221" s="177" t="s">
        <v>145</v>
      </c>
      <c r="AO221" s="177" t="s">
        <v>145</v>
      </c>
    </row>
    <row r="222" s="116" customFormat="1" ht="17" customHeight="1" spans="1:41">
      <c r="A222" s="171">
        <v>218</v>
      </c>
      <c r="B222" s="172" t="s">
        <v>831</v>
      </c>
      <c r="C222" s="171" t="s">
        <v>71</v>
      </c>
      <c r="D222" s="173" t="s">
        <v>832</v>
      </c>
      <c r="E222" s="171" t="s">
        <v>73</v>
      </c>
      <c r="F222" s="171"/>
      <c r="G222" s="171"/>
      <c r="H222" s="171"/>
      <c r="I222" s="171"/>
      <c r="J222" s="171"/>
      <c r="K222" s="173" t="s">
        <v>547</v>
      </c>
      <c r="L222" s="173" t="s">
        <v>833</v>
      </c>
      <c r="M222" s="173" t="s">
        <v>106</v>
      </c>
      <c r="N222" s="174" t="s">
        <v>77</v>
      </c>
      <c r="O222" s="174" t="s">
        <v>77</v>
      </c>
      <c r="P222" s="174" t="s">
        <v>96</v>
      </c>
      <c r="Q222" s="174" t="s">
        <v>78</v>
      </c>
      <c r="R222" s="174" t="s">
        <v>96</v>
      </c>
      <c r="S222" s="171" t="s">
        <v>96</v>
      </c>
      <c r="T222" s="175" t="s">
        <v>549</v>
      </c>
      <c r="U222" s="175" t="s">
        <v>109</v>
      </c>
      <c r="V222" s="171" t="s">
        <v>834</v>
      </c>
      <c r="W222" s="171" t="s">
        <v>82</v>
      </c>
      <c r="X222" s="176">
        <f t="shared" ref="X222:X226" si="137">IF(OR(W222="/",W222=""),"/",IF(ISNUMBER(SEARCH("1天",W222)),0,IF(ISNUMBER(SEARCH("一周",W222)),1,IF(ISNUMBER(SEARCH("1个月",W222)),4,IF(ISNUMBER(SEARCH("超过",W222)),19,IF(ISNUMBER(SEARCH("6个月",W222)),17,""))))))</f>
        <v>0</v>
      </c>
      <c r="Y222" s="171" t="s">
        <v>83</v>
      </c>
      <c r="Z222" s="176">
        <f t="shared" ref="Z222:Z226" si="138">IF(OR(Y222="/",Y222=""),"/",IF(ISNUMBER(SEARCH("新手",Y222)),0,IF(ISNUMBER(SEARCH("熟练",Y222)),3,IF(ISNUMBER(SEARCH("多位",Y222)),17,IF(ISNUMBER(SEARCH("专家",Y222)),6,"")))))</f>
        <v>6</v>
      </c>
      <c r="AA222" s="171" t="s">
        <v>84</v>
      </c>
      <c r="AB222" s="176">
        <f t="shared" ref="AB222:AB226" si="139">IF(OR(AA222="/",AA222=""),"/",IF(ISNUMBER(SEARCH("公开",AA222)),0,IF(ISNUMBER(SEARCH("限制性信息",AA222)),3,IF(ISNUMBER(SEARCH("机密信息",AA222)),7,IF(ISNUMBER(SEARCH("严格保密",AA222)),11,"")))))</f>
        <v>3</v>
      </c>
      <c r="AC222" s="171" t="s">
        <v>85</v>
      </c>
      <c r="AD222" s="176">
        <f t="shared" ref="AD222:AD226" si="140">IF(OR(AC222="/",AC222=""),"/",IF(ISNUMBER(SEARCH("无限制",AC222)),0,IF(ISNUMBER(SEARCH("容易",AC222)),1,IF(ISNUMBER(SEARCH("一般",AC222)),4,IF(ISNUMBER(SEARCH("困难",AC222)),10,"")))))</f>
        <v>4</v>
      </c>
      <c r="AE222" s="171" t="s">
        <v>86</v>
      </c>
      <c r="AF222" s="176" cm="1">
        <f t="array" ref="AF222">IF(OR(AE222="/",AE222=""),"/",IF(ISNUMBER(SEARCH("普通",AE222)),0,IF(ISNUMBER(SEARCH("专用",AE222)),4,IF(ISNUMBER(SEARCH("定制",AE222)),7,IF(ISNUMBER(SEARCH("多个定制",AE222)),9,””)))))</f>
        <v>4</v>
      </c>
      <c r="AG222" s="176">
        <f t="shared" ref="AG222:AG226" si="141">IF(OR(X222="/",Z222="/",AB222="/",AD222="/",AF222="/"),"/",X222+Z222+AB222+AD222+AF222)</f>
        <v>17</v>
      </c>
      <c r="AH222" s="176" t="str">
        <f t="shared" ref="AH222:AH226" si="142">IF(AND(AG222&gt;=0,AG222&lt;14),"高High",IF(AND(AG222&gt;=14,AG222&lt;20),"中Medium",IF(AND(AG222&gt;=20,AG222&lt;25),"低Low",IF(AND(AG222&gt;=25,AG222&lt;57),"非常低Very low",""))))</f>
        <v>中Medium</v>
      </c>
      <c r="AI222" s="176" t="s">
        <v>144</v>
      </c>
      <c r="AJ222" s="176" t="str">
        <f t="shared" si="123"/>
        <v>保留
Retaining</v>
      </c>
      <c r="AK222" s="171" t="s">
        <v>145</v>
      </c>
      <c r="AL222" s="177" t="s">
        <v>145</v>
      </c>
      <c r="AM222" s="180" t="s">
        <v>115</v>
      </c>
      <c r="AN222" s="178" t="s">
        <v>116</v>
      </c>
      <c r="AO222" s="178" t="s">
        <v>117</v>
      </c>
    </row>
    <row r="223" s="116" customFormat="1" ht="17" customHeight="1" spans="1:41">
      <c r="A223" s="171">
        <v>219</v>
      </c>
      <c r="B223" s="179"/>
      <c r="C223" s="179"/>
      <c r="D223" s="179"/>
      <c r="E223" s="171"/>
      <c r="F223" s="171" t="s">
        <v>73</v>
      </c>
      <c r="G223" s="171"/>
      <c r="H223" s="171"/>
      <c r="I223" s="171"/>
      <c r="J223" s="171"/>
      <c r="K223" s="173" t="s">
        <v>551</v>
      </c>
      <c r="L223" s="173" t="s">
        <v>835</v>
      </c>
      <c r="M223" s="173" t="s">
        <v>553</v>
      </c>
      <c r="N223" s="174" t="s">
        <v>77</v>
      </c>
      <c r="O223" s="174" t="s">
        <v>77</v>
      </c>
      <c r="P223" s="174" t="s">
        <v>96</v>
      </c>
      <c r="Q223" s="174" t="s">
        <v>77</v>
      </c>
      <c r="R223" s="174" t="str">
        <f>IF(OR(N223="严重Severe",O223="严重Severe",P223="严重Severe",Q223="严重Severe"),"严重Severe",IF(OR(N223="主要Major",O223="主要Major",P223="主要Major",Q223="主要Major"),"主要Major",IF(OR(N223="中等Medium",O223="中等Medium",P223="中等Medium",Q223="中等Medium"),"中等Medium",IF(OR(N223="可忽略不计Negligible",O223="可忽略不计Negligible",P223="可忽略不计Negligible",Q223="可忽略不计Negligible"),"可忽略不计Negligible","/"))))</f>
        <v>中等Medium</v>
      </c>
      <c r="S223" s="175" t="s">
        <v>96</v>
      </c>
      <c r="T223" s="175" t="s">
        <v>554</v>
      </c>
      <c r="U223" s="175" t="s">
        <v>555</v>
      </c>
      <c r="V223" s="171" t="s">
        <v>836</v>
      </c>
      <c r="W223" s="171" t="s">
        <v>111</v>
      </c>
      <c r="X223" s="176">
        <f t="shared" si="137"/>
        <v>1</v>
      </c>
      <c r="Y223" s="171" t="s">
        <v>83</v>
      </c>
      <c r="Z223" s="176">
        <f t="shared" si="138"/>
        <v>6</v>
      </c>
      <c r="AA223" s="171" t="s">
        <v>557</v>
      </c>
      <c r="AB223" s="176">
        <f t="shared" si="139"/>
        <v>0</v>
      </c>
      <c r="AC223" s="171" t="s">
        <v>558</v>
      </c>
      <c r="AD223" s="176">
        <f t="shared" si="140"/>
        <v>10</v>
      </c>
      <c r="AE223" s="171" t="s">
        <v>86</v>
      </c>
      <c r="AF223" s="176" cm="1">
        <f t="array" ref="AF223">IF(OR(AE223="/",AE223=""),"/",IF(ISNUMBER(SEARCH("普通",AE223)),0,IF(ISNUMBER(SEARCH("专用",AE223)),4,IF(ISNUMBER(SEARCH("定制",AE223)),7,IF(ISNUMBER(SEARCH("多个定制",AE223)),9,””)))))</f>
        <v>4</v>
      </c>
      <c r="AG223" s="176">
        <f t="shared" si="141"/>
        <v>21</v>
      </c>
      <c r="AH223" s="176" t="str">
        <f t="shared" si="142"/>
        <v>低Low</v>
      </c>
      <c r="AI223" s="176" t="s">
        <v>144</v>
      </c>
      <c r="AJ223" s="176" t="str">
        <f t="shared" si="123"/>
        <v>保留
Retaining</v>
      </c>
      <c r="AK223" s="171" t="s">
        <v>145</v>
      </c>
      <c r="AL223" s="177" t="s">
        <v>145</v>
      </c>
      <c r="AM223" s="171" t="s">
        <v>145</v>
      </c>
      <c r="AN223" s="178" t="s">
        <v>270</v>
      </c>
      <c r="AO223" s="178" t="s">
        <v>271</v>
      </c>
    </row>
    <row r="224" s="116" customFormat="1" ht="17" customHeight="1" spans="1:41">
      <c r="A224" s="171">
        <v>220</v>
      </c>
      <c r="B224" s="179"/>
      <c r="C224" s="179"/>
      <c r="D224" s="179"/>
      <c r="E224" s="171"/>
      <c r="F224" s="171" t="s">
        <v>73</v>
      </c>
      <c r="G224" s="171"/>
      <c r="H224" s="171"/>
      <c r="I224" s="171"/>
      <c r="J224" s="171"/>
      <c r="K224" s="173" t="s">
        <v>582</v>
      </c>
      <c r="L224" s="173" t="s">
        <v>837</v>
      </c>
      <c r="M224" s="173" t="s">
        <v>120</v>
      </c>
      <c r="N224" s="174" t="s">
        <v>77</v>
      </c>
      <c r="O224" s="174" t="s">
        <v>77</v>
      </c>
      <c r="P224" s="174" t="s">
        <v>78</v>
      </c>
      <c r="Q224" s="174" t="s">
        <v>77</v>
      </c>
      <c r="R224" s="174" t="s">
        <v>96</v>
      </c>
      <c r="S224" s="171" t="s">
        <v>96</v>
      </c>
      <c r="T224" s="175" t="s">
        <v>584</v>
      </c>
      <c r="U224" s="175" t="s">
        <v>838</v>
      </c>
      <c r="V224" s="171" t="s">
        <v>836</v>
      </c>
      <c r="W224" s="171" t="s">
        <v>111</v>
      </c>
      <c r="X224" s="176">
        <f t="shared" si="137"/>
        <v>1</v>
      </c>
      <c r="Y224" s="171" t="s">
        <v>83</v>
      </c>
      <c r="Z224" s="176">
        <f t="shared" si="138"/>
        <v>6</v>
      </c>
      <c r="AA224" s="171" t="s">
        <v>84</v>
      </c>
      <c r="AB224" s="176">
        <f t="shared" si="139"/>
        <v>3</v>
      </c>
      <c r="AC224" s="171" t="s">
        <v>85</v>
      </c>
      <c r="AD224" s="176">
        <f t="shared" si="140"/>
        <v>4</v>
      </c>
      <c r="AE224" s="171" t="s">
        <v>86</v>
      </c>
      <c r="AF224" s="176" cm="1">
        <f t="array" ref="AF224">IF(OR(AE224="/",AE224=""),"/",IF(ISNUMBER(SEARCH("普通",AE224)),0,IF(ISNUMBER(SEARCH("专用",AE224)),4,IF(ISNUMBER(SEARCH("定制",AE224)),7,IF(ISNUMBER(SEARCH("多个定制",AE224)),9,””)))))</f>
        <v>4</v>
      </c>
      <c r="AG224" s="176">
        <f t="shared" si="141"/>
        <v>18</v>
      </c>
      <c r="AH224" s="176" t="str">
        <f t="shared" si="142"/>
        <v>中Medium</v>
      </c>
      <c r="AI224" s="176" t="s">
        <v>144</v>
      </c>
      <c r="AJ224" s="176" t="str">
        <f t="shared" si="123"/>
        <v>保留
Retaining</v>
      </c>
      <c r="AK224" s="171" t="s">
        <v>145</v>
      </c>
      <c r="AL224" s="177" t="s">
        <v>145</v>
      </c>
      <c r="AM224" s="180" t="s">
        <v>134</v>
      </c>
      <c r="AN224" s="178" t="s">
        <v>135</v>
      </c>
      <c r="AO224" s="178" t="s">
        <v>136</v>
      </c>
    </row>
    <row r="225" s="116" customFormat="1" ht="17" customHeight="1" spans="1:41">
      <c r="A225" s="171">
        <v>221</v>
      </c>
      <c r="B225" s="179"/>
      <c r="C225" s="179"/>
      <c r="D225" s="179"/>
      <c r="E225" s="171"/>
      <c r="F225" s="171"/>
      <c r="G225" s="171" t="s">
        <v>559</v>
      </c>
      <c r="H225" s="171"/>
      <c r="I225" s="171"/>
      <c r="J225" s="171"/>
      <c r="K225" s="173" t="s">
        <v>560</v>
      </c>
      <c r="L225" s="173" t="s">
        <v>839</v>
      </c>
      <c r="M225" s="173" t="s">
        <v>145</v>
      </c>
      <c r="N225" s="174" t="s">
        <v>145</v>
      </c>
      <c r="O225" s="174" t="s">
        <v>145</v>
      </c>
      <c r="P225" s="174" t="s">
        <v>145</v>
      </c>
      <c r="Q225" s="174" t="s">
        <v>145</v>
      </c>
      <c r="R225" s="174" t="str">
        <f>IF(OR(N225="严重Severe",O225="严重Severe",P225="严重Severe",Q225="严重Severe"),"严重Severe",IF(OR(N225="主要Major",O225="主要Major",P225="主要Major",Q225="主要Major"),"主要Major",IF(OR(N225="中等Medium",O225="中等Medium",P225="中等Medium",Q225="中等Medium"),"中等Medium",IF(OR(N225="可忽略不计Negligible",O225="可忽略不计Negligible",P225="可忽略不计Negligible",Q225="可忽略不计Negligible"),"可忽略不计Negligible","/"))))</f>
        <v>/</v>
      </c>
      <c r="S225" s="175" t="s">
        <v>145</v>
      </c>
      <c r="T225" s="175" t="s">
        <v>145</v>
      </c>
      <c r="U225" s="175" t="s">
        <v>145</v>
      </c>
      <c r="V225" s="171" t="s">
        <v>145</v>
      </c>
      <c r="W225" s="171" t="s">
        <v>145</v>
      </c>
      <c r="X225" s="176" t="str">
        <f t="shared" si="137"/>
        <v>/</v>
      </c>
      <c r="Y225" s="171" t="s">
        <v>145</v>
      </c>
      <c r="Z225" s="176" t="str">
        <f t="shared" si="138"/>
        <v>/</v>
      </c>
      <c r="AA225" s="171" t="s">
        <v>145</v>
      </c>
      <c r="AB225" s="176" t="str">
        <f t="shared" si="139"/>
        <v>/</v>
      </c>
      <c r="AC225" s="171" t="s">
        <v>145</v>
      </c>
      <c r="AD225" s="176" t="str">
        <f t="shared" si="140"/>
        <v>/</v>
      </c>
      <c r="AE225" s="171" t="s">
        <v>145</v>
      </c>
      <c r="AF225" s="176" t="str" cm="1">
        <f t="array" ref="AF225">IF(OR(AE225="/",AE225=""),"/",IF(ISNUMBER(SEARCH("普通",AE225)),0,IF(ISNUMBER(SEARCH("专用",AE225)),4,IF(ISNUMBER(SEARCH("定制",AE225)),7,IF(ISNUMBER(SEARCH("多个定制",AE225)),9,””)))))</f>
        <v>/</v>
      </c>
      <c r="AG225" s="176" t="str">
        <f t="shared" si="141"/>
        <v>/</v>
      </c>
      <c r="AH225" s="176" t="str">
        <f t="shared" si="142"/>
        <v/>
      </c>
      <c r="AI225" s="176" t="s">
        <v>145</v>
      </c>
      <c r="AJ225" s="176" t="str">
        <f t="shared" si="123"/>
        <v>/</v>
      </c>
      <c r="AK225" s="171" t="s">
        <v>145</v>
      </c>
      <c r="AL225" s="177" t="s">
        <v>145</v>
      </c>
      <c r="AM225" s="177" t="s">
        <v>145</v>
      </c>
      <c r="AN225" s="177" t="s">
        <v>145</v>
      </c>
      <c r="AO225" s="177" t="s">
        <v>145</v>
      </c>
    </row>
    <row r="226" s="116" customFormat="1" ht="17" customHeight="1" spans="1:41">
      <c r="A226" s="171">
        <v>222</v>
      </c>
      <c r="B226" s="179"/>
      <c r="C226" s="179"/>
      <c r="D226" s="179"/>
      <c r="E226" s="171"/>
      <c r="F226" s="171"/>
      <c r="G226" s="171"/>
      <c r="H226" s="171" t="s">
        <v>73</v>
      </c>
      <c r="I226" s="171"/>
      <c r="J226" s="171"/>
      <c r="K226" s="173" t="s">
        <v>587</v>
      </c>
      <c r="L226" s="173" t="s">
        <v>840</v>
      </c>
      <c r="M226" s="173" t="s">
        <v>589</v>
      </c>
      <c r="N226" s="174" t="s">
        <v>77</v>
      </c>
      <c r="O226" s="174" t="s">
        <v>77</v>
      </c>
      <c r="P226" s="174" t="s">
        <v>96</v>
      </c>
      <c r="Q226" s="174" t="s">
        <v>77</v>
      </c>
      <c r="R226" s="174" t="s">
        <v>96</v>
      </c>
      <c r="S226" s="171" t="s">
        <v>96</v>
      </c>
      <c r="T226" s="175" t="s">
        <v>590</v>
      </c>
      <c r="U226" s="175" t="s">
        <v>591</v>
      </c>
      <c r="V226" s="171" t="s">
        <v>836</v>
      </c>
      <c r="W226" s="171" t="s">
        <v>82</v>
      </c>
      <c r="X226" s="176">
        <f t="shared" si="137"/>
        <v>0</v>
      </c>
      <c r="Y226" s="171" t="s">
        <v>83</v>
      </c>
      <c r="Z226" s="176">
        <f t="shared" si="138"/>
        <v>6</v>
      </c>
      <c r="AA226" s="171" t="s">
        <v>84</v>
      </c>
      <c r="AB226" s="176">
        <f t="shared" si="139"/>
        <v>3</v>
      </c>
      <c r="AC226" s="171" t="s">
        <v>85</v>
      </c>
      <c r="AD226" s="176">
        <f t="shared" si="140"/>
        <v>4</v>
      </c>
      <c r="AE226" s="171" t="s">
        <v>86</v>
      </c>
      <c r="AF226" s="176" cm="1">
        <f t="array" ref="AF226">IF(OR(AE226="/",AE226=""),"/",IF(ISNUMBER(SEARCH("普通",AE226)),0,IF(ISNUMBER(SEARCH("专用",AE226)),4,IF(ISNUMBER(SEARCH("定制",AE226)),7,IF(ISNUMBER(SEARCH("多个定制",AE226)),9,””)))))</f>
        <v>4</v>
      </c>
      <c r="AG226" s="176">
        <f t="shared" si="141"/>
        <v>17</v>
      </c>
      <c r="AH226" s="176" t="str">
        <f t="shared" si="142"/>
        <v>中Medium</v>
      </c>
      <c r="AI226" s="176" t="s">
        <v>144</v>
      </c>
      <c r="AJ226" s="176" t="str">
        <f t="shared" si="123"/>
        <v>保留
Retaining</v>
      </c>
      <c r="AK226" s="171" t="s">
        <v>145</v>
      </c>
      <c r="AL226" s="177" t="s">
        <v>145</v>
      </c>
      <c r="AM226" s="180" t="s">
        <v>101</v>
      </c>
      <c r="AN226" s="178" t="s">
        <v>592</v>
      </c>
      <c r="AO226" s="178" t="s">
        <v>593</v>
      </c>
    </row>
    <row r="227" s="116" customFormat="1" ht="17" customHeight="1" spans="1:41">
      <c r="A227" s="171">
        <v>223</v>
      </c>
      <c r="B227" s="179"/>
      <c r="C227" s="179"/>
      <c r="D227" s="179"/>
      <c r="E227" s="171"/>
      <c r="F227" s="171"/>
      <c r="G227" s="171"/>
      <c r="H227" s="171"/>
      <c r="I227" s="171" t="s">
        <v>183</v>
      </c>
      <c r="J227" s="171"/>
      <c r="K227" s="173" t="s">
        <v>145</v>
      </c>
      <c r="L227" s="173" t="s">
        <v>145</v>
      </c>
      <c r="M227" s="173" t="s">
        <v>145</v>
      </c>
      <c r="N227" s="174" t="s">
        <v>145</v>
      </c>
      <c r="O227" s="174" t="s">
        <v>145</v>
      </c>
      <c r="P227" s="174" t="s">
        <v>145</v>
      </c>
      <c r="Q227" s="174" t="s">
        <v>145</v>
      </c>
      <c r="R227" s="174" t="s">
        <v>145</v>
      </c>
      <c r="S227" s="175" t="s">
        <v>145</v>
      </c>
      <c r="T227" s="175" t="s">
        <v>145</v>
      </c>
      <c r="U227" s="175" t="s">
        <v>145</v>
      </c>
      <c r="V227" s="171" t="s">
        <v>145</v>
      </c>
      <c r="W227" s="171" t="s">
        <v>145</v>
      </c>
      <c r="X227" s="176" t="s">
        <v>145</v>
      </c>
      <c r="Y227" s="171" t="s">
        <v>145</v>
      </c>
      <c r="Z227" s="176" t="s">
        <v>145</v>
      </c>
      <c r="AA227" s="171" t="s">
        <v>145</v>
      </c>
      <c r="AB227" s="176" t="s">
        <v>145</v>
      </c>
      <c r="AC227" s="171" t="s">
        <v>145</v>
      </c>
      <c r="AD227" s="176" t="s">
        <v>145</v>
      </c>
      <c r="AE227" s="171" t="s">
        <v>145</v>
      </c>
      <c r="AF227" s="176" t="str" cm="1">
        <f t="array" ref="AF227">IF(OR(AE227="/",AE227=""),"/",IF(ISNUMBER(SEARCH("普通",AE227)),0,IF(ISNUMBER(SEARCH("专用",AE227)),4,IF(ISNUMBER(SEARCH("定制",AE227)),7,IF(ISNUMBER(SEARCH("多个定制",AE227)),9,””)))))</f>
        <v>/</v>
      </c>
      <c r="AG227" s="176" t="s">
        <v>145</v>
      </c>
      <c r="AH227" s="176" t="s">
        <v>145</v>
      </c>
      <c r="AI227" s="176" t="s">
        <v>145</v>
      </c>
      <c r="AJ227" s="176" t="str">
        <f t="shared" si="123"/>
        <v>/</v>
      </c>
      <c r="AK227" s="171" t="s">
        <v>145</v>
      </c>
      <c r="AL227" s="177" t="s">
        <v>145</v>
      </c>
      <c r="AM227" s="177" t="s">
        <v>145</v>
      </c>
      <c r="AN227" s="177" t="s">
        <v>145</v>
      </c>
      <c r="AO227" s="177" t="s">
        <v>145</v>
      </c>
    </row>
    <row r="228" s="116" customFormat="1" ht="17" customHeight="1" spans="1:41">
      <c r="A228" s="171">
        <v>224</v>
      </c>
      <c r="B228" s="181"/>
      <c r="C228" s="181"/>
      <c r="D228" s="181"/>
      <c r="E228" s="171"/>
      <c r="F228" s="171"/>
      <c r="G228" s="171"/>
      <c r="H228" s="171"/>
      <c r="I228" s="171"/>
      <c r="J228" s="171" t="s">
        <v>183</v>
      </c>
      <c r="K228" s="173" t="s">
        <v>145</v>
      </c>
      <c r="L228" s="173" t="s">
        <v>145</v>
      </c>
      <c r="M228" s="173" t="s">
        <v>145</v>
      </c>
      <c r="N228" s="174" t="s">
        <v>145</v>
      </c>
      <c r="O228" s="174" t="s">
        <v>145</v>
      </c>
      <c r="P228" s="174" t="s">
        <v>145</v>
      </c>
      <c r="Q228" s="174" t="s">
        <v>145</v>
      </c>
      <c r="R228" s="174" t="s">
        <v>145</v>
      </c>
      <c r="S228" s="175" t="s">
        <v>145</v>
      </c>
      <c r="T228" s="175" t="s">
        <v>145</v>
      </c>
      <c r="U228" s="175" t="s">
        <v>145</v>
      </c>
      <c r="V228" s="171" t="s">
        <v>145</v>
      </c>
      <c r="W228" s="171" t="s">
        <v>145</v>
      </c>
      <c r="X228" s="176" t="s">
        <v>145</v>
      </c>
      <c r="Y228" s="171" t="s">
        <v>145</v>
      </c>
      <c r="Z228" s="176" t="s">
        <v>145</v>
      </c>
      <c r="AA228" s="171" t="s">
        <v>145</v>
      </c>
      <c r="AB228" s="176" t="s">
        <v>145</v>
      </c>
      <c r="AC228" s="171" t="s">
        <v>145</v>
      </c>
      <c r="AD228" s="176" t="s">
        <v>145</v>
      </c>
      <c r="AE228" s="171" t="s">
        <v>145</v>
      </c>
      <c r="AF228" s="176" t="str" cm="1">
        <f t="array" ref="AF228">IF(OR(AE228="/",AE228=""),"/",IF(ISNUMBER(SEARCH("普通",AE228)),0,IF(ISNUMBER(SEARCH("专用",AE228)),4,IF(ISNUMBER(SEARCH("定制",AE228)),7,IF(ISNUMBER(SEARCH("多个定制",AE228)),9,””)))))</f>
        <v>/</v>
      </c>
      <c r="AG228" s="176" t="s">
        <v>145</v>
      </c>
      <c r="AH228" s="176" t="s">
        <v>145</v>
      </c>
      <c r="AI228" s="176" t="s">
        <v>145</v>
      </c>
      <c r="AJ228" s="176" t="str">
        <f t="shared" si="123"/>
        <v>/</v>
      </c>
      <c r="AK228" s="171" t="s">
        <v>145</v>
      </c>
      <c r="AL228" s="177" t="s">
        <v>145</v>
      </c>
      <c r="AM228" s="177" t="s">
        <v>145</v>
      </c>
      <c r="AN228" s="177" t="s">
        <v>145</v>
      </c>
      <c r="AO228" s="177" t="s">
        <v>145</v>
      </c>
    </row>
    <row r="229" s="116" customFormat="1" ht="17" customHeight="1" spans="1:41">
      <c r="A229" s="171">
        <v>225</v>
      </c>
      <c r="B229" s="172" t="s">
        <v>841</v>
      </c>
      <c r="C229" s="171" t="s">
        <v>71</v>
      </c>
      <c r="D229" s="173" t="s">
        <v>842</v>
      </c>
      <c r="E229" s="171" t="s">
        <v>73</v>
      </c>
      <c r="F229" s="171"/>
      <c r="G229" s="171"/>
      <c r="H229" s="171"/>
      <c r="I229" s="171"/>
      <c r="J229" s="171"/>
      <c r="K229" s="173" t="s">
        <v>509</v>
      </c>
      <c r="L229" s="173" t="s">
        <v>843</v>
      </c>
      <c r="M229" s="173" t="s">
        <v>76</v>
      </c>
      <c r="N229" s="174" t="s">
        <v>77</v>
      </c>
      <c r="O229" s="174" t="s">
        <v>77</v>
      </c>
      <c r="P229" s="174" t="s">
        <v>78</v>
      </c>
      <c r="Q229" s="174" t="s">
        <v>77</v>
      </c>
      <c r="R229" s="174" t="str">
        <f t="shared" ref="R229:R235" si="143">IF(OR(N229="严重Severe",O229="严重Severe",P229="严重Severe",Q229="严重Severe"),"严重Severe",IF(OR(N229="主要Major",O229="主要Major",P229="主要Major",Q229="主要Major"),"主要Major",IF(OR(N229="中等Medium",O229="中等Medium",P229="中等Medium",Q229="中等Medium"),"中等Medium",IF(OR(N229="可忽略不计Negligible",O229="可忽略不计Negligible",P229="可忽略不计Negligible",Q229="可忽略不计Negligible"),"可忽略不计Negligible","/"))))</f>
        <v>主要Major</v>
      </c>
      <c r="S229" s="175" t="s">
        <v>78</v>
      </c>
      <c r="T229" s="175" t="s">
        <v>511</v>
      </c>
      <c r="U229" s="175" t="s">
        <v>80</v>
      </c>
      <c r="V229" s="171" t="s">
        <v>844</v>
      </c>
      <c r="W229" s="171" t="s">
        <v>82</v>
      </c>
      <c r="X229" s="176">
        <f t="shared" ref="X229:X235" si="144">IF(OR(W229="/",W229=""),"/",IF(ISNUMBER(SEARCH("1天",W229)),0,IF(ISNUMBER(SEARCH("一周",W229)),1,IF(ISNUMBER(SEARCH("1个月",W229)),4,IF(ISNUMBER(SEARCH("超过",W229)),19,IF(ISNUMBER(SEARCH("6个月",W229)),17,""))))))</f>
        <v>0</v>
      </c>
      <c r="Y229" s="171" t="s">
        <v>83</v>
      </c>
      <c r="Z229" s="176">
        <f t="shared" ref="Z229:Z235" si="145">IF(OR(Y229="/",Y229=""),"/",IF(ISNUMBER(SEARCH("新手",Y229)),0,IF(ISNUMBER(SEARCH("熟练",Y229)),3,IF(ISNUMBER(SEARCH("多位",Y229)),17,IF(ISNUMBER(SEARCH("专家",Y229)),6,"")))))</f>
        <v>6</v>
      </c>
      <c r="AA229" s="171" t="s">
        <v>84</v>
      </c>
      <c r="AB229" s="176">
        <f t="shared" ref="AB229:AB235" si="146">IF(OR(AA229="/",AA229=""),"/",IF(ISNUMBER(SEARCH("公开",AA229)),0,IF(ISNUMBER(SEARCH("限制性信息",AA229)),3,IF(ISNUMBER(SEARCH("机密信息",AA229)),7,IF(ISNUMBER(SEARCH("严格保密",AA229)),11,"")))))</f>
        <v>3</v>
      </c>
      <c r="AC229" s="171" t="s">
        <v>85</v>
      </c>
      <c r="AD229" s="176">
        <f t="shared" ref="AD229:AD235" si="147">IF(OR(AC229="/",AC229=""),"/",IF(ISNUMBER(SEARCH("无限制",AC229)),0,IF(ISNUMBER(SEARCH("容易",AC229)),1,IF(ISNUMBER(SEARCH("一般",AC229)),4,IF(ISNUMBER(SEARCH("困难",AC229)),10,"")))))</f>
        <v>4</v>
      </c>
      <c r="AE229" s="171" t="s">
        <v>86</v>
      </c>
      <c r="AF229" s="176" cm="1">
        <f t="array" ref="AF229">IF(OR(AE229="/",AE229=""),"/",IF(ISNUMBER(SEARCH("普通",AE229)),0,IF(ISNUMBER(SEARCH("专用",AE229)),4,IF(ISNUMBER(SEARCH("定制",AE229)),7,IF(ISNUMBER(SEARCH("多个定制",AE229)),9,””)))))</f>
        <v>4</v>
      </c>
      <c r="AG229" s="176">
        <f t="shared" ref="AG229:AG235" si="148">IF(OR(X229="/",Z229="/",AB229="/",AD229="/",AF229="/"),"/",X229+Z229+AB229+AD229+AF229)</f>
        <v>17</v>
      </c>
      <c r="AH229" s="176" t="str">
        <f t="shared" ref="AH229:AH235" si="149">IF(AND(AG229&gt;=0,AG229&lt;14),"高High",IF(AND(AG229&gt;=14,AG229&lt;20),"中Medium",IF(AND(AG229&gt;=20,AG229&lt;25),"低Low",IF(AND(AG229&gt;=25,AG229&lt;57),"非常低Very low",""))))</f>
        <v>中Medium</v>
      </c>
      <c r="AI229" s="176" t="s">
        <v>87</v>
      </c>
      <c r="AJ229" s="176" t="str">
        <f t="shared" si="123"/>
        <v>降低
Reucing</v>
      </c>
      <c r="AK229" s="171" t="s">
        <v>513</v>
      </c>
      <c r="AL229" s="177" t="s">
        <v>514</v>
      </c>
      <c r="AM229" s="180" t="s">
        <v>90</v>
      </c>
      <c r="AN229" s="178" t="s">
        <v>91</v>
      </c>
      <c r="AO229" s="178" t="s">
        <v>92</v>
      </c>
    </row>
    <row r="230" s="116" customFormat="1" ht="17" customHeight="1" spans="1:41">
      <c r="A230" s="171">
        <v>226</v>
      </c>
      <c r="B230" s="179"/>
      <c r="C230" s="179"/>
      <c r="D230" s="179"/>
      <c r="E230" s="171" t="s">
        <v>73</v>
      </c>
      <c r="F230" s="171"/>
      <c r="G230" s="171"/>
      <c r="H230" s="171"/>
      <c r="I230" s="171"/>
      <c r="J230" s="171"/>
      <c r="K230" s="173" t="s">
        <v>515</v>
      </c>
      <c r="L230" s="173" t="s">
        <v>845</v>
      </c>
      <c r="M230" s="173" t="s">
        <v>106</v>
      </c>
      <c r="N230" s="174" t="s">
        <v>77</v>
      </c>
      <c r="O230" s="174" t="s">
        <v>77</v>
      </c>
      <c r="P230" s="174" t="s">
        <v>96</v>
      </c>
      <c r="Q230" s="174" t="s">
        <v>78</v>
      </c>
      <c r="R230" s="174" t="str">
        <f t="shared" si="143"/>
        <v>主要Major</v>
      </c>
      <c r="S230" s="175" t="s">
        <v>107</v>
      </c>
      <c r="T230" s="175" t="s">
        <v>517</v>
      </c>
      <c r="U230" s="175" t="s">
        <v>109</v>
      </c>
      <c r="V230" s="171" t="s">
        <v>846</v>
      </c>
      <c r="W230" s="171" t="s">
        <v>111</v>
      </c>
      <c r="X230" s="176">
        <f t="shared" si="144"/>
        <v>1</v>
      </c>
      <c r="Y230" s="171" t="s">
        <v>83</v>
      </c>
      <c r="Z230" s="176">
        <f t="shared" si="145"/>
        <v>6</v>
      </c>
      <c r="AA230" s="171" t="s">
        <v>84</v>
      </c>
      <c r="AB230" s="176">
        <f t="shared" si="146"/>
        <v>3</v>
      </c>
      <c r="AC230" s="171" t="s">
        <v>85</v>
      </c>
      <c r="AD230" s="176">
        <f t="shared" si="147"/>
        <v>4</v>
      </c>
      <c r="AE230" s="171" t="s">
        <v>143</v>
      </c>
      <c r="AF230" s="176" cm="1">
        <f t="array" ref="AF230">IF(OR(AE230="/",AE230=""),"/",IF(ISNUMBER(SEARCH("普通",AE230)),0,IF(ISNUMBER(SEARCH("专用",AE230)),4,IF(ISNUMBER(SEARCH("定制",AE230)),7,IF(ISNUMBER(SEARCH("多个定制",AE230)),9,””)))))</f>
        <v>7</v>
      </c>
      <c r="AG230" s="176">
        <f t="shared" si="148"/>
        <v>21</v>
      </c>
      <c r="AH230" s="176" t="str">
        <f t="shared" si="149"/>
        <v>低Low</v>
      </c>
      <c r="AI230" s="176" t="s">
        <v>112</v>
      </c>
      <c r="AJ230" s="176" t="str">
        <f t="shared" si="123"/>
        <v>消除
Avoiding</v>
      </c>
      <c r="AK230" s="171" t="s">
        <v>519</v>
      </c>
      <c r="AL230" s="177" t="s">
        <v>520</v>
      </c>
      <c r="AM230" s="180" t="s">
        <v>115</v>
      </c>
      <c r="AN230" s="178" t="s">
        <v>116</v>
      </c>
      <c r="AO230" s="178" t="s">
        <v>117</v>
      </c>
    </row>
    <row r="231" s="116" customFormat="1" ht="17" customHeight="1" spans="1:41">
      <c r="A231" s="171">
        <v>227</v>
      </c>
      <c r="B231" s="179"/>
      <c r="C231" s="179"/>
      <c r="D231" s="179"/>
      <c r="E231" s="171"/>
      <c r="F231" s="171" t="s">
        <v>73</v>
      </c>
      <c r="G231" s="171"/>
      <c r="H231" s="171"/>
      <c r="I231" s="171"/>
      <c r="J231" s="171"/>
      <c r="K231" s="173" t="s">
        <v>521</v>
      </c>
      <c r="L231" s="173" t="s">
        <v>847</v>
      </c>
      <c r="M231" s="173" t="s">
        <v>120</v>
      </c>
      <c r="N231" s="174" t="s">
        <v>77</v>
      </c>
      <c r="O231" s="174" t="s">
        <v>96</v>
      </c>
      <c r="P231" s="174" t="s">
        <v>78</v>
      </c>
      <c r="Q231" s="174" t="s">
        <v>77</v>
      </c>
      <c r="R231" s="174" t="str">
        <f t="shared" si="143"/>
        <v>主要Major</v>
      </c>
      <c r="S231" s="175" t="s">
        <v>78</v>
      </c>
      <c r="T231" s="175" t="s">
        <v>523</v>
      </c>
      <c r="U231" s="175" t="s">
        <v>848</v>
      </c>
      <c r="V231" s="171" t="s">
        <v>844</v>
      </c>
      <c r="W231" s="171" t="s">
        <v>82</v>
      </c>
      <c r="X231" s="176">
        <f t="shared" si="144"/>
        <v>0</v>
      </c>
      <c r="Y231" s="171" t="s">
        <v>83</v>
      </c>
      <c r="Z231" s="176">
        <f t="shared" si="145"/>
        <v>6</v>
      </c>
      <c r="AA231" s="171" t="s">
        <v>84</v>
      </c>
      <c r="AB231" s="176">
        <f t="shared" si="146"/>
        <v>3</v>
      </c>
      <c r="AC231" s="171" t="s">
        <v>85</v>
      </c>
      <c r="AD231" s="176">
        <f t="shared" si="147"/>
        <v>4</v>
      </c>
      <c r="AE231" s="171" t="s">
        <v>86</v>
      </c>
      <c r="AF231" s="176" cm="1">
        <f t="array" ref="AF231">IF(OR(AE231="/",AE231=""),"/",IF(ISNUMBER(SEARCH("普通",AE231)),0,IF(ISNUMBER(SEARCH("专用",AE231)),4,IF(ISNUMBER(SEARCH("定制",AE231)),7,IF(ISNUMBER(SEARCH("多个定制",AE231)),9,””)))))</f>
        <v>4</v>
      </c>
      <c r="AG231" s="176">
        <f t="shared" si="148"/>
        <v>17</v>
      </c>
      <c r="AH231" s="176" t="str">
        <f t="shared" si="149"/>
        <v>中Medium</v>
      </c>
      <c r="AI231" s="176" t="s">
        <v>87</v>
      </c>
      <c r="AJ231" s="176" t="str">
        <f t="shared" si="123"/>
        <v>降低
Reucing</v>
      </c>
      <c r="AK231" s="171" t="s">
        <v>525</v>
      </c>
      <c r="AL231" s="177" t="s">
        <v>526</v>
      </c>
      <c r="AM231" s="180" t="s">
        <v>125</v>
      </c>
      <c r="AN231" s="178" t="s">
        <v>126</v>
      </c>
      <c r="AO231" s="178" t="s">
        <v>127</v>
      </c>
    </row>
    <row r="232" s="116" customFormat="1" ht="17" customHeight="1" spans="1:41">
      <c r="A232" s="171">
        <v>228</v>
      </c>
      <c r="B232" s="179"/>
      <c r="C232" s="179"/>
      <c r="D232" s="179"/>
      <c r="E232" s="171"/>
      <c r="F232" s="171" t="s">
        <v>73</v>
      </c>
      <c r="G232" s="171"/>
      <c r="H232" s="171"/>
      <c r="I232" s="171"/>
      <c r="J232" s="171"/>
      <c r="K232" s="173" t="s">
        <v>527</v>
      </c>
      <c r="L232" s="173" t="s">
        <v>849</v>
      </c>
      <c r="M232" s="173" t="s">
        <v>120</v>
      </c>
      <c r="N232" s="174" t="s">
        <v>96</v>
      </c>
      <c r="O232" s="174" t="s">
        <v>96</v>
      </c>
      <c r="P232" s="174" t="s">
        <v>78</v>
      </c>
      <c r="Q232" s="174" t="s">
        <v>77</v>
      </c>
      <c r="R232" s="174" t="str">
        <f t="shared" si="143"/>
        <v>主要Major</v>
      </c>
      <c r="S232" s="175" t="s">
        <v>78</v>
      </c>
      <c r="T232" s="175" t="s">
        <v>529</v>
      </c>
      <c r="U232" s="175" t="s">
        <v>850</v>
      </c>
      <c r="V232" s="171" t="s">
        <v>844</v>
      </c>
      <c r="W232" s="171" t="s">
        <v>111</v>
      </c>
      <c r="X232" s="176">
        <f t="shared" si="144"/>
        <v>1</v>
      </c>
      <c r="Y232" s="171" t="s">
        <v>83</v>
      </c>
      <c r="Z232" s="176">
        <f t="shared" si="145"/>
        <v>6</v>
      </c>
      <c r="AA232" s="171" t="s">
        <v>84</v>
      </c>
      <c r="AB232" s="176">
        <f t="shared" si="146"/>
        <v>3</v>
      </c>
      <c r="AC232" s="171" t="s">
        <v>85</v>
      </c>
      <c r="AD232" s="176">
        <f t="shared" si="147"/>
        <v>4</v>
      </c>
      <c r="AE232" s="171" t="s">
        <v>86</v>
      </c>
      <c r="AF232" s="176" cm="1">
        <f t="array" ref="AF232">IF(OR(AE232="/",AE232=""),"/",IF(ISNUMBER(SEARCH("普通",AE232)),0,IF(ISNUMBER(SEARCH("专用",AE232)),4,IF(ISNUMBER(SEARCH("定制",AE232)),7,IF(ISNUMBER(SEARCH("多个定制",AE232)),9,””)))))</f>
        <v>4</v>
      </c>
      <c r="AG232" s="176">
        <f t="shared" si="148"/>
        <v>18</v>
      </c>
      <c r="AH232" s="176" t="str">
        <f t="shared" si="149"/>
        <v>中Medium</v>
      </c>
      <c r="AI232" s="176" t="s">
        <v>87</v>
      </c>
      <c r="AJ232" s="176" t="str">
        <f t="shared" si="123"/>
        <v>降低
Reucing</v>
      </c>
      <c r="AK232" s="171" t="s">
        <v>531</v>
      </c>
      <c r="AL232" s="177" t="s">
        <v>532</v>
      </c>
      <c r="AM232" s="180" t="s">
        <v>134</v>
      </c>
      <c r="AN232" s="178" t="s">
        <v>135</v>
      </c>
      <c r="AO232" s="178" t="s">
        <v>136</v>
      </c>
    </row>
    <row r="233" s="116" customFormat="1" ht="17" customHeight="1" spans="1:41">
      <c r="A233" s="171">
        <v>229</v>
      </c>
      <c r="B233" s="179"/>
      <c r="C233" s="179"/>
      <c r="D233" s="179"/>
      <c r="E233" s="171"/>
      <c r="F233" s="171"/>
      <c r="G233" s="171" t="s">
        <v>73</v>
      </c>
      <c r="H233" s="171"/>
      <c r="I233" s="171"/>
      <c r="J233" s="171"/>
      <c r="K233" s="173" t="s">
        <v>533</v>
      </c>
      <c r="L233" s="173" t="s">
        <v>851</v>
      </c>
      <c r="M233" s="173" t="s">
        <v>150</v>
      </c>
      <c r="N233" s="174" t="s">
        <v>96</v>
      </c>
      <c r="O233" s="174" t="s">
        <v>96</v>
      </c>
      <c r="P233" s="174" t="s">
        <v>96</v>
      </c>
      <c r="Q233" s="174" t="s">
        <v>77</v>
      </c>
      <c r="R233" s="174" t="str">
        <f t="shared" si="143"/>
        <v>中等Medium</v>
      </c>
      <c r="S233" s="175" t="s">
        <v>96</v>
      </c>
      <c r="T233" s="175" t="s">
        <v>535</v>
      </c>
      <c r="U233" s="175" t="s">
        <v>152</v>
      </c>
      <c r="V233" s="171" t="s">
        <v>844</v>
      </c>
      <c r="W233" s="171" t="s">
        <v>82</v>
      </c>
      <c r="X233" s="176">
        <f t="shared" si="144"/>
        <v>0</v>
      </c>
      <c r="Y233" s="171" t="s">
        <v>83</v>
      </c>
      <c r="Z233" s="176">
        <f t="shared" si="145"/>
        <v>6</v>
      </c>
      <c r="AA233" s="171" t="s">
        <v>153</v>
      </c>
      <c r="AB233" s="176">
        <f t="shared" si="146"/>
        <v>0</v>
      </c>
      <c r="AC233" s="171" t="s">
        <v>85</v>
      </c>
      <c r="AD233" s="176">
        <f t="shared" si="147"/>
        <v>4</v>
      </c>
      <c r="AE233" s="171" t="s">
        <v>143</v>
      </c>
      <c r="AF233" s="176" cm="1">
        <f t="array" ref="AF233">IF(OR(AE233="/",AE233=""),"/",IF(ISNUMBER(SEARCH("普通",AE233)),0,IF(ISNUMBER(SEARCH("专用",AE233)),4,IF(ISNUMBER(SEARCH("定制",AE233)),7,IF(ISNUMBER(SEARCH("多个定制",AE233)),9,””)))))</f>
        <v>7</v>
      </c>
      <c r="AG233" s="176">
        <f t="shared" si="148"/>
        <v>17</v>
      </c>
      <c r="AH233" s="176" t="str">
        <f t="shared" si="149"/>
        <v>中Medium</v>
      </c>
      <c r="AI233" s="176" t="s">
        <v>144</v>
      </c>
      <c r="AJ233" s="176" t="str">
        <f t="shared" si="123"/>
        <v>保留
Retaining</v>
      </c>
      <c r="AK233" s="171" t="s">
        <v>145</v>
      </c>
      <c r="AL233" s="177" t="s">
        <v>145</v>
      </c>
      <c r="AM233" s="171" t="s">
        <v>145</v>
      </c>
      <c r="AN233" s="178" t="s">
        <v>280</v>
      </c>
      <c r="AO233" s="178" t="s">
        <v>281</v>
      </c>
    </row>
    <row r="234" s="116" customFormat="1" ht="17" customHeight="1" spans="1:41">
      <c r="A234" s="171">
        <v>230</v>
      </c>
      <c r="B234" s="179"/>
      <c r="C234" s="179"/>
      <c r="D234" s="179"/>
      <c r="E234" s="171"/>
      <c r="F234" s="171"/>
      <c r="G234" s="171"/>
      <c r="H234" s="171" t="s">
        <v>73</v>
      </c>
      <c r="I234" s="171"/>
      <c r="J234" s="171"/>
      <c r="K234" s="173" t="s">
        <v>536</v>
      </c>
      <c r="L234" s="173" t="s">
        <v>852</v>
      </c>
      <c r="M234" s="173" t="s">
        <v>166</v>
      </c>
      <c r="N234" s="174" t="s">
        <v>96</v>
      </c>
      <c r="O234" s="174" t="s">
        <v>96</v>
      </c>
      <c r="P234" s="174" t="s">
        <v>96</v>
      </c>
      <c r="Q234" s="174" t="s">
        <v>77</v>
      </c>
      <c r="R234" s="174" t="str">
        <f t="shared" si="143"/>
        <v>中等Medium</v>
      </c>
      <c r="S234" s="171" t="s">
        <v>96</v>
      </c>
      <c r="T234" s="175" t="s">
        <v>538</v>
      </c>
      <c r="U234" s="175" t="s">
        <v>853</v>
      </c>
      <c r="V234" s="171" t="s">
        <v>844</v>
      </c>
      <c r="W234" s="171" t="s">
        <v>82</v>
      </c>
      <c r="X234" s="176">
        <f t="shared" si="144"/>
        <v>0</v>
      </c>
      <c r="Y234" s="171" t="s">
        <v>83</v>
      </c>
      <c r="Z234" s="176">
        <f t="shared" si="145"/>
        <v>6</v>
      </c>
      <c r="AA234" s="171" t="s">
        <v>84</v>
      </c>
      <c r="AB234" s="176">
        <f t="shared" si="146"/>
        <v>3</v>
      </c>
      <c r="AC234" s="171" t="s">
        <v>85</v>
      </c>
      <c r="AD234" s="176">
        <f t="shared" si="147"/>
        <v>4</v>
      </c>
      <c r="AE234" s="171" t="s">
        <v>86</v>
      </c>
      <c r="AF234" s="176" cm="1">
        <f t="array" ref="AF234">IF(OR(AE234="/",AE234=""),"/",IF(ISNUMBER(SEARCH("普通",AE234)),0,IF(ISNUMBER(SEARCH("专用",AE234)),4,IF(ISNUMBER(SEARCH("定制",AE234)),7,IF(ISNUMBER(SEARCH("多个定制",AE234)),9,””)))))</f>
        <v>4</v>
      </c>
      <c r="AG234" s="176">
        <f t="shared" si="148"/>
        <v>17</v>
      </c>
      <c r="AH234" s="176" t="str">
        <f t="shared" si="149"/>
        <v>中Medium</v>
      </c>
      <c r="AI234" s="176" t="s">
        <v>144</v>
      </c>
      <c r="AJ234" s="176" t="str">
        <f t="shared" si="123"/>
        <v>保留
Retaining</v>
      </c>
      <c r="AK234" s="171" t="s">
        <v>145</v>
      </c>
      <c r="AL234" s="177" t="s">
        <v>145</v>
      </c>
      <c r="AM234" s="180" t="s">
        <v>316</v>
      </c>
      <c r="AN234" s="178" t="s">
        <v>317</v>
      </c>
      <c r="AO234" s="178" t="s">
        <v>318</v>
      </c>
    </row>
    <row r="235" s="116" customFormat="1" ht="17" customHeight="1" spans="1:41">
      <c r="A235" s="171">
        <v>231</v>
      </c>
      <c r="B235" s="179"/>
      <c r="C235" s="179"/>
      <c r="D235" s="179"/>
      <c r="E235" s="171"/>
      <c r="F235" s="171"/>
      <c r="G235" s="171"/>
      <c r="H235" s="171"/>
      <c r="I235" s="171" t="s">
        <v>73</v>
      </c>
      <c r="J235" s="171"/>
      <c r="K235" s="173" t="s">
        <v>540</v>
      </c>
      <c r="L235" s="173" t="s">
        <v>854</v>
      </c>
      <c r="M235" s="173" t="s">
        <v>174</v>
      </c>
      <c r="N235" s="174" t="s">
        <v>96</v>
      </c>
      <c r="O235" s="174" t="s">
        <v>96</v>
      </c>
      <c r="P235" s="174" t="s">
        <v>96</v>
      </c>
      <c r="Q235" s="174" t="s">
        <v>77</v>
      </c>
      <c r="R235" s="174" t="str">
        <f t="shared" si="143"/>
        <v>中等Medium</v>
      </c>
      <c r="S235" s="175" t="s">
        <v>96</v>
      </c>
      <c r="T235" s="175" t="s">
        <v>542</v>
      </c>
      <c r="U235" s="175" t="s">
        <v>176</v>
      </c>
      <c r="V235" s="171" t="s">
        <v>844</v>
      </c>
      <c r="W235" s="171" t="s">
        <v>82</v>
      </c>
      <c r="X235" s="176">
        <f t="shared" si="144"/>
        <v>0</v>
      </c>
      <c r="Y235" s="171" t="s">
        <v>177</v>
      </c>
      <c r="Z235" s="176">
        <f t="shared" si="145"/>
        <v>3</v>
      </c>
      <c r="AA235" s="171" t="s">
        <v>153</v>
      </c>
      <c r="AB235" s="176">
        <f t="shared" si="146"/>
        <v>0</v>
      </c>
      <c r="AC235" s="171" t="s">
        <v>85</v>
      </c>
      <c r="AD235" s="176">
        <f t="shared" si="147"/>
        <v>4</v>
      </c>
      <c r="AE235" s="171" t="s">
        <v>86</v>
      </c>
      <c r="AF235" s="176" cm="1">
        <f t="array" ref="AF235">IF(OR(AE235="/",AE235=""),"/",IF(ISNUMBER(SEARCH("普通",AE235)),0,IF(ISNUMBER(SEARCH("专用",AE235)),4,IF(ISNUMBER(SEARCH("定制",AE235)),7,IF(ISNUMBER(SEARCH("多个定制",AE235)),9,””)))))</f>
        <v>4</v>
      </c>
      <c r="AG235" s="176">
        <f t="shared" si="148"/>
        <v>11</v>
      </c>
      <c r="AH235" s="176" t="str">
        <f t="shared" si="149"/>
        <v>高High</v>
      </c>
      <c r="AI235" s="176" t="s">
        <v>87</v>
      </c>
      <c r="AJ235" s="176" t="str">
        <f t="shared" si="123"/>
        <v>降低
Reucing</v>
      </c>
      <c r="AK235" s="171" t="s">
        <v>543</v>
      </c>
      <c r="AL235" s="177" t="s">
        <v>544</v>
      </c>
      <c r="AM235" s="180" t="s">
        <v>329</v>
      </c>
      <c r="AN235" s="178" t="s">
        <v>181</v>
      </c>
      <c r="AO235" s="178" t="s">
        <v>182</v>
      </c>
    </row>
    <row r="236" s="116" customFormat="1" ht="17" customHeight="1" spans="1:41">
      <c r="A236" s="171">
        <v>232</v>
      </c>
      <c r="B236" s="181"/>
      <c r="C236" s="181"/>
      <c r="D236" s="181"/>
      <c r="E236" s="171"/>
      <c r="F236" s="171"/>
      <c r="G236" s="171"/>
      <c r="H236" s="171"/>
      <c r="I236" s="171"/>
      <c r="J236" s="171" t="s">
        <v>183</v>
      </c>
      <c r="K236" s="173" t="s">
        <v>145</v>
      </c>
      <c r="L236" s="173" t="s">
        <v>145</v>
      </c>
      <c r="M236" s="173" t="s">
        <v>145</v>
      </c>
      <c r="N236" s="174" t="s">
        <v>145</v>
      </c>
      <c r="O236" s="174" t="s">
        <v>145</v>
      </c>
      <c r="P236" s="174" t="s">
        <v>145</v>
      </c>
      <c r="Q236" s="174" t="s">
        <v>145</v>
      </c>
      <c r="R236" s="174" t="s">
        <v>145</v>
      </c>
      <c r="S236" s="175" t="s">
        <v>145</v>
      </c>
      <c r="T236" s="175" t="s">
        <v>145</v>
      </c>
      <c r="U236" s="175" t="s">
        <v>145</v>
      </c>
      <c r="V236" s="171" t="s">
        <v>145</v>
      </c>
      <c r="W236" s="171" t="s">
        <v>145</v>
      </c>
      <c r="X236" s="176" t="s">
        <v>145</v>
      </c>
      <c r="Y236" s="171" t="s">
        <v>145</v>
      </c>
      <c r="Z236" s="176" t="s">
        <v>145</v>
      </c>
      <c r="AA236" s="171" t="s">
        <v>145</v>
      </c>
      <c r="AB236" s="176" t="s">
        <v>145</v>
      </c>
      <c r="AC236" s="171" t="s">
        <v>145</v>
      </c>
      <c r="AD236" s="176" t="s">
        <v>145</v>
      </c>
      <c r="AE236" s="171" t="s">
        <v>145</v>
      </c>
      <c r="AF236" s="176" t="str" cm="1">
        <f t="array" ref="AF236">IF(OR(AE236="/",AE236=""),"/",IF(ISNUMBER(SEARCH("普通",AE236)),0,IF(ISNUMBER(SEARCH("专用",AE236)),4,IF(ISNUMBER(SEARCH("定制",AE236)),7,IF(ISNUMBER(SEARCH("多个定制",AE236)),9,””)))))</f>
        <v>/</v>
      </c>
      <c r="AG236" s="176" t="s">
        <v>145</v>
      </c>
      <c r="AH236" s="176" t="s">
        <v>145</v>
      </c>
      <c r="AI236" s="176" t="s">
        <v>145</v>
      </c>
      <c r="AJ236" s="176" t="str">
        <f t="shared" si="123"/>
        <v>/</v>
      </c>
      <c r="AK236" s="171" t="s">
        <v>145</v>
      </c>
      <c r="AL236" s="177" t="s">
        <v>145</v>
      </c>
      <c r="AM236" s="177" t="s">
        <v>145</v>
      </c>
      <c r="AN236" s="177" t="s">
        <v>145</v>
      </c>
      <c r="AO236" s="177" t="s">
        <v>145</v>
      </c>
    </row>
    <row r="237" s="116" customFormat="1" ht="17" customHeight="1" spans="1:41">
      <c r="A237" s="171">
        <v>233</v>
      </c>
      <c r="B237" s="172" t="s">
        <v>855</v>
      </c>
      <c r="C237" s="171" t="s">
        <v>71</v>
      </c>
      <c r="D237" s="173" t="s">
        <v>856</v>
      </c>
      <c r="E237" s="171" t="s">
        <v>73</v>
      </c>
      <c r="F237" s="171"/>
      <c r="G237" s="171"/>
      <c r="H237" s="171"/>
      <c r="I237" s="171"/>
      <c r="J237" s="171"/>
      <c r="K237" s="173" t="s">
        <v>509</v>
      </c>
      <c r="L237" s="173" t="s">
        <v>857</v>
      </c>
      <c r="M237" s="173" t="s">
        <v>76</v>
      </c>
      <c r="N237" s="174" t="s">
        <v>77</v>
      </c>
      <c r="O237" s="174" t="s">
        <v>77</v>
      </c>
      <c r="P237" s="174" t="s">
        <v>78</v>
      </c>
      <c r="Q237" s="174" t="s">
        <v>77</v>
      </c>
      <c r="R237" s="174" t="s">
        <v>96</v>
      </c>
      <c r="S237" s="175" t="s">
        <v>96</v>
      </c>
      <c r="T237" s="175" t="s">
        <v>511</v>
      </c>
      <c r="U237" s="175" t="s">
        <v>80</v>
      </c>
      <c r="V237" s="171" t="s">
        <v>858</v>
      </c>
      <c r="W237" s="171" t="s">
        <v>82</v>
      </c>
      <c r="X237" s="176">
        <f t="shared" ref="X237:X243" si="150">IF(OR(W237="/",W237=""),"/",IF(ISNUMBER(SEARCH("1天",W237)),0,IF(ISNUMBER(SEARCH("一周",W237)),1,IF(ISNUMBER(SEARCH("1个月",W237)),4,IF(ISNUMBER(SEARCH("超过",W237)),19,IF(ISNUMBER(SEARCH("6个月",W237)),17,""))))))</f>
        <v>0</v>
      </c>
      <c r="Y237" s="171" t="s">
        <v>83</v>
      </c>
      <c r="Z237" s="176">
        <f t="shared" ref="Z237:Z243" si="151">IF(OR(Y237="/",Y237=""),"/",IF(ISNUMBER(SEARCH("新手",Y237)),0,IF(ISNUMBER(SEARCH("熟练",Y237)),3,IF(ISNUMBER(SEARCH("多位",Y237)),17,IF(ISNUMBER(SEARCH("专家",Y237)),6,"")))))</f>
        <v>6</v>
      </c>
      <c r="AA237" s="171" t="s">
        <v>84</v>
      </c>
      <c r="AB237" s="176">
        <f t="shared" ref="AB237:AB243" si="152">IF(OR(AA237="/",AA237=""),"/",IF(ISNUMBER(SEARCH("公开",AA237)),0,IF(ISNUMBER(SEARCH("限制性信息",AA237)),3,IF(ISNUMBER(SEARCH("机密信息",AA237)),7,IF(ISNUMBER(SEARCH("严格保密",AA237)),11,"")))))</f>
        <v>3</v>
      </c>
      <c r="AC237" s="171" t="s">
        <v>85</v>
      </c>
      <c r="AD237" s="176">
        <f t="shared" ref="AD237:AD243" si="153">IF(OR(AC237="/",AC237=""),"/",IF(ISNUMBER(SEARCH("无限制",AC237)),0,IF(ISNUMBER(SEARCH("容易",AC237)),1,IF(ISNUMBER(SEARCH("一般",AC237)),4,IF(ISNUMBER(SEARCH("困难",AC237)),10,"")))))</f>
        <v>4</v>
      </c>
      <c r="AE237" s="171" t="s">
        <v>86</v>
      </c>
      <c r="AF237" s="176" cm="1">
        <f t="array" ref="AF237">IF(OR(AE237="/",AE237=""),"/",IF(ISNUMBER(SEARCH("普通",AE237)),0,IF(ISNUMBER(SEARCH("专用",AE237)),4,IF(ISNUMBER(SEARCH("定制",AE237)),7,IF(ISNUMBER(SEARCH("多个定制",AE237)),9,””)))))</f>
        <v>4</v>
      </c>
      <c r="AG237" s="176">
        <f t="shared" ref="AG237:AG243" si="154">IF(OR(X237="/",Z237="/",AB237="/",AD237="/",AF237="/"),"/",X237+Z237+AB237+AD237+AF237)</f>
        <v>17</v>
      </c>
      <c r="AH237" s="176" t="str">
        <f t="shared" ref="AH237:AH243" si="155">IF(AND(AG237&gt;=0,AG237&lt;14),"高High",IF(AND(AG237&gt;=14,AG237&lt;20),"中Medium",IF(AND(AG237&gt;=20,AG237&lt;25),"低Low",IF(AND(AG237&gt;=25,AG237&lt;57),"非常低Very low",""))))</f>
        <v>中Medium</v>
      </c>
      <c r="AI237" s="176" t="s">
        <v>144</v>
      </c>
      <c r="AJ237" s="176" t="str">
        <f t="shared" si="123"/>
        <v>保留
Retaining</v>
      </c>
      <c r="AK237" s="171" t="s">
        <v>145</v>
      </c>
      <c r="AL237" s="177" t="s">
        <v>145</v>
      </c>
      <c r="AM237" s="180" t="s">
        <v>90</v>
      </c>
      <c r="AN237" s="178" t="s">
        <v>91</v>
      </c>
      <c r="AO237" s="178" t="s">
        <v>92</v>
      </c>
    </row>
    <row r="238" s="116" customFormat="1" ht="17" customHeight="1" spans="1:41">
      <c r="A238" s="171">
        <v>234</v>
      </c>
      <c r="B238" s="179"/>
      <c r="C238" s="179"/>
      <c r="D238" s="179"/>
      <c r="E238" s="171" t="s">
        <v>73</v>
      </c>
      <c r="F238" s="171"/>
      <c r="G238" s="171"/>
      <c r="H238" s="171"/>
      <c r="I238" s="171"/>
      <c r="J238" s="171"/>
      <c r="K238" s="173" t="s">
        <v>515</v>
      </c>
      <c r="L238" s="173" t="s">
        <v>859</v>
      </c>
      <c r="M238" s="173" t="s">
        <v>106</v>
      </c>
      <c r="N238" s="174" t="s">
        <v>77</v>
      </c>
      <c r="O238" s="174" t="s">
        <v>77</v>
      </c>
      <c r="P238" s="174" t="s">
        <v>96</v>
      </c>
      <c r="Q238" s="174" t="s">
        <v>78</v>
      </c>
      <c r="R238" s="174" t="s">
        <v>96</v>
      </c>
      <c r="S238" s="175" t="s">
        <v>96</v>
      </c>
      <c r="T238" s="175" t="s">
        <v>517</v>
      </c>
      <c r="U238" s="175" t="s">
        <v>109</v>
      </c>
      <c r="V238" s="171" t="s">
        <v>860</v>
      </c>
      <c r="W238" s="171" t="s">
        <v>111</v>
      </c>
      <c r="X238" s="176">
        <f t="shared" si="150"/>
        <v>1</v>
      </c>
      <c r="Y238" s="171" t="s">
        <v>83</v>
      </c>
      <c r="Z238" s="176">
        <f t="shared" si="151"/>
        <v>6</v>
      </c>
      <c r="AA238" s="171" t="s">
        <v>84</v>
      </c>
      <c r="AB238" s="176">
        <f t="shared" si="152"/>
        <v>3</v>
      </c>
      <c r="AC238" s="171" t="s">
        <v>85</v>
      </c>
      <c r="AD238" s="176">
        <f t="shared" si="153"/>
        <v>4</v>
      </c>
      <c r="AE238" s="171" t="s">
        <v>143</v>
      </c>
      <c r="AF238" s="176" cm="1">
        <f t="array" ref="AF238">IF(OR(AE238="/",AE238=""),"/",IF(ISNUMBER(SEARCH("普通",AE238)),0,IF(ISNUMBER(SEARCH("专用",AE238)),4,IF(ISNUMBER(SEARCH("定制",AE238)),7,IF(ISNUMBER(SEARCH("多个定制",AE238)),9,””)))))</f>
        <v>7</v>
      </c>
      <c r="AG238" s="176">
        <f t="shared" si="154"/>
        <v>21</v>
      </c>
      <c r="AH238" s="176" t="str">
        <f t="shared" si="155"/>
        <v>低Low</v>
      </c>
      <c r="AI238" s="176" t="s">
        <v>144</v>
      </c>
      <c r="AJ238" s="176" t="str">
        <f t="shared" si="123"/>
        <v>保留
Retaining</v>
      </c>
      <c r="AK238" s="171" t="s">
        <v>145</v>
      </c>
      <c r="AL238" s="177" t="s">
        <v>145</v>
      </c>
      <c r="AM238" s="180" t="s">
        <v>115</v>
      </c>
      <c r="AN238" s="178" t="s">
        <v>116</v>
      </c>
      <c r="AO238" s="178" t="s">
        <v>117</v>
      </c>
    </row>
    <row r="239" s="116" customFormat="1" ht="17" customHeight="1" spans="1:41">
      <c r="A239" s="171">
        <v>235</v>
      </c>
      <c r="B239" s="179"/>
      <c r="C239" s="179"/>
      <c r="D239" s="179"/>
      <c r="E239" s="171"/>
      <c r="F239" s="171" t="s">
        <v>73</v>
      </c>
      <c r="G239" s="171"/>
      <c r="H239" s="171"/>
      <c r="I239" s="171"/>
      <c r="J239" s="171"/>
      <c r="K239" s="173" t="s">
        <v>521</v>
      </c>
      <c r="L239" s="173" t="s">
        <v>861</v>
      </c>
      <c r="M239" s="173" t="s">
        <v>120</v>
      </c>
      <c r="N239" s="174" t="s">
        <v>77</v>
      </c>
      <c r="O239" s="174" t="s">
        <v>96</v>
      </c>
      <c r="P239" s="174" t="s">
        <v>78</v>
      </c>
      <c r="Q239" s="174" t="s">
        <v>77</v>
      </c>
      <c r="R239" s="174" t="s">
        <v>96</v>
      </c>
      <c r="S239" s="175" t="s">
        <v>96</v>
      </c>
      <c r="T239" s="175" t="s">
        <v>523</v>
      </c>
      <c r="U239" s="175" t="s">
        <v>862</v>
      </c>
      <c r="V239" s="171" t="s">
        <v>858</v>
      </c>
      <c r="W239" s="171" t="s">
        <v>82</v>
      </c>
      <c r="X239" s="176">
        <f t="shared" si="150"/>
        <v>0</v>
      </c>
      <c r="Y239" s="171" t="s">
        <v>83</v>
      </c>
      <c r="Z239" s="176">
        <f t="shared" si="151"/>
        <v>6</v>
      </c>
      <c r="AA239" s="171" t="s">
        <v>84</v>
      </c>
      <c r="AB239" s="176">
        <f t="shared" si="152"/>
        <v>3</v>
      </c>
      <c r="AC239" s="171" t="s">
        <v>85</v>
      </c>
      <c r="AD239" s="176">
        <f t="shared" si="153"/>
        <v>4</v>
      </c>
      <c r="AE239" s="171" t="s">
        <v>86</v>
      </c>
      <c r="AF239" s="176" cm="1">
        <f t="array" ref="AF239">IF(OR(AE239="/",AE239=""),"/",IF(ISNUMBER(SEARCH("普通",AE239)),0,IF(ISNUMBER(SEARCH("专用",AE239)),4,IF(ISNUMBER(SEARCH("定制",AE239)),7,IF(ISNUMBER(SEARCH("多个定制",AE239)),9,””)))))</f>
        <v>4</v>
      </c>
      <c r="AG239" s="176">
        <f t="shared" si="154"/>
        <v>17</v>
      </c>
      <c r="AH239" s="176" t="str">
        <f t="shared" si="155"/>
        <v>中Medium</v>
      </c>
      <c r="AI239" s="176" t="s">
        <v>144</v>
      </c>
      <c r="AJ239" s="176" t="str">
        <f t="shared" si="123"/>
        <v>保留
Retaining</v>
      </c>
      <c r="AK239" s="171" t="s">
        <v>145</v>
      </c>
      <c r="AL239" s="177" t="s">
        <v>145</v>
      </c>
      <c r="AM239" s="180" t="s">
        <v>125</v>
      </c>
      <c r="AN239" s="178" t="s">
        <v>126</v>
      </c>
      <c r="AO239" s="178" t="s">
        <v>127</v>
      </c>
    </row>
    <row r="240" s="116" customFormat="1" ht="17" customHeight="1" spans="1:41">
      <c r="A240" s="171">
        <v>236</v>
      </c>
      <c r="B240" s="179"/>
      <c r="C240" s="179"/>
      <c r="D240" s="179"/>
      <c r="E240" s="171"/>
      <c r="F240" s="171" t="s">
        <v>73</v>
      </c>
      <c r="G240" s="171"/>
      <c r="H240" s="171"/>
      <c r="I240" s="171"/>
      <c r="J240" s="171"/>
      <c r="K240" s="173" t="s">
        <v>527</v>
      </c>
      <c r="L240" s="173" t="s">
        <v>863</v>
      </c>
      <c r="M240" s="173" t="s">
        <v>120</v>
      </c>
      <c r="N240" s="174" t="s">
        <v>96</v>
      </c>
      <c r="O240" s="174" t="s">
        <v>96</v>
      </c>
      <c r="P240" s="174" t="s">
        <v>78</v>
      </c>
      <c r="Q240" s="174" t="s">
        <v>77</v>
      </c>
      <c r="R240" s="174" t="s">
        <v>96</v>
      </c>
      <c r="S240" s="175" t="s">
        <v>96</v>
      </c>
      <c r="T240" s="175" t="s">
        <v>529</v>
      </c>
      <c r="U240" s="175" t="s">
        <v>864</v>
      </c>
      <c r="V240" s="171" t="s">
        <v>858</v>
      </c>
      <c r="W240" s="171" t="s">
        <v>111</v>
      </c>
      <c r="X240" s="176">
        <f t="shared" si="150"/>
        <v>1</v>
      </c>
      <c r="Y240" s="171" t="s">
        <v>83</v>
      </c>
      <c r="Z240" s="176">
        <f t="shared" si="151"/>
        <v>6</v>
      </c>
      <c r="AA240" s="171" t="s">
        <v>84</v>
      </c>
      <c r="AB240" s="176">
        <f t="shared" si="152"/>
        <v>3</v>
      </c>
      <c r="AC240" s="171" t="s">
        <v>85</v>
      </c>
      <c r="AD240" s="176">
        <f t="shared" si="153"/>
        <v>4</v>
      </c>
      <c r="AE240" s="171" t="s">
        <v>86</v>
      </c>
      <c r="AF240" s="176" cm="1">
        <f t="array" ref="AF240">IF(OR(AE240="/",AE240=""),"/",IF(ISNUMBER(SEARCH("普通",AE240)),0,IF(ISNUMBER(SEARCH("专用",AE240)),4,IF(ISNUMBER(SEARCH("定制",AE240)),7,IF(ISNUMBER(SEARCH("多个定制",AE240)),9,””)))))</f>
        <v>4</v>
      </c>
      <c r="AG240" s="176">
        <f t="shared" si="154"/>
        <v>18</v>
      </c>
      <c r="AH240" s="176" t="str">
        <f t="shared" si="155"/>
        <v>中Medium</v>
      </c>
      <c r="AI240" s="176" t="s">
        <v>144</v>
      </c>
      <c r="AJ240" s="176" t="str">
        <f t="shared" si="123"/>
        <v>保留
Retaining</v>
      </c>
      <c r="AK240" s="171" t="s">
        <v>145</v>
      </c>
      <c r="AL240" s="177" t="s">
        <v>145</v>
      </c>
      <c r="AM240" s="180" t="s">
        <v>134</v>
      </c>
      <c r="AN240" s="178" t="s">
        <v>135</v>
      </c>
      <c r="AO240" s="178" t="s">
        <v>136</v>
      </c>
    </row>
    <row r="241" s="116" customFormat="1" ht="17" customHeight="1" spans="1:41">
      <c r="A241" s="171">
        <v>237</v>
      </c>
      <c r="B241" s="179"/>
      <c r="C241" s="179"/>
      <c r="D241" s="179"/>
      <c r="E241" s="171"/>
      <c r="F241" s="171"/>
      <c r="G241" s="171" t="s">
        <v>73</v>
      </c>
      <c r="H241" s="171"/>
      <c r="I241" s="171"/>
      <c r="J241" s="171"/>
      <c r="K241" s="173" t="s">
        <v>533</v>
      </c>
      <c r="L241" s="173" t="s">
        <v>865</v>
      </c>
      <c r="M241" s="173" t="s">
        <v>150</v>
      </c>
      <c r="N241" s="174" t="s">
        <v>96</v>
      </c>
      <c r="O241" s="174" t="s">
        <v>96</v>
      </c>
      <c r="P241" s="174" t="s">
        <v>96</v>
      </c>
      <c r="Q241" s="174" t="s">
        <v>77</v>
      </c>
      <c r="R241" s="174" t="str">
        <f>IF(OR(N241="严重Severe",O241="严重Severe",P241="严重Severe",Q241="严重Severe"),"严重Severe",IF(OR(N241="主要Major",O241="主要Major",P241="主要Major",Q241="主要Major"),"主要Major",IF(OR(N241="中等Medium",O241="中等Medium",P241="中等Medium",Q241="中等Medium"),"中等Medium",IF(OR(N241="可忽略不计Negligible",O241="可忽略不计Negligible",P241="可忽略不计Negligible",Q241="可忽略不计Negligible"),"可忽略不计Negligible","/"))))</f>
        <v>中等Medium</v>
      </c>
      <c r="S241" s="175" t="s">
        <v>96</v>
      </c>
      <c r="T241" s="175" t="s">
        <v>535</v>
      </c>
      <c r="U241" s="175" t="s">
        <v>152</v>
      </c>
      <c r="V241" s="171" t="s">
        <v>858</v>
      </c>
      <c r="W241" s="171" t="s">
        <v>82</v>
      </c>
      <c r="X241" s="176">
        <f t="shared" si="150"/>
        <v>0</v>
      </c>
      <c r="Y241" s="171" t="s">
        <v>83</v>
      </c>
      <c r="Z241" s="176">
        <f t="shared" si="151"/>
        <v>6</v>
      </c>
      <c r="AA241" s="171" t="s">
        <v>153</v>
      </c>
      <c r="AB241" s="176">
        <f t="shared" si="152"/>
        <v>0</v>
      </c>
      <c r="AC241" s="171" t="s">
        <v>85</v>
      </c>
      <c r="AD241" s="176">
        <f t="shared" si="153"/>
        <v>4</v>
      </c>
      <c r="AE241" s="171" t="s">
        <v>143</v>
      </c>
      <c r="AF241" s="176" cm="1">
        <f t="array" ref="AF241">IF(OR(AE241="/",AE241=""),"/",IF(ISNUMBER(SEARCH("普通",AE241)),0,IF(ISNUMBER(SEARCH("专用",AE241)),4,IF(ISNUMBER(SEARCH("定制",AE241)),7,IF(ISNUMBER(SEARCH("多个定制",AE241)),9,””)))))</f>
        <v>7</v>
      </c>
      <c r="AG241" s="176">
        <f t="shared" si="154"/>
        <v>17</v>
      </c>
      <c r="AH241" s="176" t="str">
        <f t="shared" si="155"/>
        <v>中Medium</v>
      </c>
      <c r="AI241" s="176" t="s">
        <v>144</v>
      </c>
      <c r="AJ241" s="176" t="str">
        <f t="shared" si="123"/>
        <v>保留
Retaining</v>
      </c>
      <c r="AK241" s="171" t="s">
        <v>145</v>
      </c>
      <c r="AL241" s="177" t="s">
        <v>145</v>
      </c>
      <c r="AM241" s="171" t="s">
        <v>145</v>
      </c>
      <c r="AN241" s="178" t="s">
        <v>280</v>
      </c>
      <c r="AO241" s="178" t="s">
        <v>281</v>
      </c>
    </row>
    <row r="242" s="116" customFormat="1" ht="17" customHeight="1" spans="1:41">
      <c r="A242" s="171">
        <v>238</v>
      </c>
      <c r="B242" s="179"/>
      <c r="C242" s="179"/>
      <c r="D242" s="179"/>
      <c r="E242" s="171"/>
      <c r="F242" s="171"/>
      <c r="G242" s="171"/>
      <c r="H242" s="171" t="s">
        <v>73</v>
      </c>
      <c r="I242" s="171"/>
      <c r="J242" s="171"/>
      <c r="K242" s="173" t="s">
        <v>536</v>
      </c>
      <c r="L242" s="173" t="s">
        <v>866</v>
      </c>
      <c r="M242" s="173" t="s">
        <v>166</v>
      </c>
      <c r="N242" s="174" t="s">
        <v>96</v>
      </c>
      <c r="O242" s="174" t="s">
        <v>96</v>
      </c>
      <c r="P242" s="174" t="s">
        <v>96</v>
      </c>
      <c r="Q242" s="174" t="s">
        <v>77</v>
      </c>
      <c r="R242" s="174" t="str">
        <f>IF(OR(N242="严重Severe",O242="严重Severe",P242="严重Severe",Q242="严重Severe"),"严重Severe",IF(OR(N242="主要Major",O242="主要Major",P242="主要Major",Q242="主要Major"),"主要Major",IF(OR(N242="中等Medium",O242="中等Medium",P242="中等Medium",Q242="中等Medium"),"中等Medium",IF(OR(N242="可忽略不计Negligible",O242="可忽略不计Negligible",P242="可忽略不计Negligible",Q242="可忽略不计Negligible"),"可忽略不计Negligible","/"))))</f>
        <v>中等Medium</v>
      </c>
      <c r="S242" s="171" t="s">
        <v>96</v>
      </c>
      <c r="T242" s="175" t="s">
        <v>538</v>
      </c>
      <c r="U242" s="175" t="s">
        <v>867</v>
      </c>
      <c r="V242" s="171" t="s">
        <v>858</v>
      </c>
      <c r="W242" s="171" t="s">
        <v>82</v>
      </c>
      <c r="X242" s="176">
        <f t="shared" si="150"/>
        <v>0</v>
      </c>
      <c r="Y242" s="171" t="s">
        <v>83</v>
      </c>
      <c r="Z242" s="176">
        <f t="shared" si="151"/>
        <v>6</v>
      </c>
      <c r="AA242" s="171" t="s">
        <v>84</v>
      </c>
      <c r="AB242" s="176">
        <f t="shared" si="152"/>
        <v>3</v>
      </c>
      <c r="AC242" s="171" t="s">
        <v>85</v>
      </c>
      <c r="AD242" s="176">
        <f t="shared" si="153"/>
        <v>4</v>
      </c>
      <c r="AE242" s="171" t="s">
        <v>86</v>
      </c>
      <c r="AF242" s="176" cm="1">
        <f t="array" ref="AF242">IF(OR(AE242="/",AE242=""),"/",IF(ISNUMBER(SEARCH("普通",AE242)),0,IF(ISNUMBER(SEARCH("专用",AE242)),4,IF(ISNUMBER(SEARCH("定制",AE242)),7,IF(ISNUMBER(SEARCH("多个定制",AE242)),9,””)))))</f>
        <v>4</v>
      </c>
      <c r="AG242" s="176">
        <f t="shared" si="154"/>
        <v>17</v>
      </c>
      <c r="AH242" s="176" t="str">
        <f t="shared" si="155"/>
        <v>中Medium</v>
      </c>
      <c r="AI242" s="176" t="s">
        <v>144</v>
      </c>
      <c r="AJ242" s="176" t="str">
        <f t="shared" si="123"/>
        <v>保留
Retaining</v>
      </c>
      <c r="AK242" s="171" t="s">
        <v>145</v>
      </c>
      <c r="AL242" s="177" t="s">
        <v>145</v>
      </c>
      <c r="AM242" s="180" t="s">
        <v>316</v>
      </c>
      <c r="AN242" s="178" t="s">
        <v>317</v>
      </c>
      <c r="AO242" s="178" t="s">
        <v>318</v>
      </c>
    </row>
    <row r="243" s="116" customFormat="1" ht="17" customHeight="1" spans="1:41">
      <c r="A243" s="171">
        <v>239</v>
      </c>
      <c r="B243" s="179"/>
      <c r="C243" s="179"/>
      <c r="D243" s="179"/>
      <c r="E243" s="171"/>
      <c r="F243" s="171"/>
      <c r="G243" s="171"/>
      <c r="H243" s="171"/>
      <c r="I243" s="171" t="s">
        <v>73</v>
      </c>
      <c r="J243" s="171"/>
      <c r="K243" s="173" t="s">
        <v>540</v>
      </c>
      <c r="L243" s="173" t="s">
        <v>868</v>
      </c>
      <c r="M243" s="173" t="s">
        <v>174</v>
      </c>
      <c r="N243" s="174" t="s">
        <v>96</v>
      </c>
      <c r="O243" s="174" t="s">
        <v>96</v>
      </c>
      <c r="P243" s="174" t="s">
        <v>96</v>
      </c>
      <c r="Q243" s="174" t="s">
        <v>77</v>
      </c>
      <c r="R243" s="174" t="s">
        <v>96</v>
      </c>
      <c r="S243" s="175" t="s">
        <v>96</v>
      </c>
      <c r="T243" s="175" t="s">
        <v>542</v>
      </c>
      <c r="U243" s="175" t="s">
        <v>176</v>
      </c>
      <c r="V243" s="171" t="s">
        <v>858</v>
      </c>
      <c r="W243" s="171" t="s">
        <v>82</v>
      </c>
      <c r="X243" s="176">
        <f t="shared" si="150"/>
        <v>0</v>
      </c>
      <c r="Y243" s="171" t="s">
        <v>177</v>
      </c>
      <c r="Z243" s="176">
        <f t="shared" si="151"/>
        <v>3</v>
      </c>
      <c r="AA243" s="171" t="s">
        <v>153</v>
      </c>
      <c r="AB243" s="176">
        <f t="shared" si="152"/>
        <v>0</v>
      </c>
      <c r="AC243" s="171" t="s">
        <v>85</v>
      </c>
      <c r="AD243" s="176">
        <f t="shared" si="153"/>
        <v>4</v>
      </c>
      <c r="AE243" s="171" t="s">
        <v>86</v>
      </c>
      <c r="AF243" s="176" cm="1">
        <f t="array" ref="AF243">IF(OR(AE243="/",AE243=""),"/",IF(ISNUMBER(SEARCH("普通",AE243)),0,IF(ISNUMBER(SEARCH("专用",AE243)),4,IF(ISNUMBER(SEARCH("定制",AE243)),7,IF(ISNUMBER(SEARCH("多个定制",AE243)),9,””)))))</f>
        <v>4</v>
      </c>
      <c r="AG243" s="176">
        <f t="shared" si="154"/>
        <v>11</v>
      </c>
      <c r="AH243" s="176" t="str">
        <f t="shared" si="155"/>
        <v>高High</v>
      </c>
      <c r="AI243" s="176" t="s">
        <v>144</v>
      </c>
      <c r="AJ243" s="176" t="str">
        <f t="shared" si="123"/>
        <v>保留
Retaining</v>
      </c>
      <c r="AK243" s="171" t="s">
        <v>145</v>
      </c>
      <c r="AL243" s="177" t="s">
        <v>145</v>
      </c>
      <c r="AM243" s="180" t="s">
        <v>329</v>
      </c>
      <c r="AN243" s="178" t="s">
        <v>181</v>
      </c>
      <c r="AO243" s="178" t="s">
        <v>182</v>
      </c>
    </row>
    <row r="244" s="116" customFormat="1" ht="17" customHeight="1" spans="1:41">
      <c r="A244" s="171">
        <v>240</v>
      </c>
      <c r="B244" s="181"/>
      <c r="C244" s="181"/>
      <c r="D244" s="181"/>
      <c r="E244" s="171"/>
      <c r="F244" s="171"/>
      <c r="G244" s="171"/>
      <c r="H244" s="171"/>
      <c r="I244" s="171"/>
      <c r="J244" s="171" t="s">
        <v>183</v>
      </c>
      <c r="K244" s="173" t="s">
        <v>145</v>
      </c>
      <c r="L244" s="173" t="s">
        <v>145</v>
      </c>
      <c r="M244" s="173" t="s">
        <v>145</v>
      </c>
      <c r="N244" s="174" t="s">
        <v>145</v>
      </c>
      <c r="O244" s="174" t="s">
        <v>145</v>
      </c>
      <c r="P244" s="174" t="s">
        <v>145</v>
      </c>
      <c r="Q244" s="174" t="s">
        <v>145</v>
      </c>
      <c r="R244" s="174" t="s">
        <v>145</v>
      </c>
      <c r="S244" s="175" t="s">
        <v>145</v>
      </c>
      <c r="T244" s="175" t="s">
        <v>145</v>
      </c>
      <c r="U244" s="175" t="s">
        <v>145</v>
      </c>
      <c r="V244" s="171" t="s">
        <v>145</v>
      </c>
      <c r="W244" s="171" t="s">
        <v>145</v>
      </c>
      <c r="X244" s="176" t="s">
        <v>145</v>
      </c>
      <c r="Y244" s="171" t="s">
        <v>145</v>
      </c>
      <c r="Z244" s="176" t="s">
        <v>145</v>
      </c>
      <c r="AA244" s="171" t="s">
        <v>145</v>
      </c>
      <c r="AB244" s="176" t="s">
        <v>145</v>
      </c>
      <c r="AC244" s="171" t="s">
        <v>145</v>
      </c>
      <c r="AD244" s="176" t="s">
        <v>145</v>
      </c>
      <c r="AE244" s="171" t="s">
        <v>145</v>
      </c>
      <c r="AF244" s="176" t="str" cm="1">
        <f t="array" ref="AF244">IF(OR(AE244="/",AE244=""),"/",IF(ISNUMBER(SEARCH("普通",AE244)),0,IF(ISNUMBER(SEARCH("专用",AE244)),4,IF(ISNUMBER(SEARCH("定制",AE244)),7,IF(ISNUMBER(SEARCH("多个定制",AE244)),9,””)))))</f>
        <v>/</v>
      </c>
      <c r="AG244" s="176" t="s">
        <v>145</v>
      </c>
      <c r="AH244" s="176" t="s">
        <v>145</v>
      </c>
      <c r="AI244" s="176" t="s">
        <v>145</v>
      </c>
      <c r="AJ244" s="176" t="str">
        <f t="shared" si="123"/>
        <v>/</v>
      </c>
      <c r="AK244" s="171" t="s">
        <v>145</v>
      </c>
      <c r="AL244" s="177" t="s">
        <v>145</v>
      </c>
      <c r="AM244" s="177" t="s">
        <v>145</v>
      </c>
      <c r="AN244" s="177" t="s">
        <v>145</v>
      </c>
      <c r="AO244" s="177" t="s">
        <v>145</v>
      </c>
    </row>
    <row r="245" s="116" customFormat="1" ht="17" customHeight="1" spans="1:41">
      <c r="A245" s="171">
        <v>241</v>
      </c>
      <c r="B245" s="172" t="s">
        <v>869</v>
      </c>
      <c r="C245" s="171" t="s">
        <v>71</v>
      </c>
      <c r="D245" s="173" t="s">
        <v>870</v>
      </c>
      <c r="E245" s="171" t="s">
        <v>73</v>
      </c>
      <c r="F245" s="171"/>
      <c r="G245" s="171"/>
      <c r="H245" s="171"/>
      <c r="I245" s="171"/>
      <c r="J245" s="171"/>
      <c r="K245" s="173" t="s">
        <v>509</v>
      </c>
      <c r="L245" s="173" t="s">
        <v>871</v>
      </c>
      <c r="M245" s="173" t="s">
        <v>76</v>
      </c>
      <c r="N245" s="174" t="s">
        <v>77</v>
      </c>
      <c r="O245" s="174" t="s">
        <v>77</v>
      </c>
      <c r="P245" s="174" t="s">
        <v>78</v>
      </c>
      <c r="Q245" s="174" t="s">
        <v>77</v>
      </c>
      <c r="R245" s="174" t="s">
        <v>96</v>
      </c>
      <c r="S245" s="175" t="s">
        <v>96</v>
      </c>
      <c r="T245" s="175" t="s">
        <v>511</v>
      </c>
      <c r="U245" s="175" t="s">
        <v>80</v>
      </c>
      <c r="V245" s="171" t="s">
        <v>872</v>
      </c>
      <c r="W245" s="171" t="s">
        <v>82</v>
      </c>
      <c r="X245" s="176">
        <f t="shared" ref="X245:X251" si="156">IF(OR(W245="/",W245=""),"/",IF(ISNUMBER(SEARCH("1天",W245)),0,IF(ISNUMBER(SEARCH("一周",W245)),1,IF(ISNUMBER(SEARCH("1个月",W245)),4,IF(ISNUMBER(SEARCH("超过",W245)),19,IF(ISNUMBER(SEARCH("6个月",W245)),17,""))))))</f>
        <v>0</v>
      </c>
      <c r="Y245" s="171" t="s">
        <v>83</v>
      </c>
      <c r="Z245" s="176">
        <f t="shared" ref="Z245:Z251" si="157">IF(OR(Y245="/",Y245=""),"/",IF(ISNUMBER(SEARCH("新手",Y245)),0,IF(ISNUMBER(SEARCH("熟练",Y245)),3,IF(ISNUMBER(SEARCH("多位",Y245)),17,IF(ISNUMBER(SEARCH("专家",Y245)),6,"")))))</f>
        <v>6</v>
      </c>
      <c r="AA245" s="171" t="s">
        <v>84</v>
      </c>
      <c r="AB245" s="176">
        <f t="shared" ref="AB245:AB251" si="158">IF(OR(AA245="/",AA245=""),"/",IF(ISNUMBER(SEARCH("公开",AA245)),0,IF(ISNUMBER(SEARCH("限制性信息",AA245)),3,IF(ISNUMBER(SEARCH("机密信息",AA245)),7,IF(ISNUMBER(SEARCH("严格保密",AA245)),11,"")))))</f>
        <v>3</v>
      </c>
      <c r="AC245" s="171" t="s">
        <v>85</v>
      </c>
      <c r="AD245" s="176">
        <f t="shared" ref="AD245:AD251" si="159">IF(OR(AC245="/",AC245=""),"/",IF(ISNUMBER(SEARCH("无限制",AC245)),0,IF(ISNUMBER(SEARCH("容易",AC245)),1,IF(ISNUMBER(SEARCH("一般",AC245)),4,IF(ISNUMBER(SEARCH("困难",AC245)),10,"")))))</f>
        <v>4</v>
      </c>
      <c r="AE245" s="171" t="s">
        <v>86</v>
      </c>
      <c r="AF245" s="176" cm="1">
        <f t="array" ref="AF245">IF(OR(AE245="/",AE245=""),"/",IF(ISNUMBER(SEARCH("普通",AE245)),0,IF(ISNUMBER(SEARCH("专用",AE245)),4,IF(ISNUMBER(SEARCH("定制",AE245)),7,IF(ISNUMBER(SEARCH("多个定制",AE245)),9,””)))))</f>
        <v>4</v>
      </c>
      <c r="AG245" s="176">
        <f t="shared" ref="AG245:AG251" si="160">IF(OR(X245="/",Z245="/",AB245="/",AD245="/",AF245="/"),"/",X245+Z245+AB245+AD245+AF245)</f>
        <v>17</v>
      </c>
      <c r="AH245" s="176" t="str">
        <f t="shared" ref="AH245:AH250" si="161">IF(AND(AG245&gt;=0,AG245&lt;14),"高High",IF(AND(AG245&gt;=14,AG245&lt;20),"中Medium",IF(AND(AG245&gt;=20,AG245&lt;25),"低Low",IF(AND(AG245&gt;=25,AG245&lt;57),"非常低Very low",""))))</f>
        <v>中Medium</v>
      </c>
      <c r="AI245" s="176" t="s">
        <v>144</v>
      </c>
      <c r="AJ245" s="176" t="str">
        <f t="shared" si="123"/>
        <v>保留
Retaining</v>
      </c>
      <c r="AK245" s="171" t="s">
        <v>145</v>
      </c>
      <c r="AL245" s="177" t="s">
        <v>145</v>
      </c>
      <c r="AM245" s="180" t="s">
        <v>90</v>
      </c>
      <c r="AN245" s="178" t="s">
        <v>91</v>
      </c>
      <c r="AO245" s="178" t="s">
        <v>92</v>
      </c>
    </row>
    <row r="246" s="116" customFormat="1" ht="17" customHeight="1" spans="1:41">
      <c r="A246" s="171">
        <v>242</v>
      </c>
      <c r="B246" s="179"/>
      <c r="C246" s="179"/>
      <c r="D246" s="179"/>
      <c r="E246" s="171" t="s">
        <v>73</v>
      </c>
      <c r="F246" s="171"/>
      <c r="G246" s="171"/>
      <c r="H246" s="171"/>
      <c r="I246" s="171"/>
      <c r="J246" s="171"/>
      <c r="K246" s="173" t="s">
        <v>515</v>
      </c>
      <c r="L246" s="173" t="s">
        <v>873</v>
      </c>
      <c r="M246" s="173" t="s">
        <v>106</v>
      </c>
      <c r="N246" s="174" t="s">
        <v>77</v>
      </c>
      <c r="O246" s="174" t="s">
        <v>77</v>
      </c>
      <c r="P246" s="174" t="s">
        <v>96</v>
      </c>
      <c r="Q246" s="174" t="s">
        <v>78</v>
      </c>
      <c r="R246" s="174" t="s">
        <v>96</v>
      </c>
      <c r="S246" s="175" t="s">
        <v>96</v>
      </c>
      <c r="T246" s="175" t="s">
        <v>517</v>
      </c>
      <c r="U246" s="175" t="s">
        <v>109</v>
      </c>
      <c r="V246" s="171" t="s">
        <v>874</v>
      </c>
      <c r="W246" s="171" t="s">
        <v>111</v>
      </c>
      <c r="X246" s="176">
        <f t="shared" si="156"/>
        <v>1</v>
      </c>
      <c r="Y246" s="171" t="s">
        <v>83</v>
      </c>
      <c r="Z246" s="176">
        <f t="shared" si="157"/>
        <v>6</v>
      </c>
      <c r="AA246" s="171" t="s">
        <v>84</v>
      </c>
      <c r="AB246" s="176">
        <f t="shared" si="158"/>
        <v>3</v>
      </c>
      <c r="AC246" s="171" t="s">
        <v>85</v>
      </c>
      <c r="AD246" s="176">
        <f t="shared" si="159"/>
        <v>4</v>
      </c>
      <c r="AE246" s="171" t="s">
        <v>143</v>
      </c>
      <c r="AF246" s="176" cm="1">
        <f t="array" ref="AF246">IF(OR(AE246="/",AE246=""),"/",IF(ISNUMBER(SEARCH("普通",AE246)),0,IF(ISNUMBER(SEARCH("专用",AE246)),4,IF(ISNUMBER(SEARCH("定制",AE246)),7,IF(ISNUMBER(SEARCH("多个定制",AE246)),9,””)))))</f>
        <v>7</v>
      </c>
      <c r="AG246" s="176">
        <f t="shared" si="160"/>
        <v>21</v>
      </c>
      <c r="AH246" s="176" t="str">
        <f t="shared" si="161"/>
        <v>低Low</v>
      </c>
      <c r="AI246" s="176" t="s">
        <v>144</v>
      </c>
      <c r="AJ246" s="176" t="str">
        <f t="shared" si="123"/>
        <v>保留
Retaining</v>
      </c>
      <c r="AK246" s="171" t="s">
        <v>145</v>
      </c>
      <c r="AL246" s="177" t="s">
        <v>145</v>
      </c>
      <c r="AM246" s="180" t="s">
        <v>115</v>
      </c>
      <c r="AN246" s="178" t="s">
        <v>116</v>
      </c>
      <c r="AO246" s="178" t="s">
        <v>117</v>
      </c>
    </row>
    <row r="247" s="116" customFormat="1" ht="17" customHeight="1" spans="1:41">
      <c r="A247" s="171">
        <v>243</v>
      </c>
      <c r="B247" s="179"/>
      <c r="C247" s="179"/>
      <c r="D247" s="179"/>
      <c r="E247" s="171"/>
      <c r="F247" s="171" t="s">
        <v>73</v>
      </c>
      <c r="G247" s="171"/>
      <c r="H247" s="171"/>
      <c r="I247" s="171"/>
      <c r="J247" s="171"/>
      <c r="K247" s="173" t="s">
        <v>521</v>
      </c>
      <c r="L247" s="173" t="s">
        <v>875</v>
      </c>
      <c r="M247" s="173" t="s">
        <v>120</v>
      </c>
      <c r="N247" s="174" t="s">
        <v>77</v>
      </c>
      <c r="O247" s="174" t="s">
        <v>96</v>
      </c>
      <c r="P247" s="174" t="s">
        <v>78</v>
      </c>
      <c r="Q247" s="174" t="s">
        <v>77</v>
      </c>
      <c r="R247" s="174" t="s">
        <v>96</v>
      </c>
      <c r="S247" s="175" t="s">
        <v>96</v>
      </c>
      <c r="T247" s="175" t="s">
        <v>523</v>
      </c>
      <c r="U247" s="175" t="s">
        <v>876</v>
      </c>
      <c r="V247" s="171" t="s">
        <v>872</v>
      </c>
      <c r="W247" s="171" t="s">
        <v>82</v>
      </c>
      <c r="X247" s="176">
        <f t="shared" si="156"/>
        <v>0</v>
      </c>
      <c r="Y247" s="171" t="s">
        <v>83</v>
      </c>
      <c r="Z247" s="176">
        <f t="shared" si="157"/>
        <v>6</v>
      </c>
      <c r="AA247" s="171" t="s">
        <v>84</v>
      </c>
      <c r="AB247" s="176">
        <f t="shared" si="158"/>
        <v>3</v>
      </c>
      <c r="AC247" s="171" t="s">
        <v>85</v>
      </c>
      <c r="AD247" s="176">
        <f t="shared" si="159"/>
        <v>4</v>
      </c>
      <c r="AE247" s="171" t="s">
        <v>86</v>
      </c>
      <c r="AF247" s="176" cm="1">
        <f t="array" ref="AF247">IF(OR(AE247="/",AE247=""),"/",IF(ISNUMBER(SEARCH("普通",AE247)),0,IF(ISNUMBER(SEARCH("专用",AE247)),4,IF(ISNUMBER(SEARCH("定制",AE247)),7,IF(ISNUMBER(SEARCH("多个定制",AE247)),9,””)))))</f>
        <v>4</v>
      </c>
      <c r="AG247" s="176">
        <f t="shared" si="160"/>
        <v>17</v>
      </c>
      <c r="AH247" s="176" t="str">
        <f t="shared" si="161"/>
        <v>中Medium</v>
      </c>
      <c r="AI247" s="176" t="s">
        <v>144</v>
      </c>
      <c r="AJ247" s="176" t="str">
        <f t="shared" si="123"/>
        <v>保留
Retaining</v>
      </c>
      <c r="AK247" s="171" t="s">
        <v>145</v>
      </c>
      <c r="AL247" s="177" t="s">
        <v>145</v>
      </c>
      <c r="AM247" s="180" t="s">
        <v>125</v>
      </c>
      <c r="AN247" s="178" t="s">
        <v>126</v>
      </c>
      <c r="AO247" s="178" t="s">
        <v>127</v>
      </c>
    </row>
    <row r="248" s="116" customFormat="1" ht="17" customHeight="1" spans="1:41">
      <c r="A248" s="171">
        <v>244</v>
      </c>
      <c r="B248" s="179"/>
      <c r="C248" s="179"/>
      <c r="D248" s="179"/>
      <c r="E248" s="171"/>
      <c r="F248" s="171" t="s">
        <v>73</v>
      </c>
      <c r="G248" s="171"/>
      <c r="H248" s="171"/>
      <c r="I248" s="171"/>
      <c r="J248" s="171"/>
      <c r="K248" s="173" t="s">
        <v>527</v>
      </c>
      <c r="L248" s="173" t="s">
        <v>877</v>
      </c>
      <c r="M248" s="173" t="s">
        <v>120</v>
      </c>
      <c r="N248" s="174" t="s">
        <v>96</v>
      </c>
      <c r="O248" s="174" t="s">
        <v>96</v>
      </c>
      <c r="P248" s="174" t="s">
        <v>78</v>
      </c>
      <c r="Q248" s="174" t="s">
        <v>77</v>
      </c>
      <c r="R248" s="174" t="s">
        <v>96</v>
      </c>
      <c r="S248" s="175" t="s">
        <v>96</v>
      </c>
      <c r="T248" s="175" t="s">
        <v>529</v>
      </c>
      <c r="U248" s="175" t="s">
        <v>878</v>
      </c>
      <c r="V248" s="171" t="s">
        <v>872</v>
      </c>
      <c r="W248" s="171" t="s">
        <v>111</v>
      </c>
      <c r="X248" s="176">
        <f t="shared" si="156"/>
        <v>1</v>
      </c>
      <c r="Y248" s="171" t="s">
        <v>83</v>
      </c>
      <c r="Z248" s="176">
        <f t="shared" si="157"/>
        <v>6</v>
      </c>
      <c r="AA248" s="171" t="s">
        <v>84</v>
      </c>
      <c r="AB248" s="176">
        <f t="shared" si="158"/>
        <v>3</v>
      </c>
      <c r="AC248" s="171" t="s">
        <v>85</v>
      </c>
      <c r="AD248" s="176">
        <f t="shared" si="159"/>
        <v>4</v>
      </c>
      <c r="AE248" s="171" t="s">
        <v>86</v>
      </c>
      <c r="AF248" s="176" cm="1">
        <f t="array" ref="AF248">IF(OR(AE248="/",AE248=""),"/",IF(ISNUMBER(SEARCH("普通",AE248)),0,IF(ISNUMBER(SEARCH("专用",AE248)),4,IF(ISNUMBER(SEARCH("定制",AE248)),7,IF(ISNUMBER(SEARCH("多个定制",AE248)),9,””)))))</f>
        <v>4</v>
      </c>
      <c r="AG248" s="176">
        <f t="shared" si="160"/>
        <v>18</v>
      </c>
      <c r="AH248" s="176" t="str">
        <f t="shared" si="161"/>
        <v>中Medium</v>
      </c>
      <c r="AI248" s="176" t="s">
        <v>144</v>
      </c>
      <c r="AJ248" s="176" t="str">
        <f t="shared" si="123"/>
        <v>保留
Retaining</v>
      </c>
      <c r="AK248" s="171" t="s">
        <v>145</v>
      </c>
      <c r="AL248" s="177" t="s">
        <v>145</v>
      </c>
      <c r="AM248" s="180" t="s">
        <v>134</v>
      </c>
      <c r="AN248" s="178" t="s">
        <v>135</v>
      </c>
      <c r="AO248" s="178" t="s">
        <v>136</v>
      </c>
    </row>
    <row r="249" s="116" customFormat="1" ht="17" customHeight="1" spans="1:41">
      <c r="A249" s="171">
        <v>245</v>
      </c>
      <c r="B249" s="179"/>
      <c r="C249" s="179"/>
      <c r="D249" s="179"/>
      <c r="E249" s="171"/>
      <c r="F249" s="171"/>
      <c r="G249" s="171" t="s">
        <v>73</v>
      </c>
      <c r="H249" s="171"/>
      <c r="I249" s="171"/>
      <c r="J249" s="171"/>
      <c r="K249" s="173" t="s">
        <v>533</v>
      </c>
      <c r="L249" s="173" t="s">
        <v>879</v>
      </c>
      <c r="M249" s="173" t="s">
        <v>150</v>
      </c>
      <c r="N249" s="174" t="s">
        <v>96</v>
      </c>
      <c r="O249" s="174" t="s">
        <v>96</v>
      </c>
      <c r="P249" s="174" t="s">
        <v>96</v>
      </c>
      <c r="Q249" s="174" t="s">
        <v>77</v>
      </c>
      <c r="R249" s="174" t="str">
        <f>IF(OR(N249="严重Severe",O249="严重Severe",P249="严重Severe",Q249="严重Severe"),"严重Severe",IF(OR(N249="主要Major",O249="主要Major",P249="主要Major",Q249="主要Major"),"主要Major",IF(OR(N249="中等Medium",O249="中等Medium",P249="中等Medium",Q249="中等Medium"),"中等Medium",IF(OR(N249="可忽略不计Negligible",O249="可忽略不计Negligible",P249="可忽略不计Negligible",Q249="可忽略不计Negligible"),"可忽略不计Negligible","/"))))</f>
        <v>中等Medium</v>
      </c>
      <c r="S249" s="175" t="s">
        <v>96</v>
      </c>
      <c r="T249" s="175" t="s">
        <v>535</v>
      </c>
      <c r="U249" s="175" t="s">
        <v>152</v>
      </c>
      <c r="V249" s="171" t="s">
        <v>872</v>
      </c>
      <c r="W249" s="171" t="s">
        <v>82</v>
      </c>
      <c r="X249" s="176">
        <f t="shared" si="156"/>
        <v>0</v>
      </c>
      <c r="Y249" s="171" t="s">
        <v>83</v>
      </c>
      <c r="Z249" s="176">
        <f t="shared" si="157"/>
        <v>6</v>
      </c>
      <c r="AA249" s="171" t="s">
        <v>153</v>
      </c>
      <c r="AB249" s="176">
        <f t="shared" si="158"/>
        <v>0</v>
      </c>
      <c r="AC249" s="171" t="s">
        <v>85</v>
      </c>
      <c r="AD249" s="176">
        <f t="shared" si="159"/>
        <v>4</v>
      </c>
      <c r="AE249" s="171" t="s">
        <v>143</v>
      </c>
      <c r="AF249" s="176" cm="1">
        <f t="array" ref="AF249">IF(OR(AE249="/",AE249=""),"/",IF(ISNUMBER(SEARCH("普通",AE249)),0,IF(ISNUMBER(SEARCH("专用",AE249)),4,IF(ISNUMBER(SEARCH("定制",AE249)),7,IF(ISNUMBER(SEARCH("多个定制",AE249)),9,””)))))</f>
        <v>7</v>
      </c>
      <c r="AG249" s="176">
        <f t="shared" si="160"/>
        <v>17</v>
      </c>
      <c r="AH249" s="176" t="str">
        <f t="shared" si="161"/>
        <v>中Medium</v>
      </c>
      <c r="AI249" s="176" t="s">
        <v>144</v>
      </c>
      <c r="AJ249" s="176" t="str">
        <f t="shared" si="123"/>
        <v>保留
Retaining</v>
      </c>
      <c r="AK249" s="171" t="s">
        <v>145</v>
      </c>
      <c r="AL249" s="177" t="s">
        <v>145</v>
      </c>
      <c r="AM249" s="171" t="s">
        <v>145</v>
      </c>
      <c r="AN249" s="178" t="s">
        <v>280</v>
      </c>
      <c r="AO249" s="178" t="s">
        <v>281</v>
      </c>
    </row>
    <row r="250" s="116" customFormat="1" ht="17" customHeight="1" spans="1:41">
      <c r="A250" s="171">
        <v>246</v>
      </c>
      <c r="B250" s="179"/>
      <c r="C250" s="179"/>
      <c r="D250" s="179"/>
      <c r="E250" s="171"/>
      <c r="F250" s="171"/>
      <c r="G250" s="171"/>
      <c r="H250" s="171" t="s">
        <v>73</v>
      </c>
      <c r="I250" s="171"/>
      <c r="J250" s="171"/>
      <c r="K250" s="173" t="s">
        <v>536</v>
      </c>
      <c r="L250" s="173" t="s">
        <v>880</v>
      </c>
      <c r="M250" s="173" t="s">
        <v>166</v>
      </c>
      <c r="N250" s="174" t="s">
        <v>96</v>
      </c>
      <c r="O250" s="174" t="s">
        <v>96</v>
      </c>
      <c r="P250" s="174" t="s">
        <v>96</v>
      </c>
      <c r="Q250" s="174" t="s">
        <v>77</v>
      </c>
      <c r="R250" s="174" t="str">
        <f>IF(OR(N250="严重Severe",O250="严重Severe",P250="严重Severe",Q250="严重Severe"),"严重Severe",IF(OR(N250="主要Major",O250="主要Major",P250="主要Major",Q250="主要Major"),"主要Major",IF(OR(N250="中等Medium",O250="中等Medium",P250="中等Medium",Q250="中等Medium"),"中等Medium",IF(OR(N250="可忽略不计Negligible",O250="可忽略不计Negligible",P250="可忽略不计Negligible",Q250="可忽略不计Negligible"),"可忽略不计Negligible","/"))))</f>
        <v>中等Medium</v>
      </c>
      <c r="S250" s="171" t="s">
        <v>96</v>
      </c>
      <c r="T250" s="175" t="s">
        <v>538</v>
      </c>
      <c r="U250" s="175" t="s">
        <v>881</v>
      </c>
      <c r="V250" s="171" t="s">
        <v>872</v>
      </c>
      <c r="W250" s="171" t="s">
        <v>82</v>
      </c>
      <c r="X250" s="176">
        <f t="shared" si="156"/>
        <v>0</v>
      </c>
      <c r="Y250" s="171" t="s">
        <v>83</v>
      </c>
      <c r="Z250" s="176">
        <f t="shared" si="157"/>
        <v>6</v>
      </c>
      <c r="AA250" s="171" t="s">
        <v>84</v>
      </c>
      <c r="AB250" s="176">
        <f t="shared" si="158"/>
        <v>3</v>
      </c>
      <c r="AC250" s="171" t="s">
        <v>85</v>
      </c>
      <c r="AD250" s="176">
        <f t="shared" si="159"/>
        <v>4</v>
      </c>
      <c r="AE250" s="171" t="s">
        <v>86</v>
      </c>
      <c r="AF250" s="176" cm="1">
        <f t="array" ref="AF250">IF(OR(AE250="/",AE250=""),"/",IF(ISNUMBER(SEARCH("普通",AE250)),0,IF(ISNUMBER(SEARCH("专用",AE250)),4,IF(ISNUMBER(SEARCH("定制",AE250)),7,IF(ISNUMBER(SEARCH("多个定制",AE250)),9,””)))))</f>
        <v>4</v>
      </c>
      <c r="AG250" s="176">
        <f t="shared" si="160"/>
        <v>17</v>
      </c>
      <c r="AH250" s="176" t="str">
        <f t="shared" si="161"/>
        <v>中Medium</v>
      </c>
      <c r="AI250" s="176" t="s">
        <v>144</v>
      </c>
      <c r="AJ250" s="176" t="str">
        <f t="shared" si="123"/>
        <v>保留
Retaining</v>
      </c>
      <c r="AK250" s="171" t="s">
        <v>145</v>
      </c>
      <c r="AL250" s="177" t="s">
        <v>145</v>
      </c>
      <c r="AM250" s="180" t="s">
        <v>316</v>
      </c>
      <c r="AN250" s="178" t="s">
        <v>317</v>
      </c>
      <c r="AO250" s="178" t="s">
        <v>318</v>
      </c>
    </row>
    <row r="251" s="116" customFormat="1" ht="17" customHeight="1" spans="1:41">
      <c r="A251" s="171">
        <v>247</v>
      </c>
      <c r="B251" s="179"/>
      <c r="C251" s="179"/>
      <c r="D251" s="179"/>
      <c r="E251" s="171"/>
      <c r="F251" s="171"/>
      <c r="G251" s="171"/>
      <c r="H251" s="171"/>
      <c r="I251" s="171" t="s">
        <v>73</v>
      </c>
      <c r="J251" s="171"/>
      <c r="K251" s="173" t="s">
        <v>540</v>
      </c>
      <c r="L251" s="173" t="s">
        <v>882</v>
      </c>
      <c r="M251" s="173" t="s">
        <v>174</v>
      </c>
      <c r="N251" s="174" t="s">
        <v>96</v>
      </c>
      <c r="O251" s="174" t="s">
        <v>96</v>
      </c>
      <c r="P251" s="174" t="s">
        <v>96</v>
      </c>
      <c r="Q251" s="174" t="s">
        <v>77</v>
      </c>
      <c r="R251" s="174" t="s">
        <v>96</v>
      </c>
      <c r="S251" s="175" t="s">
        <v>96</v>
      </c>
      <c r="T251" s="175" t="s">
        <v>542</v>
      </c>
      <c r="U251" s="175" t="s">
        <v>176</v>
      </c>
      <c r="V251" s="171" t="s">
        <v>872</v>
      </c>
      <c r="W251" s="171" t="s">
        <v>82</v>
      </c>
      <c r="X251" s="176">
        <f t="shared" si="156"/>
        <v>0</v>
      </c>
      <c r="Y251" s="171" t="s">
        <v>177</v>
      </c>
      <c r="Z251" s="176">
        <f t="shared" si="157"/>
        <v>3</v>
      </c>
      <c r="AA251" s="171" t="s">
        <v>153</v>
      </c>
      <c r="AB251" s="176">
        <f t="shared" si="158"/>
        <v>0</v>
      </c>
      <c r="AC251" s="171" t="s">
        <v>85</v>
      </c>
      <c r="AD251" s="176">
        <f t="shared" si="159"/>
        <v>4</v>
      </c>
      <c r="AE251" s="171" t="s">
        <v>86</v>
      </c>
      <c r="AF251" s="176" cm="1">
        <f t="array" ref="AF251">IF(OR(AE251="/",AE251=""),"/",IF(ISNUMBER(SEARCH("普通",AE251)),0,IF(ISNUMBER(SEARCH("专用",AE251)),4,IF(ISNUMBER(SEARCH("定制",AE251)),7,IF(ISNUMBER(SEARCH("多个定制",AE251)),9,””)))))</f>
        <v>4</v>
      </c>
      <c r="AG251" s="176">
        <f t="shared" si="160"/>
        <v>11</v>
      </c>
      <c r="AH251" s="176" t="s">
        <v>883</v>
      </c>
      <c r="AI251" s="176" t="s">
        <v>144</v>
      </c>
      <c r="AJ251" s="176" t="str">
        <f t="shared" si="123"/>
        <v>保留
Retaining</v>
      </c>
      <c r="AK251" s="171" t="s">
        <v>145</v>
      </c>
      <c r="AL251" s="177" t="s">
        <v>145</v>
      </c>
      <c r="AM251" s="180" t="s">
        <v>329</v>
      </c>
      <c r="AN251" s="178" t="s">
        <v>181</v>
      </c>
      <c r="AO251" s="178" t="s">
        <v>182</v>
      </c>
    </row>
    <row r="252" s="116" customFormat="1" ht="17" customHeight="1" spans="1:41">
      <c r="A252" s="171">
        <v>248</v>
      </c>
      <c r="B252" s="181"/>
      <c r="C252" s="181"/>
      <c r="D252" s="181"/>
      <c r="E252" s="171"/>
      <c r="F252" s="171"/>
      <c r="G252" s="171"/>
      <c r="H252" s="171"/>
      <c r="I252" s="171"/>
      <c r="J252" s="171" t="s">
        <v>183</v>
      </c>
      <c r="K252" s="173" t="s">
        <v>145</v>
      </c>
      <c r="L252" s="173" t="s">
        <v>145</v>
      </c>
      <c r="M252" s="173" t="s">
        <v>145</v>
      </c>
      <c r="N252" s="174" t="s">
        <v>145</v>
      </c>
      <c r="O252" s="174" t="s">
        <v>145</v>
      </c>
      <c r="P252" s="174" t="s">
        <v>145</v>
      </c>
      <c r="Q252" s="174" t="s">
        <v>145</v>
      </c>
      <c r="R252" s="174" t="s">
        <v>145</v>
      </c>
      <c r="S252" s="175" t="s">
        <v>145</v>
      </c>
      <c r="T252" s="175" t="s">
        <v>145</v>
      </c>
      <c r="U252" s="175" t="s">
        <v>145</v>
      </c>
      <c r="V252" s="171" t="s">
        <v>145</v>
      </c>
      <c r="W252" s="171" t="s">
        <v>145</v>
      </c>
      <c r="X252" s="176" t="s">
        <v>145</v>
      </c>
      <c r="Y252" s="171" t="s">
        <v>145</v>
      </c>
      <c r="Z252" s="176" t="s">
        <v>145</v>
      </c>
      <c r="AA252" s="171" t="s">
        <v>145</v>
      </c>
      <c r="AB252" s="176" t="s">
        <v>145</v>
      </c>
      <c r="AC252" s="171" t="s">
        <v>145</v>
      </c>
      <c r="AD252" s="176" t="s">
        <v>145</v>
      </c>
      <c r="AE252" s="171" t="s">
        <v>145</v>
      </c>
      <c r="AF252" s="176" t="str" cm="1">
        <f t="array" ref="AF252">IF(OR(AE252="/",AE252=""),"/",IF(ISNUMBER(SEARCH("普通",AE252)),0,IF(ISNUMBER(SEARCH("专用",AE252)),4,IF(ISNUMBER(SEARCH("定制",AE252)),7,IF(ISNUMBER(SEARCH("多个定制",AE252)),9,””)))))</f>
        <v>/</v>
      </c>
      <c r="AG252" s="176" t="s">
        <v>145</v>
      </c>
      <c r="AH252" s="176" t="s">
        <v>145</v>
      </c>
      <c r="AI252" s="176" t="s">
        <v>145</v>
      </c>
      <c r="AJ252" s="176" t="str">
        <f t="shared" si="123"/>
        <v>/</v>
      </c>
      <c r="AK252" s="171" t="s">
        <v>145</v>
      </c>
      <c r="AL252" s="177" t="s">
        <v>145</v>
      </c>
      <c r="AM252" s="177" t="s">
        <v>145</v>
      </c>
      <c r="AN252" s="177" t="s">
        <v>145</v>
      </c>
      <c r="AO252" s="177" t="s">
        <v>145</v>
      </c>
    </row>
    <row r="253" s="116" customFormat="1" ht="17" customHeight="1" spans="1:41">
      <c r="A253" s="171">
        <v>249</v>
      </c>
      <c r="B253" s="172" t="s">
        <v>884</v>
      </c>
      <c r="C253" s="171" t="s">
        <v>71</v>
      </c>
      <c r="D253" s="173" t="s">
        <v>885</v>
      </c>
      <c r="E253" s="171" t="s">
        <v>73</v>
      </c>
      <c r="F253" s="171"/>
      <c r="G253" s="171"/>
      <c r="H253" s="171"/>
      <c r="I253" s="171"/>
      <c r="J253" s="171"/>
      <c r="K253" s="173" t="s">
        <v>509</v>
      </c>
      <c r="L253" s="173" t="s">
        <v>886</v>
      </c>
      <c r="M253" s="173" t="s">
        <v>76</v>
      </c>
      <c r="N253" s="174" t="s">
        <v>77</v>
      </c>
      <c r="O253" s="174" t="s">
        <v>77</v>
      </c>
      <c r="P253" s="174" t="s">
        <v>78</v>
      </c>
      <c r="Q253" s="174" t="s">
        <v>77</v>
      </c>
      <c r="R253" s="174" t="str">
        <f t="shared" ref="R253:R259" si="162">IF(OR(N253="严重Severe",O253="严重Severe",P253="严重Severe",Q253="严重Severe"),"严重Severe",IF(OR(N253="主要Major",O253="主要Major",P253="主要Major",Q253="主要Major"),"主要Major",IF(OR(N253="中等Medium",O253="中等Medium",P253="中等Medium",Q253="中等Medium"),"中等Medium",IF(OR(N253="可忽略不计Negligible",O253="可忽略不计Negligible",P253="可忽略不计Negligible",Q253="可忽略不计Negligible"),"可忽略不计Negligible","/"))))</f>
        <v>主要Major</v>
      </c>
      <c r="S253" s="175" t="s">
        <v>96</v>
      </c>
      <c r="T253" s="175" t="s">
        <v>511</v>
      </c>
      <c r="U253" s="175" t="s">
        <v>80</v>
      </c>
      <c r="V253" s="171" t="s">
        <v>887</v>
      </c>
      <c r="W253" s="171" t="s">
        <v>82</v>
      </c>
      <c r="X253" s="176">
        <f t="shared" ref="X253:X259" si="163">IF(OR(W253="/",W253=""),"/",IF(ISNUMBER(SEARCH("1天",W253)),0,IF(ISNUMBER(SEARCH("一周",W253)),1,IF(ISNUMBER(SEARCH("1个月",W253)),4,IF(ISNUMBER(SEARCH("超过",W253)),19,IF(ISNUMBER(SEARCH("6个月",W253)),17,""))))))</f>
        <v>0</v>
      </c>
      <c r="Y253" s="171" t="s">
        <v>83</v>
      </c>
      <c r="Z253" s="176">
        <f t="shared" ref="Z253:Z259" si="164">IF(OR(Y253="/",Y253=""),"/",IF(ISNUMBER(SEARCH("新手",Y253)),0,IF(ISNUMBER(SEARCH("熟练",Y253)),3,IF(ISNUMBER(SEARCH("多位",Y253)),17,IF(ISNUMBER(SEARCH("专家",Y253)),6,"")))))</f>
        <v>6</v>
      </c>
      <c r="AA253" s="171" t="s">
        <v>84</v>
      </c>
      <c r="AB253" s="176">
        <f t="shared" ref="AB253:AB259" si="165">IF(OR(AA253="/",AA253=""),"/",IF(ISNUMBER(SEARCH("公开",AA253)),0,IF(ISNUMBER(SEARCH("限制性信息",AA253)),3,IF(ISNUMBER(SEARCH("机密信息",AA253)),7,IF(ISNUMBER(SEARCH("严格保密",AA253)),11,"")))))</f>
        <v>3</v>
      </c>
      <c r="AC253" s="171" t="s">
        <v>85</v>
      </c>
      <c r="AD253" s="176">
        <f t="shared" ref="AD253:AD259" si="166">IF(OR(AC253="/",AC253=""),"/",IF(ISNUMBER(SEARCH("无限制",AC253)),0,IF(ISNUMBER(SEARCH("容易",AC253)),1,IF(ISNUMBER(SEARCH("一般",AC253)),4,IF(ISNUMBER(SEARCH("困难",AC253)),10,"")))))</f>
        <v>4</v>
      </c>
      <c r="AE253" s="171" t="s">
        <v>86</v>
      </c>
      <c r="AF253" s="176" cm="1">
        <f t="array" ref="AF253">IF(OR(AE253="/",AE253=""),"/",IF(ISNUMBER(SEARCH("普通",AE253)),0,IF(ISNUMBER(SEARCH("专用",AE253)),4,IF(ISNUMBER(SEARCH("定制",AE253)),7,IF(ISNUMBER(SEARCH("多个定制",AE253)),9,””)))))</f>
        <v>4</v>
      </c>
      <c r="AG253" s="176">
        <f t="shared" ref="AG253:AG259" si="167">IF(OR(X253="/",Z253="/",AB253="/",AD253="/",AF253="/"),"/",X253+Z253+AB253+AD253+AF253)</f>
        <v>17</v>
      </c>
      <c r="AH253" s="176" t="str">
        <f t="shared" ref="AH253:AH259" si="168">IF(AND(AG253&gt;=0,AG253&lt;14),"高High",IF(AND(AG253&gt;=14,AG253&lt;20),"中Medium",IF(AND(AG253&gt;=20,AG253&lt;25),"低Low",IF(AND(AG253&gt;=25,AG253&lt;57),"非常低Very low",""))))</f>
        <v>中Medium</v>
      </c>
      <c r="AI253" s="176" t="s">
        <v>144</v>
      </c>
      <c r="AJ253" s="176" t="str">
        <f t="shared" si="123"/>
        <v>保留
Retaining</v>
      </c>
      <c r="AK253" s="171" t="s">
        <v>145</v>
      </c>
      <c r="AL253" s="177" t="s">
        <v>145</v>
      </c>
      <c r="AM253" s="180" t="s">
        <v>90</v>
      </c>
      <c r="AN253" s="178" t="s">
        <v>91</v>
      </c>
      <c r="AO253" s="178" t="s">
        <v>92</v>
      </c>
    </row>
    <row r="254" s="116" customFormat="1" ht="17" customHeight="1" spans="1:41">
      <c r="A254" s="171">
        <v>250</v>
      </c>
      <c r="B254" s="179"/>
      <c r="C254" s="179"/>
      <c r="D254" s="179"/>
      <c r="E254" s="171" t="s">
        <v>73</v>
      </c>
      <c r="F254" s="171"/>
      <c r="G254" s="171"/>
      <c r="H254" s="171"/>
      <c r="I254" s="171"/>
      <c r="J254" s="171"/>
      <c r="K254" s="173" t="s">
        <v>515</v>
      </c>
      <c r="L254" s="173" t="s">
        <v>888</v>
      </c>
      <c r="M254" s="173" t="s">
        <v>106</v>
      </c>
      <c r="N254" s="174" t="s">
        <v>77</v>
      </c>
      <c r="O254" s="174" t="s">
        <v>77</v>
      </c>
      <c r="P254" s="174" t="s">
        <v>96</v>
      </c>
      <c r="Q254" s="174" t="s">
        <v>78</v>
      </c>
      <c r="R254" s="174" t="str">
        <f t="shared" si="162"/>
        <v>主要Major</v>
      </c>
      <c r="S254" s="175" t="s">
        <v>96</v>
      </c>
      <c r="T254" s="175" t="s">
        <v>517</v>
      </c>
      <c r="U254" s="175" t="s">
        <v>109</v>
      </c>
      <c r="V254" s="171" t="s">
        <v>889</v>
      </c>
      <c r="W254" s="171" t="s">
        <v>111</v>
      </c>
      <c r="X254" s="176">
        <f t="shared" si="163"/>
        <v>1</v>
      </c>
      <c r="Y254" s="171" t="s">
        <v>83</v>
      </c>
      <c r="Z254" s="176">
        <f t="shared" si="164"/>
        <v>6</v>
      </c>
      <c r="AA254" s="171" t="s">
        <v>84</v>
      </c>
      <c r="AB254" s="176">
        <f t="shared" si="165"/>
        <v>3</v>
      </c>
      <c r="AC254" s="171" t="s">
        <v>85</v>
      </c>
      <c r="AD254" s="176">
        <f t="shared" si="166"/>
        <v>4</v>
      </c>
      <c r="AE254" s="171" t="s">
        <v>143</v>
      </c>
      <c r="AF254" s="176" cm="1">
        <f t="array" ref="AF254">IF(OR(AE254="/",AE254=""),"/",IF(ISNUMBER(SEARCH("普通",AE254)),0,IF(ISNUMBER(SEARCH("专用",AE254)),4,IF(ISNUMBER(SEARCH("定制",AE254)),7,IF(ISNUMBER(SEARCH("多个定制",AE254)),9,””)))))</f>
        <v>7</v>
      </c>
      <c r="AG254" s="176">
        <f t="shared" si="167"/>
        <v>21</v>
      </c>
      <c r="AH254" s="176" t="str">
        <f t="shared" si="168"/>
        <v>低Low</v>
      </c>
      <c r="AI254" s="176" t="s">
        <v>144</v>
      </c>
      <c r="AJ254" s="176" t="str">
        <f t="shared" si="123"/>
        <v>保留
Retaining</v>
      </c>
      <c r="AK254" s="171" t="s">
        <v>145</v>
      </c>
      <c r="AL254" s="177" t="s">
        <v>145</v>
      </c>
      <c r="AM254" s="180" t="s">
        <v>115</v>
      </c>
      <c r="AN254" s="178" t="s">
        <v>116</v>
      </c>
      <c r="AO254" s="178" t="s">
        <v>117</v>
      </c>
    </row>
    <row r="255" s="116" customFormat="1" ht="17" customHeight="1" spans="1:41">
      <c r="A255" s="171">
        <v>251</v>
      </c>
      <c r="B255" s="179"/>
      <c r="C255" s="179"/>
      <c r="D255" s="179"/>
      <c r="E255" s="171"/>
      <c r="F255" s="171" t="s">
        <v>73</v>
      </c>
      <c r="G255" s="171"/>
      <c r="H255" s="171"/>
      <c r="I255" s="171"/>
      <c r="J255" s="171"/>
      <c r="K255" s="173" t="s">
        <v>521</v>
      </c>
      <c r="L255" s="173" t="s">
        <v>890</v>
      </c>
      <c r="M255" s="173" t="s">
        <v>120</v>
      </c>
      <c r="N255" s="174" t="s">
        <v>77</v>
      </c>
      <c r="O255" s="174" t="s">
        <v>96</v>
      </c>
      <c r="P255" s="174" t="s">
        <v>78</v>
      </c>
      <c r="Q255" s="174" t="s">
        <v>77</v>
      </c>
      <c r="R255" s="174" t="str">
        <f t="shared" si="162"/>
        <v>主要Major</v>
      </c>
      <c r="S255" s="175" t="s">
        <v>96</v>
      </c>
      <c r="T255" s="175" t="s">
        <v>523</v>
      </c>
      <c r="U255" s="175" t="s">
        <v>891</v>
      </c>
      <c r="V255" s="171" t="s">
        <v>887</v>
      </c>
      <c r="W255" s="171" t="s">
        <v>82</v>
      </c>
      <c r="X255" s="176">
        <f t="shared" si="163"/>
        <v>0</v>
      </c>
      <c r="Y255" s="171" t="s">
        <v>83</v>
      </c>
      <c r="Z255" s="176">
        <f t="shared" si="164"/>
        <v>6</v>
      </c>
      <c r="AA255" s="171" t="s">
        <v>84</v>
      </c>
      <c r="AB255" s="176">
        <f t="shared" si="165"/>
        <v>3</v>
      </c>
      <c r="AC255" s="171" t="s">
        <v>85</v>
      </c>
      <c r="AD255" s="176">
        <f t="shared" si="166"/>
        <v>4</v>
      </c>
      <c r="AE255" s="171" t="s">
        <v>86</v>
      </c>
      <c r="AF255" s="176" cm="1">
        <f t="array" ref="AF255">IF(OR(AE255="/",AE255=""),"/",IF(ISNUMBER(SEARCH("普通",AE255)),0,IF(ISNUMBER(SEARCH("专用",AE255)),4,IF(ISNUMBER(SEARCH("定制",AE255)),7,IF(ISNUMBER(SEARCH("多个定制",AE255)),9,””)))))</f>
        <v>4</v>
      </c>
      <c r="AG255" s="176">
        <f t="shared" si="167"/>
        <v>17</v>
      </c>
      <c r="AH255" s="176" t="str">
        <f t="shared" si="168"/>
        <v>中Medium</v>
      </c>
      <c r="AI255" s="176" t="s">
        <v>144</v>
      </c>
      <c r="AJ255" s="176" t="str">
        <f t="shared" si="123"/>
        <v>保留
Retaining</v>
      </c>
      <c r="AK255" s="171" t="s">
        <v>145</v>
      </c>
      <c r="AL255" s="177" t="s">
        <v>145</v>
      </c>
      <c r="AM255" s="180" t="s">
        <v>125</v>
      </c>
      <c r="AN255" s="178" t="s">
        <v>126</v>
      </c>
      <c r="AO255" s="178" t="s">
        <v>127</v>
      </c>
    </row>
    <row r="256" s="116" customFormat="1" ht="17" customHeight="1" spans="1:41">
      <c r="A256" s="171">
        <v>252</v>
      </c>
      <c r="B256" s="179"/>
      <c r="C256" s="179"/>
      <c r="D256" s="179"/>
      <c r="E256" s="171"/>
      <c r="F256" s="171" t="s">
        <v>73</v>
      </c>
      <c r="G256" s="171"/>
      <c r="H256" s="171"/>
      <c r="I256" s="171"/>
      <c r="J256" s="171"/>
      <c r="K256" s="173" t="s">
        <v>527</v>
      </c>
      <c r="L256" s="173" t="s">
        <v>892</v>
      </c>
      <c r="M256" s="173" t="s">
        <v>120</v>
      </c>
      <c r="N256" s="174" t="s">
        <v>96</v>
      </c>
      <c r="O256" s="174" t="s">
        <v>96</v>
      </c>
      <c r="P256" s="174" t="s">
        <v>78</v>
      </c>
      <c r="Q256" s="174" t="s">
        <v>77</v>
      </c>
      <c r="R256" s="174" t="str">
        <f t="shared" si="162"/>
        <v>主要Major</v>
      </c>
      <c r="S256" s="175" t="s">
        <v>96</v>
      </c>
      <c r="T256" s="175" t="s">
        <v>529</v>
      </c>
      <c r="U256" s="175" t="s">
        <v>893</v>
      </c>
      <c r="V256" s="171" t="s">
        <v>887</v>
      </c>
      <c r="W256" s="171" t="s">
        <v>111</v>
      </c>
      <c r="X256" s="176">
        <f t="shared" si="163"/>
        <v>1</v>
      </c>
      <c r="Y256" s="171" t="s">
        <v>83</v>
      </c>
      <c r="Z256" s="176">
        <f t="shared" si="164"/>
        <v>6</v>
      </c>
      <c r="AA256" s="171" t="s">
        <v>84</v>
      </c>
      <c r="AB256" s="176">
        <f t="shared" si="165"/>
        <v>3</v>
      </c>
      <c r="AC256" s="171" t="s">
        <v>85</v>
      </c>
      <c r="AD256" s="176">
        <f t="shared" si="166"/>
        <v>4</v>
      </c>
      <c r="AE256" s="171" t="s">
        <v>86</v>
      </c>
      <c r="AF256" s="176" cm="1">
        <f t="array" ref="AF256">IF(OR(AE256="/",AE256=""),"/",IF(ISNUMBER(SEARCH("普通",AE256)),0,IF(ISNUMBER(SEARCH("专用",AE256)),4,IF(ISNUMBER(SEARCH("定制",AE256)),7,IF(ISNUMBER(SEARCH("多个定制",AE256)),9,””)))))</f>
        <v>4</v>
      </c>
      <c r="AG256" s="176">
        <f t="shared" si="167"/>
        <v>18</v>
      </c>
      <c r="AH256" s="176" t="str">
        <f t="shared" si="168"/>
        <v>中Medium</v>
      </c>
      <c r="AI256" s="176" t="s">
        <v>144</v>
      </c>
      <c r="AJ256" s="176" t="str">
        <f t="shared" si="123"/>
        <v>保留
Retaining</v>
      </c>
      <c r="AK256" s="171" t="s">
        <v>145</v>
      </c>
      <c r="AL256" s="177" t="s">
        <v>145</v>
      </c>
      <c r="AM256" s="180" t="s">
        <v>134</v>
      </c>
      <c r="AN256" s="178" t="s">
        <v>135</v>
      </c>
      <c r="AO256" s="178" t="s">
        <v>136</v>
      </c>
    </row>
    <row r="257" s="116" customFormat="1" ht="17" customHeight="1" spans="1:41">
      <c r="A257" s="171">
        <v>253</v>
      </c>
      <c r="B257" s="179"/>
      <c r="C257" s="179"/>
      <c r="D257" s="179"/>
      <c r="E257" s="171"/>
      <c r="F257" s="171"/>
      <c r="G257" s="171" t="s">
        <v>73</v>
      </c>
      <c r="H257" s="171"/>
      <c r="I257" s="171"/>
      <c r="J257" s="171"/>
      <c r="K257" s="173" t="s">
        <v>533</v>
      </c>
      <c r="L257" s="173" t="s">
        <v>894</v>
      </c>
      <c r="M257" s="173" t="s">
        <v>150</v>
      </c>
      <c r="N257" s="174" t="s">
        <v>96</v>
      </c>
      <c r="O257" s="174" t="s">
        <v>96</v>
      </c>
      <c r="P257" s="174" t="s">
        <v>96</v>
      </c>
      <c r="Q257" s="174" t="s">
        <v>77</v>
      </c>
      <c r="R257" s="174" t="str">
        <f t="shared" si="162"/>
        <v>中等Medium</v>
      </c>
      <c r="S257" s="175" t="s">
        <v>96</v>
      </c>
      <c r="T257" s="175" t="s">
        <v>535</v>
      </c>
      <c r="U257" s="175" t="s">
        <v>152</v>
      </c>
      <c r="V257" s="171" t="s">
        <v>887</v>
      </c>
      <c r="W257" s="171" t="s">
        <v>82</v>
      </c>
      <c r="X257" s="176">
        <f t="shared" si="163"/>
        <v>0</v>
      </c>
      <c r="Y257" s="171" t="s">
        <v>83</v>
      </c>
      <c r="Z257" s="176">
        <f t="shared" si="164"/>
        <v>6</v>
      </c>
      <c r="AA257" s="171" t="s">
        <v>153</v>
      </c>
      <c r="AB257" s="176">
        <f t="shared" si="165"/>
        <v>0</v>
      </c>
      <c r="AC257" s="171" t="s">
        <v>85</v>
      </c>
      <c r="AD257" s="176">
        <f t="shared" si="166"/>
        <v>4</v>
      </c>
      <c r="AE257" s="171" t="s">
        <v>143</v>
      </c>
      <c r="AF257" s="176" cm="1">
        <f t="array" ref="AF257">IF(OR(AE257="/",AE257=""),"/",IF(ISNUMBER(SEARCH("普通",AE257)),0,IF(ISNUMBER(SEARCH("专用",AE257)),4,IF(ISNUMBER(SEARCH("定制",AE257)),7,IF(ISNUMBER(SEARCH("多个定制",AE257)),9,””)))))</f>
        <v>7</v>
      </c>
      <c r="AG257" s="176">
        <f t="shared" si="167"/>
        <v>17</v>
      </c>
      <c r="AH257" s="176" t="str">
        <f t="shared" si="168"/>
        <v>中Medium</v>
      </c>
      <c r="AI257" s="176" t="s">
        <v>144</v>
      </c>
      <c r="AJ257" s="176" t="str">
        <f t="shared" si="123"/>
        <v>保留
Retaining</v>
      </c>
      <c r="AK257" s="171" t="s">
        <v>145</v>
      </c>
      <c r="AL257" s="177" t="s">
        <v>145</v>
      </c>
      <c r="AM257" s="171" t="s">
        <v>145</v>
      </c>
      <c r="AN257" s="178" t="s">
        <v>280</v>
      </c>
      <c r="AO257" s="178" t="s">
        <v>281</v>
      </c>
    </row>
    <row r="258" s="116" customFormat="1" ht="17" customHeight="1" spans="1:41">
      <c r="A258" s="171">
        <v>254</v>
      </c>
      <c r="B258" s="179"/>
      <c r="C258" s="179"/>
      <c r="D258" s="179"/>
      <c r="E258" s="171"/>
      <c r="F258" s="171"/>
      <c r="G258" s="171"/>
      <c r="H258" s="171" t="s">
        <v>73</v>
      </c>
      <c r="I258" s="171"/>
      <c r="J258" s="171"/>
      <c r="K258" s="173" t="s">
        <v>536</v>
      </c>
      <c r="L258" s="173" t="s">
        <v>895</v>
      </c>
      <c r="M258" s="173" t="s">
        <v>166</v>
      </c>
      <c r="N258" s="174" t="s">
        <v>96</v>
      </c>
      <c r="O258" s="174" t="s">
        <v>96</v>
      </c>
      <c r="P258" s="174" t="s">
        <v>96</v>
      </c>
      <c r="Q258" s="174" t="s">
        <v>77</v>
      </c>
      <c r="R258" s="174" t="str">
        <f t="shared" si="162"/>
        <v>中等Medium</v>
      </c>
      <c r="S258" s="171" t="s">
        <v>96</v>
      </c>
      <c r="T258" s="175" t="s">
        <v>538</v>
      </c>
      <c r="U258" s="175" t="s">
        <v>896</v>
      </c>
      <c r="V258" s="171" t="s">
        <v>887</v>
      </c>
      <c r="W258" s="171" t="s">
        <v>82</v>
      </c>
      <c r="X258" s="176">
        <f t="shared" si="163"/>
        <v>0</v>
      </c>
      <c r="Y258" s="171" t="s">
        <v>83</v>
      </c>
      <c r="Z258" s="176">
        <f t="shared" si="164"/>
        <v>6</v>
      </c>
      <c r="AA258" s="171" t="s">
        <v>84</v>
      </c>
      <c r="AB258" s="176">
        <f t="shared" si="165"/>
        <v>3</v>
      </c>
      <c r="AC258" s="171" t="s">
        <v>85</v>
      </c>
      <c r="AD258" s="176">
        <f t="shared" si="166"/>
        <v>4</v>
      </c>
      <c r="AE258" s="171" t="s">
        <v>86</v>
      </c>
      <c r="AF258" s="176" cm="1">
        <f t="array" ref="AF258">IF(OR(AE258="/",AE258=""),"/",IF(ISNUMBER(SEARCH("普通",AE258)),0,IF(ISNUMBER(SEARCH("专用",AE258)),4,IF(ISNUMBER(SEARCH("定制",AE258)),7,IF(ISNUMBER(SEARCH("多个定制",AE258)),9,””)))))</f>
        <v>4</v>
      </c>
      <c r="AG258" s="176">
        <f t="shared" si="167"/>
        <v>17</v>
      </c>
      <c r="AH258" s="176" t="str">
        <f t="shared" si="168"/>
        <v>中Medium</v>
      </c>
      <c r="AI258" s="176" t="s">
        <v>144</v>
      </c>
      <c r="AJ258" s="176" t="str">
        <f t="shared" si="123"/>
        <v>保留
Retaining</v>
      </c>
      <c r="AK258" s="171" t="s">
        <v>145</v>
      </c>
      <c r="AL258" s="177" t="s">
        <v>145</v>
      </c>
      <c r="AM258" s="180" t="s">
        <v>316</v>
      </c>
      <c r="AN258" s="178" t="s">
        <v>317</v>
      </c>
      <c r="AO258" s="178" t="s">
        <v>318</v>
      </c>
    </row>
    <row r="259" s="116" customFormat="1" ht="17" customHeight="1" spans="1:41">
      <c r="A259" s="171">
        <v>255</v>
      </c>
      <c r="B259" s="179"/>
      <c r="C259" s="179"/>
      <c r="D259" s="179"/>
      <c r="E259" s="171"/>
      <c r="F259" s="171"/>
      <c r="G259" s="171"/>
      <c r="H259" s="171"/>
      <c r="I259" s="171" t="s">
        <v>73</v>
      </c>
      <c r="J259" s="171"/>
      <c r="K259" s="173" t="s">
        <v>540</v>
      </c>
      <c r="L259" s="173" t="s">
        <v>897</v>
      </c>
      <c r="M259" s="173" t="s">
        <v>174</v>
      </c>
      <c r="N259" s="174" t="s">
        <v>96</v>
      </c>
      <c r="O259" s="174" t="s">
        <v>96</v>
      </c>
      <c r="P259" s="174" t="s">
        <v>96</v>
      </c>
      <c r="Q259" s="174" t="s">
        <v>77</v>
      </c>
      <c r="R259" s="174" t="str">
        <f t="shared" si="162"/>
        <v>中等Medium</v>
      </c>
      <c r="S259" s="175" t="s">
        <v>96</v>
      </c>
      <c r="T259" s="175" t="s">
        <v>542</v>
      </c>
      <c r="U259" s="175" t="s">
        <v>176</v>
      </c>
      <c r="V259" s="171" t="s">
        <v>887</v>
      </c>
      <c r="W259" s="171" t="s">
        <v>82</v>
      </c>
      <c r="X259" s="176">
        <f t="shared" si="163"/>
        <v>0</v>
      </c>
      <c r="Y259" s="171" t="s">
        <v>177</v>
      </c>
      <c r="Z259" s="176">
        <f t="shared" si="164"/>
        <v>3</v>
      </c>
      <c r="AA259" s="171" t="s">
        <v>153</v>
      </c>
      <c r="AB259" s="176">
        <f t="shared" si="165"/>
        <v>0</v>
      </c>
      <c r="AC259" s="171" t="s">
        <v>85</v>
      </c>
      <c r="AD259" s="176">
        <f t="shared" si="166"/>
        <v>4</v>
      </c>
      <c r="AE259" s="171" t="s">
        <v>86</v>
      </c>
      <c r="AF259" s="176" cm="1">
        <f t="array" ref="AF259">IF(OR(AE259="/",AE259=""),"/",IF(ISNUMBER(SEARCH("普通",AE259)),0,IF(ISNUMBER(SEARCH("专用",AE259)),4,IF(ISNUMBER(SEARCH("定制",AE259)),7,IF(ISNUMBER(SEARCH("多个定制",AE259)),9,””)))))</f>
        <v>4</v>
      </c>
      <c r="AG259" s="176">
        <f t="shared" si="167"/>
        <v>11</v>
      </c>
      <c r="AH259" s="176" t="str">
        <f t="shared" si="168"/>
        <v>高High</v>
      </c>
      <c r="AI259" s="176" t="s">
        <v>144</v>
      </c>
      <c r="AJ259" s="176" t="str">
        <f t="shared" si="123"/>
        <v>保留
Retaining</v>
      </c>
      <c r="AK259" s="171" t="s">
        <v>145</v>
      </c>
      <c r="AL259" s="177" t="s">
        <v>145</v>
      </c>
      <c r="AM259" s="180" t="s">
        <v>329</v>
      </c>
      <c r="AN259" s="178" t="s">
        <v>181</v>
      </c>
      <c r="AO259" s="178" t="s">
        <v>182</v>
      </c>
    </row>
    <row r="260" s="116" customFormat="1" ht="17" customHeight="1" spans="1:41">
      <c r="A260" s="171">
        <v>256</v>
      </c>
      <c r="B260" s="181"/>
      <c r="C260" s="181"/>
      <c r="D260" s="181"/>
      <c r="E260" s="171"/>
      <c r="F260" s="171"/>
      <c r="G260" s="171"/>
      <c r="H260" s="171"/>
      <c r="I260" s="171"/>
      <c r="J260" s="171" t="s">
        <v>183</v>
      </c>
      <c r="K260" s="173" t="s">
        <v>145</v>
      </c>
      <c r="L260" s="173" t="s">
        <v>145</v>
      </c>
      <c r="M260" s="173" t="s">
        <v>145</v>
      </c>
      <c r="N260" s="174" t="s">
        <v>145</v>
      </c>
      <c r="O260" s="174" t="s">
        <v>145</v>
      </c>
      <c r="P260" s="174" t="s">
        <v>145</v>
      </c>
      <c r="Q260" s="174" t="s">
        <v>145</v>
      </c>
      <c r="R260" s="174" t="s">
        <v>145</v>
      </c>
      <c r="S260" s="175" t="s">
        <v>145</v>
      </c>
      <c r="T260" s="175" t="s">
        <v>145</v>
      </c>
      <c r="U260" s="175" t="s">
        <v>145</v>
      </c>
      <c r="V260" s="171" t="s">
        <v>145</v>
      </c>
      <c r="W260" s="171" t="s">
        <v>145</v>
      </c>
      <c r="X260" s="176" t="s">
        <v>145</v>
      </c>
      <c r="Y260" s="171" t="s">
        <v>145</v>
      </c>
      <c r="Z260" s="176" t="s">
        <v>145</v>
      </c>
      <c r="AA260" s="171" t="s">
        <v>145</v>
      </c>
      <c r="AB260" s="176" t="s">
        <v>145</v>
      </c>
      <c r="AC260" s="171" t="s">
        <v>145</v>
      </c>
      <c r="AD260" s="176" t="s">
        <v>145</v>
      </c>
      <c r="AE260" s="171" t="s">
        <v>145</v>
      </c>
      <c r="AF260" s="176" t="str" cm="1">
        <f t="array" ref="AF260">IF(OR(AE260="/",AE260=""),"/",IF(ISNUMBER(SEARCH("普通",AE260)),0,IF(ISNUMBER(SEARCH("专用",AE260)),4,IF(ISNUMBER(SEARCH("定制",AE260)),7,IF(ISNUMBER(SEARCH("多个定制",AE260)),9,””)))))</f>
        <v>/</v>
      </c>
      <c r="AG260" s="176" t="s">
        <v>145</v>
      </c>
      <c r="AH260" s="176" t="s">
        <v>145</v>
      </c>
      <c r="AI260" s="176" t="s">
        <v>145</v>
      </c>
      <c r="AJ260" s="176" t="str">
        <f t="shared" si="123"/>
        <v>/</v>
      </c>
      <c r="AK260" s="171" t="s">
        <v>145</v>
      </c>
      <c r="AL260" s="177" t="s">
        <v>145</v>
      </c>
      <c r="AM260" s="177" t="s">
        <v>145</v>
      </c>
      <c r="AN260" s="177" t="s">
        <v>145</v>
      </c>
      <c r="AO260" s="177" t="s">
        <v>145</v>
      </c>
    </row>
    <row r="261" s="116" customFormat="1" ht="17" customHeight="1" spans="1:41">
      <c r="A261" s="171">
        <v>257</v>
      </c>
      <c r="B261" s="172" t="s">
        <v>898</v>
      </c>
      <c r="C261" s="171" t="s">
        <v>71</v>
      </c>
      <c r="D261" s="173" t="s">
        <v>899</v>
      </c>
      <c r="E261" s="171" t="s">
        <v>73</v>
      </c>
      <c r="F261" s="171"/>
      <c r="G261" s="171"/>
      <c r="H261" s="171"/>
      <c r="I261" s="171"/>
      <c r="J261" s="171"/>
      <c r="K261" s="173" t="s">
        <v>509</v>
      </c>
      <c r="L261" s="173" t="s">
        <v>900</v>
      </c>
      <c r="M261" s="173" t="s">
        <v>76</v>
      </c>
      <c r="N261" s="174" t="s">
        <v>77</v>
      </c>
      <c r="O261" s="174" t="s">
        <v>77</v>
      </c>
      <c r="P261" s="174" t="s">
        <v>78</v>
      </c>
      <c r="Q261" s="174" t="s">
        <v>77</v>
      </c>
      <c r="R261" s="174" t="str">
        <f t="shared" ref="R261:R267" si="169">IF(OR(N261="严重Severe",O261="严重Severe",P261="严重Severe",Q261="严重Severe"),"严重Severe",IF(OR(N261="主要Major",O261="主要Major",P261="主要Major",Q261="主要Major"),"主要Major",IF(OR(N261="中等Medium",O261="中等Medium",P261="中等Medium",Q261="中等Medium"),"中等Medium",IF(OR(N261="可忽略不计Negligible",O261="可忽略不计Negligible",P261="可忽略不计Negligible",Q261="可忽略不计Negligible"),"可忽略不计Negligible","/"))))</f>
        <v>主要Major</v>
      </c>
      <c r="S261" s="175" t="s">
        <v>78</v>
      </c>
      <c r="T261" s="175" t="s">
        <v>511</v>
      </c>
      <c r="U261" s="175" t="s">
        <v>80</v>
      </c>
      <c r="V261" s="171" t="s">
        <v>901</v>
      </c>
      <c r="W261" s="171" t="s">
        <v>82</v>
      </c>
      <c r="X261" s="176">
        <f t="shared" ref="X261:X267" si="170">IF(OR(W261="/",W261=""),"/",IF(ISNUMBER(SEARCH("1天",W261)),0,IF(ISNUMBER(SEARCH("一周",W261)),1,IF(ISNUMBER(SEARCH("1个月",W261)),4,IF(ISNUMBER(SEARCH("超过",W261)),19,IF(ISNUMBER(SEARCH("6个月",W261)),17,""))))))</f>
        <v>0</v>
      </c>
      <c r="Y261" s="171" t="s">
        <v>83</v>
      </c>
      <c r="Z261" s="176">
        <f t="shared" ref="Z261:Z267" si="171">IF(OR(Y261="/",Y261=""),"/",IF(ISNUMBER(SEARCH("新手",Y261)),0,IF(ISNUMBER(SEARCH("熟练",Y261)),3,IF(ISNUMBER(SEARCH("多位",Y261)),17,IF(ISNUMBER(SEARCH("专家",Y261)),6,"")))))</f>
        <v>6</v>
      </c>
      <c r="AA261" s="171" t="s">
        <v>84</v>
      </c>
      <c r="AB261" s="176">
        <f t="shared" ref="AB261:AB267" si="172">IF(OR(AA261="/",AA261=""),"/",IF(ISNUMBER(SEARCH("公开",AA261)),0,IF(ISNUMBER(SEARCH("限制性信息",AA261)),3,IF(ISNUMBER(SEARCH("机密信息",AA261)),7,IF(ISNUMBER(SEARCH("严格保密",AA261)),11,"")))))</f>
        <v>3</v>
      </c>
      <c r="AC261" s="171" t="s">
        <v>85</v>
      </c>
      <c r="AD261" s="176">
        <f t="shared" ref="AD261:AD267" si="173">IF(OR(AC261="/",AC261=""),"/",IF(ISNUMBER(SEARCH("无限制",AC261)),0,IF(ISNUMBER(SEARCH("容易",AC261)),1,IF(ISNUMBER(SEARCH("一般",AC261)),4,IF(ISNUMBER(SEARCH("困难",AC261)),10,"")))))</f>
        <v>4</v>
      </c>
      <c r="AE261" s="171" t="s">
        <v>86</v>
      </c>
      <c r="AF261" s="176" cm="1">
        <f t="array" ref="AF261">IF(OR(AE261="/",AE261=""),"/",IF(ISNUMBER(SEARCH("普通",AE261)),0,IF(ISNUMBER(SEARCH("专用",AE261)),4,IF(ISNUMBER(SEARCH("定制",AE261)),7,IF(ISNUMBER(SEARCH("多个定制",AE261)),9,””)))))</f>
        <v>4</v>
      </c>
      <c r="AG261" s="176">
        <f t="shared" ref="AG261:AG267" si="174">IF(OR(X261="/",Z261="/",AB261="/",AD261="/",AF261="/"),"/",X261+Z261+AB261+AD261+AF261)</f>
        <v>17</v>
      </c>
      <c r="AH261" s="176" t="str">
        <f t="shared" ref="AH261:AH267" si="175">IF(AND(AG261&gt;=0,AG261&lt;14),"高High",IF(AND(AG261&gt;=14,AG261&lt;20),"中Medium",IF(AND(AG261&gt;=20,AG261&lt;25),"低Low",IF(AND(AG261&gt;=25,AG261&lt;57),"非常低Very low",""))))</f>
        <v>中Medium</v>
      </c>
      <c r="AI261" s="176" t="s">
        <v>87</v>
      </c>
      <c r="AJ261" s="176" t="str">
        <f t="shared" si="123"/>
        <v>降低
Reucing</v>
      </c>
      <c r="AK261" s="171" t="s">
        <v>513</v>
      </c>
      <c r="AL261" s="177" t="s">
        <v>514</v>
      </c>
      <c r="AM261" s="180" t="s">
        <v>90</v>
      </c>
      <c r="AN261" s="178" t="s">
        <v>91</v>
      </c>
      <c r="AO261" s="178" t="s">
        <v>92</v>
      </c>
    </row>
    <row r="262" s="116" customFormat="1" ht="17" customHeight="1" spans="1:41">
      <c r="A262" s="171">
        <v>258</v>
      </c>
      <c r="B262" s="179"/>
      <c r="C262" s="179"/>
      <c r="D262" s="179"/>
      <c r="E262" s="171" t="s">
        <v>73</v>
      </c>
      <c r="F262" s="171"/>
      <c r="G262" s="171"/>
      <c r="H262" s="171"/>
      <c r="I262" s="171"/>
      <c r="J262" s="171"/>
      <c r="K262" s="173" t="s">
        <v>515</v>
      </c>
      <c r="L262" s="173" t="s">
        <v>902</v>
      </c>
      <c r="M262" s="173" t="s">
        <v>106</v>
      </c>
      <c r="N262" s="174" t="s">
        <v>77</v>
      </c>
      <c r="O262" s="174" t="s">
        <v>77</v>
      </c>
      <c r="P262" s="174" t="s">
        <v>96</v>
      </c>
      <c r="Q262" s="174" t="s">
        <v>78</v>
      </c>
      <c r="R262" s="174" t="str">
        <f t="shared" si="169"/>
        <v>主要Major</v>
      </c>
      <c r="S262" s="175" t="s">
        <v>107</v>
      </c>
      <c r="T262" s="175" t="s">
        <v>517</v>
      </c>
      <c r="U262" s="175" t="s">
        <v>109</v>
      </c>
      <c r="V262" s="171" t="s">
        <v>903</v>
      </c>
      <c r="W262" s="171" t="s">
        <v>111</v>
      </c>
      <c r="X262" s="176">
        <f t="shared" si="170"/>
        <v>1</v>
      </c>
      <c r="Y262" s="171" t="s">
        <v>83</v>
      </c>
      <c r="Z262" s="176">
        <f t="shared" si="171"/>
        <v>6</v>
      </c>
      <c r="AA262" s="171" t="s">
        <v>84</v>
      </c>
      <c r="AB262" s="176">
        <f t="shared" si="172"/>
        <v>3</v>
      </c>
      <c r="AC262" s="171" t="s">
        <v>85</v>
      </c>
      <c r="AD262" s="176">
        <f t="shared" si="173"/>
        <v>4</v>
      </c>
      <c r="AE262" s="171" t="s">
        <v>143</v>
      </c>
      <c r="AF262" s="176" cm="1">
        <f t="array" ref="AF262">IF(OR(AE262="/",AE262=""),"/",IF(ISNUMBER(SEARCH("普通",AE262)),0,IF(ISNUMBER(SEARCH("专用",AE262)),4,IF(ISNUMBER(SEARCH("定制",AE262)),7,IF(ISNUMBER(SEARCH("多个定制",AE262)),9,””)))))</f>
        <v>7</v>
      </c>
      <c r="AG262" s="176">
        <f t="shared" si="174"/>
        <v>21</v>
      </c>
      <c r="AH262" s="176" t="str">
        <f t="shared" si="175"/>
        <v>低Low</v>
      </c>
      <c r="AI262" s="176" t="s">
        <v>112</v>
      </c>
      <c r="AJ262" s="176" t="str">
        <f t="shared" si="123"/>
        <v>消除
Avoiding</v>
      </c>
      <c r="AK262" s="171" t="s">
        <v>519</v>
      </c>
      <c r="AL262" s="177" t="s">
        <v>520</v>
      </c>
      <c r="AM262" s="180" t="s">
        <v>115</v>
      </c>
      <c r="AN262" s="178" t="s">
        <v>116</v>
      </c>
      <c r="AO262" s="178" t="s">
        <v>117</v>
      </c>
    </row>
    <row r="263" s="116" customFormat="1" ht="17" customHeight="1" spans="1:41">
      <c r="A263" s="171">
        <v>259</v>
      </c>
      <c r="B263" s="179"/>
      <c r="C263" s="179"/>
      <c r="D263" s="179"/>
      <c r="E263" s="171"/>
      <c r="F263" s="171" t="s">
        <v>73</v>
      </c>
      <c r="G263" s="171"/>
      <c r="H263" s="171"/>
      <c r="I263" s="171"/>
      <c r="J263" s="171"/>
      <c r="K263" s="173" t="s">
        <v>521</v>
      </c>
      <c r="L263" s="173" t="s">
        <v>904</v>
      </c>
      <c r="M263" s="173" t="s">
        <v>120</v>
      </c>
      <c r="N263" s="174" t="s">
        <v>77</v>
      </c>
      <c r="O263" s="174" t="s">
        <v>96</v>
      </c>
      <c r="P263" s="174" t="s">
        <v>78</v>
      </c>
      <c r="Q263" s="174" t="s">
        <v>77</v>
      </c>
      <c r="R263" s="174" t="str">
        <f t="shared" si="169"/>
        <v>主要Major</v>
      </c>
      <c r="S263" s="175" t="s">
        <v>78</v>
      </c>
      <c r="T263" s="175" t="s">
        <v>523</v>
      </c>
      <c r="U263" s="175" t="s">
        <v>905</v>
      </c>
      <c r="V263" s="171" t="s">
        <v>901</v>
      </c>
      <c r="W263" s="171" t="s">
        <v>82</v>
      </c>
      <c r="X263" s="176">
        <f t="shared" si="170"/>
        <v>0</v>
      </c>
      <c r="Y263" s="171" t="s">
        <v>83</v>
      </c>
      <c r="Z263" s="176">
        <f t="shared" si="171"/>
        <v>6</v>
      </c>
      <c r="AA263" s="171" t="s">
        <v>84</v>
      </c>
      <c r="AB263" s="176">
        <f t="shared" si="172"/>
        <v>3</v>
      </c>
      <c r="AC263" s="171" t="s">
        <v>85</v>
      </c>
      <c r="AD263" s="176">
        <f t="shared" si="173"/>
        <v>4</v>
      </c>
      <c r="AE263" s="171" t="s">
        <v>86</v>
      </c>
      <c r="AF263" s="176" cm="1">
        <f t="array" ref="AF263">IF(OR(AE263="/",AE263=""),"/",IF(ISNUMBER(SEARCH("普通",AE263)),0,IF(ISNUMBER(SEARCH("专用",AE263)),4,IF(ISNUMBER(SEARCH("定制",AE263)),7,IF(ISNUMBER(SEARCH("多个定制",AE263)),9,””)))))</f>
        <v>4</v>
      </c>
      <c r="AG263" s="176">
        <f t="shared" si="174"/>
        <v>17</v>
      </c>
      <c r="AH263" s="176" t="str">
        <f t="shared" si="175"/>
        <v>中Medium</v>
      </c>
      <c r="AI263" s="176" t="s">
        <v>87</v>
      </c>
      <c r="AJ263" s="176" t="str">
        <f t="shared" si="123"/>
        <v>降低
Reucing</v>
      </c>
      <c r="AK263" s="171" t="s">
        <v>525</v>
      </c>
      <c r="AL263" s="177" t="s">
        <v>526</v>
      </c>
      <c r="AM263" s="180" t="s">
        <v>125</v>
      </c>
      <c r="AN263" s="178" t="s">
        <v>126</v>
      </c>
      <c r="AO263" s="178" t="s">
        <v>127</v>
      </c>
    </row>
    <row r="264" s="116" customFormat="1" ht="17" customHeight="1" spans="1:41">
      <c r="A264" s="171">
        <v>260</v>
      </c>
      <c r="B264" s="179"/>
      <c r="C264" s="179"/>
      <c r="D264" s="179"/>
      <c r="E264" s="171"/>
      <c r="F264" s="171" t="s">
        <v>73</v>
      </c>
      <c r="G264" s="171"/>
      <c r="H264" s="171"/>
      <c r="I264" s="171"/>
      <c r="J264" s="171"/>
      <c r="K264" s="173" t="s">
        <v>527</v>
      </c>
      <c r="L264" s="173" t="s">
        <v>906</v>
      </c>
      <c r="M264" s="173" t="s">
        <v>120</v>
      </c>
      <c r="N264" s="174" t="s">
        <v>96</v>
      </c>
      <c r="O264" s="174" t="s">
        <v>96</v>
      </c>
      <c r="P264" s="174" t="s">
        <v>78</v>
      </c>
      <c r="Q264" s="174" t="s">
        <v>77</v>
      </c>
      <c r="R264" s="174" t="str">
        <f t="shared" si="169"/>
        <v>主要Major</v>
      </c>
      <c r="S264" s="175" t="s">
        <v>78</v>
      </c>
      <c r="T264" s="175" t="s">
        <v>529</v>
      </c>
      <c r="U264" s="175" t="s">
        <v>907</v>
      </c>
      <c r="V264" s="171" t="s">
        <v>901</v>
      </c>
      <c r="W264" s="171" t="s">
        <v>111</v>
      </c>
      <c r="X264" s="176">
        <f t="shared" si="170"/>
        <v>1</v>
      </c>
      <c r="Y264" s="171" t="s">
        <v>83</v>
      </c>
      <c r="Z264" s="176">
        <f t="shared" si="171"/>
        <v>6</v>
      </c>
      <c r="AA264" s="171" t="s">
        <v>84</v>
      </c>
      <c r="AB264" s="176">
        <f t="shared" si="172"/>
        <v>3</v>
      </c>
      <c r="AC264" s="171" t="s">
        <v>85</v>
      </c>
      <c r="AD264" s="176">
        <f t="shared" si="173"/>
        <v>4</v>
      </c>
      <c r="AE264" s="171" t="s">
        <v>86</v>
      </c>
      <c r="AF264" s="176" cm="1">
        <f t="array" ref="AF264">IF(OR(AE264="/",AE264=""),"/",IF(ISNUMBER(SEARCH("普通",AE264)),0,IF(ISNUMBER(SEARCH("专用",AE264)),4,IF(ISNUMBER(SEARCH("定制",AE264)),7,IF(ISNUMBER(SEARCH("多个定制",AE264)),9,””)))))</f>
        <v>4</v>
      </c>
      <c r="AG264" s="176">
        <f t="shared" si="174"/>
        <v>18</v>
      </c>
      <c r="AH264" s="176" t="str">
        <f t="shared" si="175"/>
        <v>中Medium</v>
      </c>
      <c r="AI264" s="176" t="s">
        <v>87</v>
      </c>
      <c r="AJ264" s="176" t="str">
        <f t="shared" si="123"/>
        <v>降低
Reucing</v>
      </c>
      <c r="AK264" s="171" t="s">
        <v>531</v>
      </c>
      <c r="AL264" s="177" t="s">
        <v>532</v>
      </c>
      <c r="AM264" s="180" t="s">
        <v>134</v>
      </c>
      <c r="AN264" s="178" t="s">
        <v>135</v>
      </c>
      <c r="AO264" s="178" t="s">
        <v>136</v>
      </c>
    </row>
    <row r="265" s="116" customFormat="1" ht="17" customHeight="1" spans="1:41">
      <c r="A265" s="171">
        <v>261</v>
      </c>
      <c r="B265" s="179"/>
      <c r="C265" s="179"/>
      <c r="D265" s="179"/>
      <c r="E265" s="171"/>
      <c r="F265" s="171"/>
      <c r="G265" s="171" t="s">
        <v>73</v>
      </c>
      <c r="H265" s="171"/>
      <c r="I265" s="171"/>
      <c r="J265" s="171"/>
      <c r="K265" s="173" t="s">
        <v>533</v>
      </c>
      <c r="L265" s="173" t="s">
        <v>908</v>
      </c>
      <c r="M265" s="173" t="s">
        <v>150</v>
      </c>
      <c r="N265" s="174" t="s">
        <v>96</v>
      </c>
      <c r="O265" s="174" t="s">
        <v>96</v>
      </c>
      <c r="P265" s="174" t="s">
        <v>96</v>
      </c>
      <c r="Q265" s="174" t="s">
        <v>77</v>
      </c>
      <c r="R265" s="174" t="str">
        <f t="shared" si="169"/>
        <v>中等Medium</v>
      </c>
      <c r="S265" s="175" t="s">
        <v>96</v>
      </c>
      <c r="T265" s="175" t="s">
        <v>535</v>
      </c>
      <c r="U265" s="175" t="s">
        <v>152</v>
      </c>
      <c r="V265" s="171" t="s">
        <v>901</v>
      </c>
      <c r="W265" s="171" t="s">
        <v>82</v>
      </c>
      <c r="X265" s="176">
        <f t="shared" si="170"/>
        <v>0</v>
      </c>
      <c r="Y265" s="171" t="s">
        <v>83</v>
      </c>
      <c r="Z265" s="176">
        <f t="shared" si="171"/>
        <v>6</v>
      </c>
      <c r="AA265" s="171" t="s">
        <v>153</v>
      </c>
      <c r="AB265" s="176">
        <f t="shared" si="172"/>
        <v>0</v>
      </c>
      <c r="AC265" s="171" t="s">
        <v>85</v>
      </c>
      <c r="AD265" s="176">
        <f t="shared" si="173"/>
        <v>4</v>
      </c>
      <c r="AE265" s="171" t="s">
        <v>143</v>
      </c>
      <c r="AF265" s="176" cm="1">
        <f t="array" ref="AF265">IF(OR(AE265="/",AE265=""),"/",IF(ISNUMBER(SEARCH("普通",AE265)),0,IF(ISNUMBER(SEARCH("专用",AE265)),4,IF(ISNUMBER(SEARCH("定制",AE265)),7,IF(ISNUMBER(SEARCH("多个定制",AE265)),9,””)))))</f>
        <v>7</v>
      </c>
      <c r="AG265" s="176">
        <f t="shared" si="174"/>
        <v>17</v>
      </c>
      <c r="AH265" s="176" t="str">
        <f t="shared" si="175"/>
        <v>中Medium</v>
      </c>
      <c r="AI265" s="176" t="s">
        <v>144</v>
      </c>
      <c r="AJ265" s="176" t="str">
        <f t="shared" ref="AJ265:AJ328" si="176">IF(AI265="/","/",IF(AI265="CAL3","降低"&amp;CHAR(10)&amp;"Reucing",IF(AI265="CAL4","消除"&amp;CHAR(10)&amp;"Avoiding",IF(AI265="CAL2","保留"&amp;CHAR(10)&amp;"Retaining",IF(AI265="CAL1","保留"&amp;CHAR(10)&amp;"Retaining","")))))</f>
        <v>保留
Retaining</v>
      </c>
      <c r="AK265" s="171" t="s">
        <v>145</v>
      </c>
      <c r="AL265" s="177" t="s">
        <v>145</v>
      </c>
      <c r="AM265" s="171" t="s">
        <v>145</v>
      </c>
      <c r="AN265" s="178" t="s">
        <v>280</v>
      </c>
      <c r="AO265" s="178" t="s">
        <v>281</v>
      </c>
    </row>
    <row r="266" s="116" customFormat="1" ht="17" customHeight="1" spans="1:41">
      <c r="A266" s="171">
        <v>262</v>
      </c>
      <c r="B266" s="179"/>
      <c r="C266" s="179"/>
      <c r="D266" s="179"/>
      <c r="E266" s="171"/>
      <c r="F266" s="171"/>
      <c r="G266" s="171"/>
      <c r="H266" s="171" t="s">
        <v>73</v>
      </c>
      <c r="I266" s="171"/>
      <c r="J266" s="171"/>
      <c r="K266" s="173" t="s">
        <v>536</v>
      </c>
      <c r="L266" s="173" t="s">
        <v>909</v>
      </c>
      <c r="M266" s="173" t="s">
        <v>166</v>
      </c>
      <c r="N266" s="174" t="s">
        <v>96</v>
      </c>
      <c r="O266" s="174" t="s">
        <v>96</v>
      </c>
      <c r="P266" s="174" t="s">
        <v>96</v>
      </c>
      <c r="Q266" s="174" t="s">
        <v>77</v>
      </c>
      <c r="R266" s="174" t="str">
        <f t="shared" si="169"/>
        <v>中等Medium</v>
      </c>
      <c r="S266" s="171" t="s">
        <v>96</v>
      </c>
      <c r="T266" s="175" t="s">
        <v>538</v>
      </c>
      <c r="U266" s="175" t="s">
        <v>910</v>
      </c>
      <c r="V266" s="171" t="s">
        <v>901</v>
      </c>
      <c r="W266" s="171" t="s">
        <v>82</v>
      </c>
      <c r="X266" s="176">
        <f t="shared" si="170"/>
        <v>0</v>
      </c>
      <c r="Y266" s="171" t="s">
        <v>83</v>
      </c>
      <c r="Z266" s="176">
        <f t="shared" si="171"/>
        <v>6</v>
      </c>
      <c r="AA266" s="171" t="s">
        <v>84</v>
      </c>
      <c r="AB266" s="176">
        <f t="shared" si="172"/>
        <v>3</v>
      </c>
      <c r="AC266" s="171" t="s">
        <v>85</v>
      </c>
      <c r="AD266" s="176">
        <f t="shared" si="173"/>
        <v>4</v>
      </c>
      <c r="AE266" s="171" t="s">
        <v>86</v>
      </c>
      <c r="AF266" s="176" cm="1">
        <f t="array" ref="AF266">IF(OR(AE266="/",AE266=""),"/",IF(ISNUMBER(SEARCH("普通",AE266)),0,IF(ISNUMBER(SEARCH("专用",AE266)),4,IF(ISNUMBER(SEARCH("定制",AE266)),7,IF(ISNUMBER(SEARCH("多个定制",AE266)),9,””)))))</f>
        <v>4</v>
      </c>
      <c r="AG266" s="176">
        <f t="shared" si="174"/>
        <v>17</v>
      </c>
      <c r="AH266" s="176" t="str">
        <f t="shared" si="175"/>
        <v>中Medium</v>
      </c>
      <c r="AI266" s="176" t="s">
        <v>144</v>
      </c>
      <c r="AJ266" s="176" t="str">
        <f t="shared" si="176"/>
        <v>保留
Retaining</v>
      </c>
      <c r="AK266" s="171" t="s">
        <v>145</v>
      </c>
      <c r="AL266" s="177" t="s">
        <v>145</v>
      </c>
      <c r="AM266" s="180" t="s">
        <v>316</v>
      </c>
      <c r="AN266" s="178" t="s">
        <v>317</v>
      </c>
      <c r="AO266" s="178" t="s">
        <v>318</v>
      </c>
    </row>
    <row r="267" s="116" customFormat="1" ht="17" customHeight="1" spans="1:41">
      <c r="A267" s="171">
        <v>263</v>
      </c>
      <c r="B267" s="179"/>
      <c r="C267" s="179"/>
      <c r="D267" s="179"/>
      <c r="E267" s="171"/>
      <c r="F267" s="171"/>
      <c r="G267" s="171"/>
      <c r="H267" s="171"/>
      <c r="I267" s="171" t="s">
        <v>73</v>
      </c>
      <c r="J267" s="171"/>
      <c r="K267" s="173" t="s">
        <v>540</v>
      </c>
      <c r="L267" s="173" t="s">
        <v>911</v>
      </c>
      <c r="M267" s="173" t="s">
        <v>174</v>
      </c>
      <c r="N267" s="174" t="s">
        <v>96</v>
      </c>
      <c r="O267" s="174" t="s">
        <v>96</v>
      </c>
      <c r="P267" s="174" t="s">
        <v>96</v>
      </c>
      <c r="Q267" s="174" t="s">
        <v>77</v>
      </c>
      <c r="R267" s="174" t="str">
        <f t="shared" si="169"/>
        <v>中等Medium</v>
      </c>
      <c r="S267" s="175" t="s">
        <v>96</v>
      </c>
      <c r="T267" s="175" t="s">
        <v>542</v>
      </c>
      <c r="U267" s="175" t="s">
        <v>176</v>
      </c>
      <c r="V267" s="171" t="s">
        <v>901</v>
      </c>
      <c r="W267" s="171" t="s">
        <v>82</v>
      </c>
      <c r="X267" s="176">
        <f t="shared" si="170"/>
        <v>0</v>
      </c>
      <c r="Y267" s="171" t="s">
        <v>177</v>
      </c>
      <c r="Z267" s="176">
        <f t="shared" si="171"/>
        <v>3</v>
      </c>
      <c r="AA267" s="171" t="s">
        <v>153</v>
      </c>
      <c r="AB267" s="176">
        <f t="shared" si="172"/>
        <v>0</v>
      </c>
      <c r="AC267" s="171" t="s">
        <v>85</v>
      </c>
      <c r="AD267" s="176">
        <f t="shared" si="173"/>
        <v>4</v>
      </c>
      <c r="AE267" s="171" t="s">
        <v>86</v>
      </c>
      <c r="AF267" s="176" cm="1">
        <f t="array" ref="AF267">IF(OR(AE267="/",AE267=""),"/",IF(ISNUMBER(SEARCH("普通",AE267)),0,IF(ISNUMBER(SEARCH("专用",AE267)),4,IF(ISNUMBER(SEARCH("定制",AE267)),7,IF(ISNUMBER(SEARCH("多个定制",AE267)),9,””)))))</f>
        <v>4</v>
      </c>
      <c r="AG267" s="176">
        <f t="shared" si="174"/>
        <v>11</v>
      </c>
      <c r="AH267" s="176" t="str">
        <f t="shared" si="175"/>
        <v>高High</v>
      </c>
      <c r="AI267" s="176" t="s">
        <v>87</v>
      </c>
      <c r="AJ267" s="176" t="str">
        <f t="shared" si="176"/>
        <v>降低
Reucing</v>
      </c>
      <c r="AK267" s="171" t="s">
        <v>543</v>
      </c>
      <c r="AL267" s="177" t="s">
        <v>544</v>
      </c>
      <c r="AM267" s="180" t="s">
        <v>329</v>
      </c>
      <c r="AN267" s="178" t="s">
        <v>181</v>
      </c>
      <c r="AO267" s="178" t="s">
        <v>182</v>
      </c>
    </row>
    <row r="268" s="116" customFormat="1" ht="17" customHeight="1" spans="1:41">
      <c r="A268" s="171">
        <v>264</v>
      </c>
      <c r="B268" s="181"/>
      <c r="C268" s="181"/>
      <c r="D268" s="181"/>
      <c r="E268" s="171"/>
      <c r="F268" s="171"/>
      <c r="G268" s="171"/>
      <c r="H268" s="171"/>
      <c r="I268" s="171"/>
      <c r="J268" s="171" t="s">
        <v>183</v>
      </c>
      <c r="K268" s="173" t="s">
        <v>145</v>
      </c>
      <c r="L268" s="173" t="s">
        <v>145</v>
      </c>
      <c r="M268" s="173" t="s">
        <v>145</v>
      </c>
      <c r="N268" s="174" t="s">
        <v>145</v>
      </c>
      <c r="O268" s="174" t="s">
        <v>145</v>
      </c>
      <c r="P268" s="174" t="s">
        <v>145</v>
      </c>
      <c r="Q268" s="174" t="s">
        <v>145</v>
      </c>
      <c r="R268" s="174" t="s">
        <v>145</v>
      </c>
      <c r="S268" s="175" t="s">
        <v>145</v>
      </c>
      <c r="T268" s="175" t="s">
        <v>145</v>
      </c>
      <c r="U268" s="175" t="s">
        <v>145</v>
      </c>
      <c r="V268" s="171" t="s">
        <v>145</v>
      </c>
      <c r="W268" s="171" t="s">
        <v>145</v>
      </c>
      <c r="X268" s="176" t="s">
        <v>145</v>
      </c>
      <c r="Y268" s="171" t="s">
        <v>145</v>
      </c>
      <c r="Z268" s="176" t="s">
        <v>145</v>
      </c>
      <c r="AA268" s="171" t="s">
        <v>145</v>
      </c>
      <c r="AB268" s="176" t="s">
        <v>145</v>
      </c>
      <c r="AC268" s="171" t="s">
        <v>145</v>
      </c>
      <c r="AD268" s="176" t="s">
        <v>145</v>
      </c>
      <c r="AE268" s="171" t="s">
        <v>145</v>
      </c>
      <c r="AF268" s="176" t="str" cm="1">
        <f t="array" ref="AF268">IF(OR(AE268="/",AE268=""),"/",IF(ISNUMBER(SEARCH("普通",AE268)),0,IF(ISNUMBER(SEARCH("专用",AE268)),4,IF(ISNUMBER(SEARCH("定制",AE268)),7,IF(ISNUMBER(SEARCH("多个定制",AE268)),9,””)))))</f>
        <v>/</v>
      </c>
      <c r="AG268" s="176" t="s">
        <v>145</v>
      </c>
      <c r="AH268" s="176" t="s">
        <v>145</v>
      </c>
      <c r="AI268" s="176" t="s">
        <v>145</v>
      </c>
      <c r="AJ268" s="176" t="str">
        <f t="shared" si="176"/>
        <v>/</v>
      </c>
      <c r="AK268" s="171" t="s">
        <v>145</v>
      </c>
      <c r="AL268" s="177" t="s">
        <v>145</v>
      </c>
      <c r="AM268" s="177" t="s">
        <v>145</v>
      </c>
      <c r="AN268" s="177" t="s">
        <v>145</v>
      </c>
      <c r="AO268" s="177" t="s">
        <v>145</v>
      </c>
    </row>
    <row r="269" s="116" customFormat="1" ht="17" customHeight="1" spans="1:41">
      <c r="A269" s="171">
        <v>265</v>
      </c>
      <c r="B269" s="172" t="s">
        <v>912</v>
      </c>
      <c r="C269" s="171" t="s">
        <v>71</v>
      </c>
      <c r="D269" s="173" t="s">
        <v>913</v>
      </c>
      <c r="E269" s="171" t="s">
        <v>73</v>
      </c>
      <c r="F269" s="171"/>
      <c r="G269" s="171"/>
      <c r="H269" s="171"/>
      <c r="I269" s="171"/>
      <c r="J269" s="171"/>
      <c r="K269" s="173" t="s">
        <v>509</v>
      </c>
      <c r="L269" s="173" t="s">
        <v>914</v>
      </c>
      <c r="M269" s="173" t="s">
        <v>76</v>
      </c>
      <c r="N269" s="174" t="s">
        <v>77</v>
      </c>
      <c r="O269" s="174" t="s">
        <v>77</v>
      </c>
      <c r="P269" s="174" t="s">
        <v>78</v>
      </c>
      <c r="Q269" s="174" t="s">
        <v>77</v>
      </c>
      <c r="R269" s="174" t="str">
        <f t="shared" ref="R269:R275" si="177">IF(OR(N269="严重Severe",O269="严重Severe",P269="严重Severe",Q269="严重Severe"),"严重Severe",IF(OR(N269="主要Major",O269="主要Major",P269="主要Major",Q269="主要Major"),"主要Major",IF(OR(N269="中等Medium",O269="中等Medium",P269="中等Medium",Q269="中等Medium"),"中等Medium",IF(OR(N269="可忽略不计Negligible",O269="可忽略不计Negligible",P269="可忽略不计Negligible",Q269="可忽略不计Negligible"),"可忽略不计Negligible","/"))))</f>
        <v>主要Major</v>
      </c>
      <c r="S269" s="175" t="s">
        <v>78</v>
      </c>
      <c r="T269" s="175" t="s">
        <v>511</v>
      </c>
      <c r="U269" s="175" t="s">
        <v>80</v>
      </c>
      <c r="V269" s="171" t="s">
        <v>915</v>
      </c>
      <c r="W269" s="171" t="s">
        <v>82</v>
      </c>
      <c r="X269" s="176">
        <f t="shared" ref="X269:X275" si="178">IF(OR(W269="/",W269=""),"/",IF(ISNUMBER(SEARCH("1天",W269)),0,IF(ISNUMBER(SEARCH("一周",W269)),1,IF(ISNUMBER(SEARCH("1个月",W269)),4,IF(ISNUMBER(SEARCH("超过",W269)),19,IF(ISNUMBER(SEARCH("6个月",W269)),17,""))))))</f>
        <v>0</v>
      </c>
      <c r="Y269" s="171" t="s">
        <v>83</v>
      </c>
      <c r="Z269" s="176">
        <f t="shared" ref="Z269:Z275" si="179">IF(OR(Y269="/",Y269=""),"/",IF(ISNUMBER(SEARCH("新手",Y269)),0,IF(ISNUMBER(SEARCH("熟练",Y269)),3,IF(ISNUMBER(SEARCH("多位",Y269)),17,IF(ISNUMBER(SEARCH("专家",Y269)),6,"")))))</f>
        <v>6</v>
      </c>
      <c r="AA269" s="171" t="s">
        <v>84</v>
      </c>
      <c r="AB269" s="176">
        <f t="shared" ref="AB269:AB275" si="180">IF(OR(AA269="/",AA269=""),"/",IF(ISNUMBER(SEARCH("公开",AA269)),0,IF(ISNUMBER(SEARCH("限制性信息",AA269)),3,IF(ISNUMBER(SEARCH("机密信息",AA269)),7,IF(ISNUMBER(SEARCH("严格保密",AA269)),11,"")))))</f>
        <v>3</v>
      </c>
      <c r="AC269" s="171" t="s">
        <v>85</v>
      </c>
      <c r="AD269" s="176">
        <f t="shared" ref="AD269:AD275" si="181">IF(OR(AC269="/",AC269=""),"/",IF(ISNUMBER(SEARCH("无限制",AC269)),0,IF(ISNUMBER(SEARCH("容易",AC269)),1,IF(ISNUMBER(SEARCH("一般",AC269)),4,IF(ISNUMBER(SEARCH("困难",AC269)),10,"")))))</f>
        <v>4</v>
      </c>
      <c r="AE269" s="171" t="s">
        <v>86</v>
      </c>
      <c r="AF269" s="176" cm="1">
        <f t="array" ref="AF269">IF(OR(AE269="/",AE269=""),"/",IF(ISNUMBER(SEARCH("普通",AE269)),0,IF(ISNUMBER(SEARCH("专用",AE269)),4,IF(ISNUMBER(SEARCH("定制",AE269)),7,IF(ISNUMBER(SEARCH("多个定制",AE269)),9,””)))))</f>
        <v>4</v>
      </c>
      <c r="AG269" s="176">
        <f t="shared" ref="AG269:AG275" si="182">IF(OR(X269="/",Z269="/",AB269="/",AD269="/",AF269="/"),"/",X269+Z269+AB269+AD269+AF269)</f>
        <v>17</v>
      </c>
      <c r="AH269" s="176" t="str">
        <f t="shared" ref="AH269:AH275" si="183">IF(AND(AG269&gt;=0,AG269&lt;14),"高High",IF(AND(AG269&gt;=14,AG269&lt;20),"中Medium",IF(AND(AG269&gt;=20,AG269&lt;25),"低Low",IF(AND(AG269&gt;=25,AG269&lt;57),"非常低Very low",""))))</f>
        <v>中Medium</v>
      </c>
      <c r="AI269" s="176" t="s">
        <v>87</v>
      </c>
      <c r="AJ269" s="176" t="str">
        <f t="shared" si="176"/>
        <v>降低
Reucing</v>
      </c>
      <c r="AK269" s="171" t="s">
        <v>513</v>
      </c>
      <c r="AL269" s="177" t="s">
        <v>514</v>
      </c>
      <c r="AM269" s="180" t="s">
        <v>90</v>
      </c>
      <c r="AN269" s="178" t="s">
        <v>91</v>
      </c>
      <c r="AO269" s="178" t="s">
        <v>92</v>
      </c>
    </row>
    <row r="270" s="116" customFormat="1" ht="17" customHeight="1" spans="1:41">
      <c r="A270" s="171">
        <v>266</v>
      </c>
      <c r="B270" s="179"/>
      <c r="C270" s="179"/>
      <c r="D270" s="179"/>
      <c r="E270" s="171" t="s">
        <v>73</v>
      </c>
      <c r="F270" s="171"/>
      <c r="G270" s="171"/>
      <c r="H270" s="171"/>
      <c r="I270" s="171"/>
      <c r="J270" s="171"/>
      <c r="K270" s="173" t="s">
        <v>515</v>
      </c>
      <c r="L270" s="173" t="s">
        <v>916</v>
      </c>
      <c r="M270" s="173" t="s">
        <v>106</v>
      </c>
      <c r="N270" s="174" t="s">
        <v>77</v>
      </c>
      <c r="O270" s="174" t="s">
        <v>77</v>
      </c>
      <c r="P270" s="174" t="s">
        <v>96</v>
      </c>
      <c r="Q270" s="174" t="s">
        <v>78</v>
      </c>
      <c r="R270" s="174" t="str">
        <f t="shared" si="177"/>
        <v>主要Major</v>
      </c>
      <c r="S270" s="175" t="s">
        <v>107</v>
      </c>
      <c r="T270" s="175" t="s">
        <v>517</v>
      </c>
      <c r="U270" s="175" t="s">
        <v>109</v>
      </c>
      <c r="V270" s="171" t="s">
        <v>917</v>
      </c>
      <c r="W270" s="171" t="s">
        <v>111</v>
      </c>
      <c r="X270" s="176">
        <f t="shared" si="178"/>
        <v>1</v>
      </c>
      <c r="Y270" s="171" t="s">
        <v>83</v>
      </c>
      <c r="Z270" s="176">
        <f t="shared" si="179"/>
        <v>6</v>
      </c>
      <c r="AA270" s="171" t="s">
        <v>84</v>
      </c>
      <c r="AB270" s="176">
        <f t="shared" si="180"/>
        <v>3</v>
      </c>
      <c r="AC270" s="171" t="s">
        <v>85</v>
      </c>
      <c r="AD270" s="176">
        <f t="shared" si="181"/>
        <v>4</v>
      </c>
      <c r="AE270" s="171" t="s">
        <v>143</v>
      </c>
      <c r="AF270" s="176" cm="1">
        <f t="array" ref="AF270">IF(OR(AE270="/",AE270=""),"/",IF(ISNUMBER(SEARCH("普通",AE270)),0,IF(ISNUMBER(SEARCH("专用",AE270)),4,IF(ISNUMBER(SEARCH("定制",AE270)),7,IF(ISNUMBER(SEARCH("多个定制",AE270)),9,””)))))</f>
        <v>7</v>
      </c>
      <c r="AG270" s="176">
        <f t="shared" si="182"/>
        <v>21</v>
      </c>
      <c r="AH270" s="176" t="str">
        <f t="shared" si="183"/>
        <v>低Low</v>
      </c>
      <c r="AI270" s="176" t="s">
        <v>112</v>
      </c>
      <c r="AJ270" s="176" t="str">
        <f t="shared" si="176"/>
        <v>消除
Avoiding</v>
      </c>
      <c r="AK270" s="171" t="s">
        <v>519</v>
      </c>
      <c r="AL270" s="177" t="s">
        <v>520</v>
      </c>
      <c r="AM270" s="180" t="s">
        <v>115</v>
      </c>
      <c r="AN270" s="178" t="s">
        <v>116</v>
      </c>
      <c r="AO270" s="178" t="s">
        <v>117</v>
      </c>
    </row>
    <row r="271" s="116" customFormat="1" ht="17" customHeight="1" spans="1:41">
      <c r="A271" s="171">
        <v>267</v>
      </c>
      <c r="B271" s="179"/>
      <c r="C271" s="179"/>
      <c r="D271" s="179"/>
      <c r="E271" s="171"/>
      <c r="F271" s="171" t="s">
        <v>73</v>
      </c>
      <c r="G271" s="171"/>
      <c r="H271" s="171"/>
      <c r="I271" s="171"/>
      <c r="J271" s="171"/>
      <c r="K271" s="173" t="s">
        <v>521</v>
      </c>
      <c r="L271" s="173" t="s">
        <v>918</v>
      </c>
      <c r="M271" s="173" t="s">
        <v>120</v>
      </c>
      <c r="N271" s="174" t="s">
        <v>77</v>
      </c>
      <c r="O271" s="174" t="s">
        <v>96</v>
      </c>
      <c r="P271" s="174" t="s">
        <v>78</v>
      </c>
      <c r="Q271" s="174" t="s">
        <v>77</v>
      </c>
      <c r="R271" s="174" t="str">
        <f t="shared" si="177"/>
        <v>主要Major</v>
      </c>
      <c r="S271" s="175" t="s">
        <v>78</v>
      </c>
      <c r="T271" s="175" t="s">
        <v>523</v>
      </c>
      <c r="U271" s="175" t="s">
        <v>919</v>
      </c>
      <c r="V271" s="171" t="s">
        <v>915</v>
      </c>
      <c r="W271" s="171" t="s">
        <v>82</v>
      </c>
      <c r="X271" s="176">
        <f t="shared" si="178"/>
        <v>0</v>
      </c>
      <c r="Y271" s="171" t="s">
        <v>83</v>
      </c>
      <c r="Z271" s="176">
        <f t="shared" si="179"/>
        <v>6</v>
      </c>
      <c r="AA271" s="171" t="s">
        <v>84</v>
      </c>
      <c r="AB271" s="176">
        <f t="shared" si="180"/>
        <v>3</v>
      </c>
      <c r="AC271" s="171" t="s">
        <v>85</v>
      </c>
      <c r="AD271" s="176">
        <f t="shared" si="181"/>
        <v>4</v>
      </c>
      <c r="AE271" s="171" t="s">
        <v>86</v>
      </c>
      <c r="AF271" s="176" cm="1">
        <f t="array" ref="AF271">IF(OR(AE271="/",AE271=""),"/",IF(ISNUMBER(SEARCH("普通",AE271)),0,IF(ISNUMBER(SEARCH("专用",AE271)),4,IF(ISNUMBER(SEARCH("定制",AE271)),7,IF(ISNUMBER(SEARCH("多个定制",AE271)),9,””)))))</f>
        <v>4</v>
      </c>
      <c r="AG271" s="176">
        <f t="shared" si="182"/>
        <v>17</v>
      </c>
      <c r="AH271" s="176" t="str">
        <f t="shared" si="183"/>
        <v>中Medium</v>
      </c>
      <c r="AI271" s="176" t="s">
        <v>87</v>
      </c>
      <c r="AJ271" s="176" t="str">
        <f t="shared" si="176"/>
        <v>降低
Reucing</v>
      </c>
      <c r="AK271" s="171" t="s">
        <v>525</v>
      </c>
      <c r="AL271" s="177" t="s">
        <v>526</v>
      </c>
      <c r="AM271" s="180" t="s">
        <v>125</v>
      </c>
      <c r="AN271" s="178" t="s">
        <v>126</v>
      </c>
      <c r="AO271" s="178" t="s">
        <v>127</v>
      </c>
    </row>
    <row r="272" s="116" customFormat="1" ht="17" customHeight="1" spans="1:41">
      <c r="A272" s="171">
        <v>268</v>
      </c>
      <c r="B272" s="179"/>
      <c r="C272" s="179"/>
      <c r="D272" s="179"/>
      <c r="E272" s="171"/>
      <c r="F272" s="171" t="s">
        <v>73</v>
      </c>
      <c r="G272" s="171"/>
      <c r="H272" s="171"/>
      <c r="I272" s="171"/>
      <c r="J272" s="171"/>
      <c r="K272" s="173" t="s">
        <v>527</v>
      </c>
      <c r="L272" s="173" t="s">
        <v>920</v>
      </c>
      <c r="M272" s="173" t="s">
        <v>120</v>
      </c>
      <c r="N272" s="174" t="s">
        <v>96</v>
      </c>
      <c r="O272" s="174" t="s">
        <v>96</v>
      </c>
      <c r="P272" s="174" t="s">
        <v>78</v>
      </c>
      <c r="Q272" s="174" t="s">
        <v>77</v>
      </c>
      <c r="R272" s="174" t="str">
        <f t="shared" si="177"/>
        <v>主要Major</v>
      </c>
      <c r="S272" s="175" t="s">
        <v>78</v>
      </c>
      <c r="T272" s="175" t="s">
        <v>529</v>
      </c>
      <c r="U272" s="175" t="s">
        <v>921</v>
      </c>
      <c r="V272" s="171" t="s">
        <v>915</v>
      </c>
      <c r="W272" s="171" t="s">
        <v>111</v>
      </c>
      <c r="X272" s="176">
        <f t="shared" si="178"/>
        <v>1</v>
      </c>
      <c r="Y272" s="171" t="s">
        <v>83</v>
      </c>
      <c r="Z272" s="176">
        <f t="shared" si="179"/>
        <v>6</v>
      </c>
      <c r="AA272" s="171" t="s">
        <v>84</v>
      </c>
      <c r="AB272" s="176">
        <f t="shared" si="180"/>
        <v>3</v>
      </c>
      <c r="AC272" s="171" t="s">
        <v>85</v>
      </c>
      <c r="AD272" s="176">
        <f t="shared" si="181"/>
        <v>4</v>
      </c>
      <c r="AE272" s="171" t="s">
        <v>86</v>
      </c>
      <c r="AF272" s="176" cm="1">
        <f t="array" ref="AF272">IF(OR(AE272="/",AE272=""),"/",IF(ISNUMBER(SEARCH("普通",AE272)),0,IF(ISNUMBER(SEARCH("专用",AE272)),4,IF(ISNUMBER(SEARCH("定制",AE272)),7,IF(ISNUMBER(SEARCH("多个定制",AE272)),9,””)))))</f>
        <v>4</v>
      </c>
      <c r="AG272" s="176">
        <f t="shared" si="182"/>
        <v>18</v>
      </c>
      <c r="AH272" s="176" t="str">
        <f t="shared" si="183"/>
        <v>中Medium</v>
      </c>
      <c r="AI272" s="176" t="s">
        <v>87</v>
      </c>
      <c r="AJ272" s="176" t="str">
        <f t="shared" si="176"/>
        <v>降低
Reucing</v>
      </c>
      <c r="AK272" s="171" t="s">
        <v>531</v>
      </c>
      <c r="AL272" s="177" t="s">
        <v>532</v>
      </c>
      <c r="AM272" s="180" t="s">
        <v>134</v>
      </c>
      <c r="AN272" s="178" t="s">
        <v>135</v>
      </c>
      <c r="AO272" s="178" t="s">
        <v>136</v>
      </c>
    </row>
    <row r="273" s="116" customFormat="1" ht="17" customHeight="1" spans="1:41">
      <c r="A273" s="171">
        <v>269</v>
      </c>
      <c r="B273" s="179"/>
      <c r="C273" s="179"/>
      <c r="D273" s="179"/>
      <c r="E273" s="171"/>
      <c r="F273" s="171"/>
      <c r="G273" s="171" t="s">
        <v>73</v>
      </c>
      <c r="H273" s="171"/>
      <c r="I273" s="171"/>
      <c r="J273" s="171"/>
      <c r="K273" s="173" t="s">
        <v>533</v>
      </c>
      <c r="L273" s="173" t="s">
        <v>922</v>
      </c>
      <c r="M273" s="173" t="s">
        <v>150</v>
      </c>
      <c r="N273" s="174" t="s">
        <v>96</v>
      </c>
      <c r="O273" s="174" t="s">
        <v>96</v>
      </c>
      <c r="P273" s="174" t="s">
        <v>96</v>
      </c>
      <c r="Q273" s="174" t="s">
        <v>77</v>
      </c>
      <c r="R273" s="174" t="str">
        <f t="shared" si="177"/>
        <v>中等Medium</v>
      </c>
      <c r="S273" s="175" t="s">
        <v>96</v>
      </c>
      <c r="T273" s="175" t="s">
        <v>535</v>
      </c>
      <c r="U273" s="175" t="s">
        <v>152</v>
      </c>
      <c r="V273" s="171" t="s">
        <v>915</v>
      </c>
      <c r="W273" s="171" t="s">
        <v>82</v>
      </c>
      <c r="X273" s="176">
        <f t="shared" si="178"/>
        <v>0</v>
      </c>
      <c r="Y273" s="171" t="s">
        <v>83</v>
      </c>
      <c r="Z273" s="176">
        <f t="shared" si="179"/>
        <v>6</v>
      </c>
      <c r="AA273" s="171" t="s">
        <v>153</v>
      </c>
      <c r="AB273" s="176">
        <f t="shared" si="180"/>
        <v>0</v>
      </c>
      <c r="AC273" s="171" t="s">
        <v>85</v>
      </c>
      <c r="AD273" s="176">
        <f t="shared" si="181"/>
        <v>4</v>
      </c>
      <c r="AE273" s="171" t="s">
        <v>143</v>
      </c>
      <c r="AF273" s="176" cm="1">
        <f t="array" ref="AF273">IF(OR(AE273="/",AE273=""),"/",IF(ISNUMBER(SEARCH("普通",AE273)),0,IF(ISNUMBER(SEARCH("专用",AE273)),4,IF(ISNUMBER(SEARCH("定制",AE273)),7,IF(ISNUMBER(SEARCH("多个定制",AE273)),9,””)))))</f>
        <v>7</v>
      </c>
      <c r="AG273" s="176">
        <f t="shared" si="182"/>
        <v>17</v>
      </c>
      <c r="AH273" s="176" t="str">
        <f t="shared" si="183"/>
        <v>中Medium</v>
      </c>
      <c r="AI273" s="176" t="s">
        <v>144</v>
      </c>
      <c r="AJ273" s="176" t="str">
        <f t="shared" si="176"/>
        <v>保留
Retaining</v>
      </c>
      <c r="AK273" s="171" t="s">
        <v>145</v>
      </c>
      <c r="AL273" s="177" t="s">
        <v>145</v>
      </c>
      <c r="AM273" s="171" t="s">
        <v>145</v>
      </c>
      <c r="AN273" s="178" t="s">
        <v>280</v>
      </c>
      <c r="AO273" s="178" t="s">
        <v>281</v>
      </c>
    </row>
    <row r="274" s="116" customFormat="1" ht="17" customHeight="1" spans="1:41">
      <c r="A274" s="171">
        <v>270</v>
      </c>
      <c r="B274" s="179"/>
      <c r="C274" s="179"/>
      <c r="D274" s="179"/>
      <c r="E274" s="171"/>
      <c r="F274" s="171"/>
      <c r="G274" s="171"/>
      <c r="H274" s="171" t="s">
        <v>73</v>
      </c>
      <c r="I274" s="171"/>
      <c r="J274" s="171"/>
      <c r="K274" s="173" t="s">
        <v>536</v>
      </c>
      <c r="L274" s="173" t="s">
        <v>923</v>
      </c>
      <c r="M274" s="173" t="s">
        <v>166</v>
      </c>
      <c r="N274" s="174" t="s">
        <v>96</v>
      </c>
      <c r="O274" s="174" t="s">
        <v>96</v>
      </c>
      <c r="P274" s="174" t="s">
        <v>96</v>
      </c>
      <c r="Q274" s="174" t="s">
        <v>77</v>
      </c>
      <c r="R274" s="174" t="str">
        <f t="shared" si="177"/>
        <v>中等Medium</v>
      </c>
      <c r="S274" s="171" t="s">
        <v>96</v>
      </c>
      <c r="T274" s="175" t="s">
        <v>538</v>
      </c>
      <c r="U274" s="175" t="s">
        <v>924</v>
      </c>
      <c r="V274" s="171" t="s">
        <v>915</v>
      </c>
      <c r="W274" s="171" t="s">
        <v>82</v>
      </c>
      <c r="X274" s="176">
        <f t="shared" si="178"/>
        <v>0</v>
      </c>
      <c r="Y274" s="171" t="s">
        <v>83</v>
      </c>
      <c r="Z274" s="176">
        <f t="shared" si="179"/>
        <v>6</v>
      </c>
      <c r="AA274" s="171" t="s">
        <v>84</v>
      </c>
      <c r="AB274" s="176">
        <f t="shared" si="180"/>
        <v>3</v>
      </c>
      <c r="AC274" s="171" t="s">
        <v>85</v>
      </c>
      <c r="AD274" s="176">
        <f t="shared" si="181"/>
        <v>4</v>
      </c>
      <c r="AE274" s="171" t="s">
        <v>86</v>
      </c>
      <c r="AF274" s="176" cm="1">
        <f t="array" ref="AF274">IF(OR(AE274="/",AE274=""),"/",IF(ISNUMBER(SEARCH("普通",AE274)),0,IF(ISNUMBER(SEARCH("专用",AE274)),4,IF(ISNUMBER(SEARCH("定制",AE274)),7,IF(ISNUMBER(SEARCH("多个定制",AE274)),9,””)))))</f>
        <v>4</v>
      </c>
      <c r="AG274" s="176">
        <f t="shared" si="182"/>
        <v>17</v>
      </c>
      <c r="AH274" s="176" t="str">
        <f t="shared" si="183"/>
        <v>中Medium</v>
      </c>
      <c r="AI274" s="176" t="s">
        <v>144</v>
      </c>
      <c r="AJ274" s="176" t="str">
        <f t="shared" si="176"/>
        <v>保留
Retaining</v>
      </c>
      <c r="AK274" s="171" t="s">
        <v>145</v>
      </c>
      <c r="AL274" s="177" t="s">
        <v>145</v>
      </c>
      <c r="AM274" s="180" t="s">
        <v>316</v>
      </c>
      <c r="AN274" s="178" t="s">
        <v>317</v>
      </c>
      <c r="AO274" s="178" t="s">
        <v>318</v>
      </c>
    </row>
    <row r="275" s="116" customFormat="1" ht="17" customHeight="1" spans="1:41">
      <c r="A275" s="171">
        <v>271</v>
      </c>
      <c r="B275" s="179"/>
      <c r="C275" s="179"/>
      <c r="D275" s="179"/>
      <c r="E275" s="171"/>
      <c r="F275" s="171"/>
      <c r="G275" s="171"/>
      <c r="H275" s="171"/>
      <c r="I275" s="171" t="s">
        <v>73</v>
      </c>
      <c r="J275" s="171"/>
      <c r="K275" s="173" t="s">
        <v>540</v>
      </c>
      <c r="L275" s="173" t="s">
        <v>925</v>
      </c>
      <c r="M275" s="173" t="s">
        <v>174</v>
      </c>
      <c r="N275" s="174" t="s">
        <v>96</v>
      </c>
      <c r="O275" s="174" t="s">
        <v>96</v>
      </c>
      <c r="P275" s="174" t="s">
        <v>96</v>
      </c>
      <c r="Q275" s="174" t="s">
        <v>77</v>
      </c>
      <c r="R275" s="174" t="str">
        <f t="shared" si="177"/>
        <v>中等Medium</v>
      </c>
      <c r="S275" s="175" t="s">
        <v>96</v>
      </c>
      <c r="T275" s="175" t="s">
        <v>542</v>
      </c>
      <c r="U275" s="175" t="s">
        <v>176</v>
      </c>
      <c r="V275" s="171" t="s">
        <v>915</v>
      </c>
      <c r="W275" s="171" t="s">
        <v>82</v>
      </c>
      <c r="X275" s="176">
        <f t="shared" si="178"/>
        <v>0</v>
      </c>
      <c r="Y275" s="171" t="s">
        <v>177</v>
      </c>
      <c r="Z275" s="176">
        <f t="shared" si="179"/>
        <v>3</v>
      </c>
      <c r="AA275" s="171" t="s">
        <v>153</v>
      </c>
      <c r="AB275" s="176">
        <f t="shared" si="180"/>
        <v>0</v>
      </c>
      <c r="AC275" s="171" t="s">
        <v>85</v>
      </c>
      <c r="AD275" s="176">
        <f t="shared" si="181"/>
        <v>4</v>
      </c>
      <c r="AE275" s="171" t="s">
        <v>86</v>
      </c>
      <c r="AF275" s="176" cm="1">
        <f t="array" ref="AF275">IF(OR(AE275="/",AE275=""),"/",IF(ISNUMBER(SEARCH("普通",AE275)),0,IF(ISNUMBER(SEARCH("专用",AE275)),4,IF(ISNUMBER(SEARCH("定制",AE275)),7,IF(ISNUMBER(SEARCH("多个定制",AE275)),9,””)))))</f>
        <v>4</v>
      </c>
      <c r="AG275" s="176">
        <f t="shared" si="182"/>
        <v>11</v>
      </c>
      <c r="AH275" s="176" t="str">
        <f t="shared" si="183"/>
        <v>高High</v>
      </c>
      <c r="AI275" s="176" t="s">
        <v>87</v>
      </c>
      <c r="AJ275" s="176" t="str">
        <f t="shared" si="176"/>
        <v>降低
Reucing</v>
      </c>
      <c r="AK275" s="171" t="s">
        <v>543</v>
      </c>
      <c r="AL275" s="177" t="s">
        <v>544</v>
      </c>
      <c r="AM275" s="180" t="s">
        <v>329</v>
      </c>
      <c r="AN275" s="178" t="s">
        <v>181</v>
      </c>
      <c r="AO275" s="178" t="s">
        <v>182</v>
      </c>
    </row>
    <row r="276" s="116" customFormat="1" ht="17" customHeight="1" spans="1:41">
      <c r="A276" s="171">
        <v>272</v>
      </c>
      <c r="B276" s="181"/>
      <c r="C276" s="181"/>
      <c r="D276" s="181"/>
      <c r="E276" s="171"/>
      <c r="F276" s="171"/>
      <c r="G276" s="171"/>
      <c r="H276" s="171"/>
      <c r="I276" s="171"/>
      <c r="J276" s="171" t="s">
        <v>183</v>
      </c>
      <c r="K276" s="173" t="s">
        <v>145</v>
      </c>
      <c r="L276" s="173" t="s">
        <v>145</v>
      </c>
      <c r="M276" s="173" t="s">
        <v>145</v>
      </c>
      <c r="N276" s="174" t="s">
        <v>145</v>
      </c>
      <c r="O276" s="174" t="s">
        <v>145</v>
      </c>
      <c r="P276" s="174" t="s">
        <v>145</v>
      </c>
      <c r="Q276" s="174" t="s">
        <v>145</v>
      </c>
      <c r="R276" s="174" t="s">
        <v>145</v>
      </c>
      <c r="S276" s="175" t="s">
        <v>145</v>
      </c>
      <c r="T276" s="175" t="s">
        <v>145</v>
      </c>
      <c r="U276" s="175" t="s">
        <v>145</v>
      </c>
      <c r="V276" s="171" t="s">
        <v>145</v>
      </c>
      <c r="W276" s="171" t="s">
        <v>145</v>
      </c>
      <c r="X276" s="176" t="s">
        <v>145</v>
      </c>
      <c r="Y276" s="171" t="s">
        <v>145</v>
      </c>
      <c r="Z276" s="176" t="s">
        <v>145</v>
      </c>
      <c r="AA276" s="171" t="s">
        <v>145</v>
      </c>
      <c r="AB276" s="176" t="s">
        <v>145</v>
      </c>
      <c r="AC276" s="171" t="s">
        <v>145</v>
      </c>
      <c r="AD276" s="176" t="s">
        <v>145</v>
      </c>
      <c r="AE276" s="171" t="s">
        <v>145</v>
      </c>
      <c r="AF276" s="176" t="str" cm="1">
        <f t="array" ref="AF276">IF(OR(AE276="/",AE276=""),"/",IF(ISNUMBER(SEARCH("普通",AE276)),0,IF(ISNUMBER(SEARCH("专用",AE276)),4,IF(ISNUMBER(SEARCH("定制",AE276)),7,IF(ISNUMBER(SEARCH("多个定制",AE276)),9,””)))))</f>
        <v>/</v>
      </c>
      <c r="AG276" s="176" t="s">
        <v>145</v>
      </c>
      <c r="AH276" s="176" t="s">
        <v>145</v>
      </c>
      <c r="AI276" s="176" t="s">
        <v>145</v>
      </c>
      <c r="AJ276" s="176" t="str">
        <f t="shared" si="176"/>
        <v>/</v>
      </c>
      <c r="AK276" s="171" t="s">
        <v>145</v>
      </c>
      <c r="AL276" s="177" t="s">
        <v>145</v>
      </c>
      <c r="AM276" s="177" t="s">
        <v>145</v>
      </c>
      <c r="AN276" s="177" t="s">
        <v>145</v>
      </c>
      <c r="AO276" s="177" t="s">
        <v>145</v>
      </c>
    </row>
    <row r="277" s="116" customFormat="1" ht="17" customHeight="1" spans="1:41">
      <c r="A277" s="171">
        <v>273</v>
      </c>
      <c r="B277" s="172" t="s">
        <v>926</v>
      </c>
      <c r="C277" s="171" t="s">
        <v>71</v>
      </c>
      <c r="D277" s="173" t="s">
        <v>927</v>
      </c>
      <c r="E277" s="171" t="s">
        <v>73</v>
      </c>
      <c r="F277" s="171"/>
      <c r="G277" s="171"/>
      <c r="H277" s="171"/>
      <c r="I277" s="171"/>
      <c r="J277" s="171"/>
      <c r="K277" s="173" t="s">
        <v>509</v>
      </c>
      <c r="L277" s="173" t="s">
        <v>928</v>
      </c>
      <c r="M277" s="173" t="s">
        <v>76</v>
      </c>
      <c r="N277" s="174" t="s">
        <v>77</v>
      </c>
      <c r="O277" s="174" t="s">
        <v>77</v>
      </c>
      <c r="P277" s="174" t="s">
        <v>78</v>
      </c>
      <c r="Q277" s="174" t="s">
        <v>77</v>
      </c>
      <c r="R277" s="174" t="str">
        <f t="shared" ref="R277:R283" si="184">IF(OR(N277="严重Severe",O277="严重Severe",P277="严重Severe",Q277="严重Severe"),"严重Severe",IF(OR(N277="主要Major",O277="主要Major",P277="主要Major",Q277="主要Major"),"主要Major",IF(OR(N277="中等Medium",O277="中等Medium",P277="中等Medium",Q277="中等Medium"),"中等Medium",IF(OR(N277="可忽略不计Negligible",O277="可忽略不计Negligible",P277="可忽略不计Negligible",Q277="可忽略不计Negligible"),"可忽略不计Negligible","/"))))</f>
        <v>主要Major</v>
      </c>
      <c r="S277" s="175" t="s">
        <v>78</v>
      </c>
      <c r="T277" s="175" t="s">
        <v>511</v>
      </c>
      <c r="U277" s="175" t="s">
        <v>80</v>
      </c>
      <c r="V277" s="171" t="s">
        <v>929</v>
      </c>
      <c r="W277" s="171" t="s">
        <v>82</v>
      </c>
      <c r="X277" s="176">
        <f t="shared" ref="X277:X283" si="185">IF(OR(W277="/",W277=""),"/",IF(ISNUMBER(SEARCH("1天",W277)),0,IF(ISNUMBER(SEARCH("一周",W277)),1,IF(ISNUMBER(SEARCH("1个月",W277)),4,IF(ISNUMBER(SEARCH("超过",W277)),19,IF(ISNUMBER(SEARCH("6个月",W277)),17,""))))))</f>
        <v>0</v>
      </c>
      <c r="Y277" s="171" t="s">
        <v>83</v>
      </c>
      <c r="Z277" s="176">
        <f t="shared" ref="Z277:Z283" si="186">IF(OR(Y277="/",Y277=""),"/",IF(ISNUMBER(SEARCH("新手",Y277)),0,IF(ISNUMBER(SEARCH("熟练",Y277)),3,IF(ISNUMBER(SEARCH("多位",Y277)),17,IF(ISNUMBER(SEARCH("专家",Y277)),6,"")))))</f>
        <v>6</v>
      </c>
      <c r="AA277" s="171" t="s">
        <v>84</v>
      </c>
      <c r="AB277" s="176">
        <f t="shared" ref="AB277:AB283" si="187">IF(OR(AA277="/",AA277=""),"/",IF(ISNUMBER(SEARCH("公开",AA277)),0,IF(ISNUMBER(SEARCH("限制性信息",AA277)),3,IF(ISNUMBER(SEARCH("机密信息",AA277)),7,IF(ISNUMBER(SEARCH("严格保密",AA277)),11,"")))))</f>
        <v>3</v>
      </c>
      <c r="AC277" s="171" t="s">
        <v>85</v>
      </c>
      <c r="AD277" s="176">
        <f t="shared" ref="AD277:AD283" si="188">IF(OR(AC277="/",AC277=""),"/",IF(ISNUMBER(SEARCH("无限制",AC277)),0,IF(ISNUMBER(SEARCH("容易",AC277)),1,IF(ISNUMBER(SEARCH("一般",AC277)),4,IF(ISNUMBER(SEARCH("困难",AC277)),10,"")))))</f>
        <v>4</v>
      </c>
      <c r="AE277" s="171" t="s">
        <v>86</v>
      </c>
      <c r="AF277" s="176" cm="1">
        <f t="array" ref="AF277">IF(OR(AE277="/",AE277=""),"/",IF(ISNUMBER(SEARCH("普通",AE277)),0,IF(ISNUMBER(SEARCH("专用",AE277)),4,IF(ISNUMBER(SEARCH("定制",AE277)),7,IF(ISNUMBER(SEARCH("多个定制",AE277)),9,””)))))</f>
        <v>4</v>
      </c>
      <c r="AG277" s="176">
        <f t="shared" ref="AG277:AG283" si="189">IF(OR(X277="/",Z277="/",AB277="/",AD277="/",AF277="/"),"/",X277+Z277+AB277+AD277+AF277)</f>
        <v>17</v>
      </c>
      <c r="AH277" s="176" t="str">
        <f t="shared" ref="AH277:AH283" si="190">IF(AND(AG277&gt;=0,AG277&lt;14),"高High",IF(AND(AG277&gt;=14,AG277&lt;20),"中Medium",IF(AND(AG277&gt;=20,AG277&lt;25),"低Low",IF(AND(AG277&gt;=25,AG277&lt;57),"非常低Very low",""))))</f>
        <v>中Medium</v>
      </c>
      <c r="AI277" s="176" t="s">
        <v>144</v>
      </c>
      <c r="AJ277" s="176" t="str">
        <f t="shared" si="176"/>
        <v>保留
Retaining</v>
      </c>
      <c r="AK277" s="171" t="s">
        <v>145</v>
      </c>
      <c r="AL277" s="177" t="s">
        <v>145</v>
      </c>
      <c r="AM277" s="180" t="s">
        <v>90</v>
      </c>
      <c r="AN277" s="178" t="s">
        <v>91</v>
      </c>
      <c r="AO277" s="178" t="s">
        <v>92</v>
      </c>
    </row>
    <row r="278" s="116" customFormat="1" ht="17" customHeight="1" spans="1:41">
      <c r="A278" s="171">
        <v>274</v>
      </c>
      <c r="B278" s="179"/>
      <c r="C278" s="179"/>
      <c r="D278" s="179"/>
      <c r="E278" s="171" t="s">
        <v>73</v>
      </c>
      <c r="F278" s="171"/>
      <c r="G278" s="171"/>
      <c r="H278" s="171"/>
      <c r="I278" s="171"/>
      <c r="J278" s="171"/>
      <c r="K278" s="173" t="s">
        <v>515</v>
      </c>
      <c r="L278" s="173" t="s">
        <v>930</v>
      </c>
      <c r="M278" s="173" t="s">
        <v>106</v>
      </c>
      <c r="N278" s="174" t="s">
        <v>77</v>
      </c>
      <c r="O278" s="174" t="s">
        <v>77</v>
      </c>
      <c r="P278" s="174" t="s">
        <v>96</v>
      </c>
      <c r="Q278" s="174" t="s">
        <v>78</v>
      </c>
      <c r="R278" s="174" t="str">
        <f t="shared" si="184"/>
        <v>主要Major</v>
      </c>
      <c r="S278" s="175" t="s">
        <v>107</v>
      </c>
      <c r="T278" s="175" t="s">
        <v>517</v>
      </c>
      <c r="U278" s="175" t="s">
        <v>109</v>
      </c>
      <c r="V278" s="171" t="s">
        <v>931</v>
      </c>
      <c r="W278" s="171" t="s">
        <v>111</v>
      </c>
      <c r="X278" s="176">
        <f t="shared" si="185"/>
        <v>1</v>
      </c>
      <c r="Y278" s="171" t="s">
        <v>83</v>
      </c>
      <c r="Z278" s="176">
        <f t="shared" si="186"/>
        <v>6</v>
      </c>
      <c r="AA278" s="171" t="s">
        <v>84</v>
      </c>
      <c r="AB278" s="176">
        <f t="shared" si="187"/>
        <v>3</v>
      </c>
      <c r="AC278" s="171" t="s">
        <v>85</v>
      </c>
      <c r="AD278" s="176">
        <f t="shared" si="188"/>
        <v>4</v>
      </c>
      <c r="AE278" s="171" t="s">
        <v>143</v>
      </c>
      <c r="AF278" s="176" cm="1">
        <f t="array" ref="AF278">IF(OR(AE278="/",AE278=""),"/",IF(ISNUMBER(SEARCH("普通",AE278)),0,IF(ISNUMBER(SEARCH("专用",AE278)),4,IF(ISNUMBER(SEARCH("定制",AE278)),7,IF(ISNUMBER(SEARCH("多个定制",AE278)),9,””)))))</f>
        <v>7</v>
      </c>
      <c r="AG278" s="176">
        <f t="shared" si="189"/>
        <v>21</v>
      </c>
      <c r="AH278" s="176" t="str">
        <f t="shared" si="190"/>
        <v>低Low</v>
      </c>
      <c r="AI278" s="176" t="s">
        <v>144</v>
      </c>
      <c r="AJ278" s="176" t="str">
        <f t="shared" si="176"/>
        <v>保留
Retaining</v>
      </c>
      <c r="AK278" s="171" t="s">
        <v>145</v>
      </c>
      <c r="AL278" s="177" t="s">
        <v>145</v>
      </c>
      <c r="AM278" s="180" t="s">
        <v>115</v>
      </c>
      <c r="AN278" s="178" t="s">
        <v>116</v>
      </c>
      <c r="AO278" s="178" t="s">
        <v>117</v>
      </c>
    </row>
    <row r="279" s="116" customFormat="1" ht="17" customHeight="1" spans="1:41">
      <c r="A279" s="171">
        <v>275</v>
      </c>
      <c r="B279" s="179"/>
      <c r="C279" s="179"/>
      <c r="D279" s="179"/>
      <c r="E279" s="171"/>
      <c r="F279" s="171" t="s">
        <v>73</v>
      </c>
      <c r="G279" s="171"/>
      <c r="H279" s="171"/>
      <c r="I279" s="171"/>
      <c r="J279" s="171"/>
      <c r="K279" s="173" t="s">
        <v>521</v>
      </c>
      <c r="L279" s="173" t="s">
        <v>932</v>
      </c>
      <c r="M279" s="173" t="s">
        <v>120</v>
      </c>
      <c r="N279" s="174" t="s">
        <v>77</v>
      </c>
      <c r="O279" s="174" t="s">
        <v>96</v>
      </c>
      <c r="P279" s="174" t="s">
        <v>78</v>
      </c>
      <c r="Q279" s="174" t="s">
        <v>77</v>
      </c>
      <c r="R279" s="174" t="str">
        <f t="shared" si="184"/>
        <v>主要Major</v>
      </c>
      <c r="S279" s="175" t="s">
        <v>78</v>
      </c>
      <c r="T279" s="175" t="s">
        <v>523</v>
      </c>
      <c r="U279" s="175" t="s">
        <v>933</v>
      </c>
      <c r="V279" s="171" t="s">
        <v>929</v>
      </c>
      <c r="W279" s="171" t="s">
        <v>82</v>
      </c>
      <c r="X279" s="176">
        <f t="shared" si="185"/>
        <v>0</v>
      </c>
      <c r="Y279" s="171" t="s">
        <v>83</v>
      </c>
      <c r="Z279" s="176">
        <f t="shared" si="186"/>
        <v>6</v>
      </c>
      <c r="AA279" s="171" t="s">
        <v>84</v>
      </c>
      <c r="AB279" s="176">
        <f t="shared" si="187"/>
        <v>3</v>
      </c>
      <c r="AC279" s="171" t="s">
        <v>85</v>
      </c>
      <c r="AD279" s="176">
        <f t="shared" si="188"/>
        <v>4</v>
      </c>
      <c r="AE279" s="171" t="s">
        <v>86</v>
      </c>
      <c r="AF279" s="176" cm="1">
        <f t="array" ref="AF279">IF(OR(AE279="/",AE279=""),"/",IF(ISNUMBER(SEARCH("普通",AE279)),0,IF(ISNUMBER(SEARCH("专用",AE279)),4,IF(ISNUMBER(SEARCH("定制",AE279)),7,IF(ISNUMBER(SEARCH("多个定制",AE279)),9,””)))))</f>
        <v>4</v>
      </c>
      <c r="AG279" s="176">
        <f t="shared" si="189"/>
        <v>17</v>
      </c>
      <c r="AH279" s="176" t="str">
        <f t="shared" si="190"/>
        <v>中Medium</v>
      </c>
      <c r="AI279" s="176" t="s">
        <v>934</v>
      </c>
      <c r="AJ279" s="176" t="str">
        <f t="shared" si="176"/>
        <v>保留
Retaining</v>
      </c>
      <c r="AK279" s="171" t="s">
        <v>145</v>
      </c>
      <c r="AL279" s="177" t="s">
        <v>145</v>
      </c>
      <c r="AM279" s="180" t="s">
        <v>125</v>
      </c>
      <c r="AN279" s="178" t="s">
        <v>126</v>
      </c>
      <c r="AO279" s="178" t="s">
        <v>127</v>
      </c>
    </row>
    <row r="280" s="116" customFormat="1" ht="17" customHeight="1" spans="1:41">
      <c r="A280" s="171">
        <v>276</v>
      </c>
      <c r="B280" s="179"/>
      <c r="C280" s="179"/>
      <c r="D280" s="179"/>
      <c r="E280" s="171"/>
      <c r="F280" s="171" t="s">
        <v>73</v>
      </c>
      <c r="G280" s="171"/>
      <c r="H280" s="171"/>
      <c r="I280" s="171"/>
      <c r="J280" s="171"/>
      <c r="K280" s="173" t="s">
        <v>527</v>
      </c>
      <c r="L280" s="173" t="s">
        <v>935</v>
      </c>
      <c r="M280" s="173" t="s">
        <v>120</v>
      </c>
      <c r="N280" s="174" t="s">
        <v>96</v>
      </c>
      <c r="O280" s="174" t="s">
        <v>96</v>
      </c>
      <c r="P280" s="174" t="s">
        <v>78</v>
      </c>
      <c r="Q280" s="174" t="s">
        <v>77</v>
      </c>
      <c r="R280" s="174" t="str">
        <f t="shared" si="184"/>
        <v>主要Major</v>
      </c>
      <c r="S280" s="175" t="s">
        <v>78</v>
      </c>
      <c r="T280" s="175" t="s">
        <v>529</v>
      </c>
      <c r="U280" s="175" t="s">
        <v>936</v>
      </c>
      <c r="V280" s="171" t="s">
        <v>929</v>
      </c>
      <c r="W280" s="171" t="s">
        <v>111</v>
      </c>
      <c r="X280" s="176">
        <f t="shared" si="185"/>
        <v>1</v>
      </c>
      <c r="Y280" s="171" t="s">
        <v>83</v>
      </c>
      <c r="Z280" s="176">
        <f t="shared" si="186"/>
        <v>6</v>
      </c>
      <c r="AA280" s="171" t="s">
        <v>84</v>
      </c>
      <c r="AB280" s="176">
        <f t="shared" si="187"/>
        <v>3</v>
      </c>
      <c r="AC280" s="171" t="s">
        <v>85</v>
      </c>
      <c r="AD280" s="176">
        <f t="shared" si="188"/>
        <v>4</v>
      </c>
      <c r="AE280" s="171" t="s">
        <v>86</v>
      </c>
      <c r="AF280" s="176" cm="1">
        <f t="array" ref="AF280">IF(OR(AE280="/",AE280=""),"/",IF(ISNUMBER(SEARCH("普通",AE280)),0,IF(ISNUMBER(SEARCH("专用",AE280)),4,IF(ISNUMBER(SEARCH("定制",AE280)),7,IF(ISNUMBER(SEARCH("多个定制",AE280)),9,””)))))</f>
        <v>4</v>
      </c>
      <c r="AG280" s="176">
        <f t="shared" si="189"/>
        <v>18</v>
      </c>
      <c r="AH280" s="176" t="str">
        <f t="shared" si="190"/>
        <v>中Medium</v>
      </c>
      <c r="AI280" s="176" t="s">
        <v>144</v>
      </c>
      <c r="AJ280" s="176" t="str">
        <f t="shared" si="176"/>
        <v>保留
Retaining</v>
      </c>
      <c r="AK280" s="171" t="s">
        <v>145</v>
      </c>
      <c r="AL280" s="177" t="s">
        <v>145</v>
      </c>
      <c r="AM280" s="180" t="s">
        <v>134</v>
      </c>
      <c r="AN280" s="178" t="s">
        <v>135</v>
      </c>
      <c r="AO280" s="178" t="s">
        <v>136</v>
      </c>
    </row>
    <row r="281" s="116" customFormat="1" ht="17" customHeight="1" spans="1:41">
      <c r="A281" s="171">
        <v>277</v>
      </c>
      <c r="B281" s="179"/>
      <c r="C281" s="179"/>
      <c r="D281" s="179"/>
      <c r="E281" s="171"/>
      <c r="F281" s="171"/>
      <c r="G281" s="171" t="s">
        <v>73</v>
      </c>
      <c r="H281" s="171"/>
      <c r="I281" s="171"/>
      <c r="J281" s="171"/>
      <c r="K281" s="173" t="s">
        <v>533</v>
      </c>
      <c r="L281" s="173" t="s">
        <v>937</v>
      </c>
      <c r="M281" s="173" t="s">
        <v>150</v>
      </c>
      <c r="N281" s="174" t="s">
        <v>96</v>
      </c>
      <c r="O281" s="174" t="s">
        <v>96</v>
      </c>
      <c r="P281" s="174" t="s">
        <v>96</v>
      </c>
      <c r="Q281" s="174" t="s">
        <v>77</v>
      </c>
      <c r="R281" s="174" t="str">
        <f t="shared" si="184"/>
        <v>中等Medium</v>
      </c>
      <c r="S281" s="175" t="s">
        <v>96</v>
      </c>
      <c r="T281" s="175" t="s">
        <v>535</v>
      </c>
      <c r="U281" s="175" t="s">
        <v>152</v>
      </c>
      <c r="V281" s="171" t="s">
        <v>929</v>
      </c>
      <c r="W281" s="171" t="s">
        <v>82</v>
      </c>
      <c r="X281" s="176">
        <f t="shared" si="185"/>
        <v>0</v>
      </c>
      <c r="Y281" s="171" t="s">
        <v>83</v>
      </c>
      <c r="Z281" s="176">
        <f t="shared" si="186"/>
        <v>6</v>
      </c>
      <c r="AA281" s="171" t="s">
        <v>153</v>
      </c>
      <c r="AB281" s="176">
        <f t="shared" si="187"/>
        <v>0</v>
      </c>
      <c r="AC281" s="171" t="s">
        <v>85</v>
      </c>
      <c r="AD281" s="176">
        <f t="shared" si="188"/>
        <v>4</v>
      </c>
      <c r="AE281" s="171" t="s">
        <v>143</v>
      </c>
      <c r="AF281" s="176" cm="1">
        <f t="array" ref="AF281">IF(OR(AE281="/",AE281=""),"/",IF(ISNUMBER(SEARCH("普通",AE281)),0,IF(ISNUMBER(SEARCH("专用",AE281)),4,IF(ISNUMBER(SEARCH("定制",AE281)),7,IF(ISNUMBER(SEARCH("多个定制",AE281)),9,””)))))</f>
        <v>7</v>
      </c>
      <c r="AG281" s="176">
        <f t="shared" si="189"/>
        <v>17</v>
      </c>
      <c r="AH281" s="176" t="str">
        <f t="shared" si="190"/>
        <v>中Medium</v>
      </c>
      <c r="AI281" s="176" t="s">
        <v>144</v>
      </c>
      <c r="AJ281" s="176" t="str">
        <f t="shared" si="176"/>
        <v>保留
Retaining</v>
      </c>
      <c r="AK281" s="171" t="s">
        <v>145</v>
      </c>
      <c r="AL281" s="177" t="s">
        <v>145</v>
      </c>
      <c r="AM281" s="171" t="s">
        <v>145</v>
      </c>
      <c r="AN281" s="178" t="s">
        <v>280</v>
      </c>
      <c r="AO281" s="178" t="s">
        <v>281</v>
      </c>
    </row>
    <row r="282" s="116" customFormat="1" ht="17" customHeight="1" spans="1:41">
      <c r="A282" s="171">
        <v>278</v>
      </c>
      <c r="B282" s="179"/>
      <c r="C282" s="179"/>
      <c r="D282" s="179"/>
      <c r="E282" s="171"/>
      <c r="F282" s="171"/>
      <c r="G282" s="171"/>
      <c r="H282" s="171" t="s">
        <v>73</v>
      </c>
      <c r="I282" s="171"/>
      <c r="J282" s="171"/>
      <c r="K282" s="173" t="s">
        <v>536</v>
      </c>
      <c r="L282" s="173" t="s">
        <v>938</v>
      </c>
      <c r="M282" s="173" t="s">
        <v>166</v>
      </c>
      <c r="N282" s="174" t="s">
        <v>96</v>
      </c>
      <c r="O282" s="174" t="s">
        <v>96</v>
      </c>
      <c r="P282" s="174" t="s">
        <v>96</v>
      </c>
      <c r="Q282" s="174" t="s">
        <v>77</v>
      </c>
      <c r="R282" s="174" t="str">
        <f t="shared" si="184"/>
        <v>中等Medium</v>
      </c>
      <c r="S282" s="171" t="s">
        <v>96</v>
      </c>
      <c r="T282" s="175" t="s">
        <v>538</v>
      </c>
      <c r="U282" s="175" t="s">
        <v>939</v>
      </c>
      <c r="V282" s="171" t="s">
        <v>929</v>
      </c>
      <c r="W282" s="171" t="s">
        <v>82</v>
      </c>
      <c r="X282" s="176">
        <f t="shared" si="185"/>
        <v>0</v>
      </c>
      <c r="Y282" s="171" t="s">
        <v>83</v>
      </c>
      <c r="Z282" s="176">
        <f t="shared" si="186"/>
        <v>6</v>
      </c>
      <c r="AA282" s="171" t="s">
        <v>84</v>
      </c>
      <c r="AB282" s="176">
        <f t="shared" si="187"/>
        <v>3</v>
      </c>
      <c r="AC282" s="171" t="s">
        <v>85</v>
      </c>
      <c r="AD282" s="176">
        <f t="shared" si="188"/>
        <v>4</v>
      </c>
      <c r="AE282" s="171" t="s">
        <v>86</v>
      </c>
      <c r="AF282" s="176" cm="1">
        <f t="array" ref="AF282">IF(OR(AE282="/",AE282=""),"/",IF(ISNUMBER(SEARCH("普通",AE282)),0,IF(ISNUMBER(SEARCH("专用",AE282)),4,IF(ISNUMBER(SEARCH("定制",AE282)),7,IF(ISNUMBER(SEARCH("多个定制",AE282)),9,””)))))</f>
        <v>4</v>
      </c>
      <c r="AG282" s="176">
        <f t="shared" si="189"/>
        <v>17</v>
      </c>
      <c r="AH282" s="176" t="str">
        <f t="shared" si="190"/>
        <v>中Medium</v>
      </c>
      <c r="AI282" s="176" t="s">
        <v>144</v>
      </c>
      <c r="AJ282" s="176" t="str">
        <f t="shared" si="176"/>
        <v>保留
Retaining</v>
      </c>
      <c r="AK282" s="171" t="s">
        <v>145</v>
      </c>
      <c r="AL282" s="177" t="s">
        <v>145</v>
      </c>
      <c r="AM282" s="180" t="s">
        <v>316</v>
      </c>
      <c r="AN282" s="178" t="s">
        <v>317</v>
      </c>
      <c r="AO282" s="178" t="s">
        <v>318</v>
      </c>
    </row>
    <row r="283" s="116" customFormat="1" ht="17" customHeight="1" spans="1:41">
      <c r="A283" s="171">
        <v>279</v>
      </c>
      <c r="B283" s="179"/>
      <c r="C283" s="179"/>
      <c r="D283" s="179"/>
      <c r="E283" s="171"/>
      <c r="F283" s="171"/>
      <c r="G283" s="171"/>
      <c r="H283" s="171"/>
      <c r="I283" s="171" t="s">
        <v>73</v>
      </c>
      <c r="J283" s="171"/>
      <c r="K283" s="173" t="s">
        <v>540</v>
      </c>
      <c r="L283" s="173" t="s">
        <v>940</v>
      </c>
      <c r="M283" s="173" t="s">
        <v>174</v>
      </c>
      <c r="N283" s="174" t="s">
        <v>96</v>
      </c>
      <c r="O283" s="174" t="s">
        <v>96</v>
      </c>
      <c r="P283" s="174" t="s">
        <v>96</v>
      </c>
      <c r="Q283" s="174" t="s">
        <v>77</v>
      </c>
      <c r="R283" s="174" t="str">
        <f t="shared" si="184"/>
        <v>中等Medium</v>
      </c>
      <c r="S283" s="175" t="s">
        <v>96</v>
      </c>
      <c r="T283" s="175" t="s">
        <v>542</v>
      </c>
      <c r="U283" s="175" t="s">
        <v>176</v>
      </c>
      <c r="V283" s="171" t="s">
        <v>929</v>
      </c>
      <c r="W283" s="171" t="s">
        <v>82</v>
      </c>
      <c r="X283" s="176">
        <f t="shared" si="185"/>
        <v>0</v>
      </c>
      <c r="Y283" s="171" t="s">
        <v>177</v>
      </c>
      <c r="Z283" s="176">
        <f t="shared" si="186"/>
        <v>3</v>
      </c>
      <c r="AA283" s="171" t="s">
        <v>153</v>
      </c>
      <c r="AB283" s="176">
        <f t="shared" si="187"/>
        <v>0</v>
      </c>
      <c r="AC283" s="171" t="s">
        <v>85</v>
      </c>
      <c r="AD283" s="176">
        <f t="shared" si="188"/>
        <v>4</v>
      </c>
      <c r="AE283" s="171" t="s">
        <v>86</v>
      </c>
      <c r="AF283" s="176" cm="1">
        <f t="array" ref="AF283">IF(OR(AE283="/",AE283=""),"/",IF(ISNUMBER(SEARCH("普通",AE283)),0,IF(ISNUMBER(SEARCH("专用",AE283)),4,IF(ISNUMBER(SEARCH("定制",AE283)),7,IF(ISNUMBER(SEARCH("多个定制",AE283)),9,””)))))</f>
        <v>4</v>
      </c>
      <c r="AG283" s="176">
        <f t="shared" si="189"/>
        <v>11</v>
      </c>
      <c r="AH283" s="176" t="str">
        <f t="shared" si="190"/>
        <v>高High</v>
      </c>
      <c r="AI283" s="176" t="s">
        <v>144</v>
      </c>
      <c r="AJ283" s="176" t="str">
        <f t="shared" si="176"/>
        <v>保留
Retaining</v>
      </c>
      <c r="AK283" s="171" t="s">
        <v>145</v>
      </c>
      <c r="AL283" s="177" t="s">
        <v>145</v>
      </c>
      <c r="AM283" s="180" t="s">
        <v>329</v>
      </c>
      <c r="AN283" s="178" t="s">
        <v>181</v>
      </c>
      <c r="AO283" s="178" t="s">
        <v>182</v>
      </c>
    </row>
    <row r="284" s="116" customFormat="1" ht="17" customHeight="1" spans="1:41">
      <c r="A284" s="171">
        <v>280</v>
      </c>
      <c r="B284" s="181"/>
      <c r="C284" s="181"/>
      <c r="D284" s="181"/>
      <c r="E284" s="171"/>
      <c r="F284" s="171"/>
      <c r="G284" s="171"/>
      <c r="H284" s="171"/>
      <c r="I284" s="171"/>
      <c r="J284" s="171" t="s">
        <v>183</v>
      </c>
      <c r="K284" s="173" t="s">
        <v>145</v>
      </c>
      <c r="L284" s="173" t="s">
        <v>145</v>
      </c>
      <c r="M284" s="173" t="s">
        <v>145</v>
      </c>
      <c r="N284" s="174" t="s">
        <v>145</v>
      </c>
      <c r="O284" s="174" t="s">
        <v>145</v>
      </c>
      <c r="P284" s="174" t="s">
        <v>145</v>
      </c>
      <c r="Q284" s="174" t="s">
        <v>145</v>
      </c>
      <c r="R284" s="174" t="s">
        <v>145</v>
      </c>
      <c r="S284" s="175" t="s">
        <v>145</v>
      </c>
      <c r="T284" s="175" t="s">
        <v>145</v>
      </c>
      <c r="U284" s="175" t="s">
        <v>145</v>
      </c>
      <c r="V284" s="171" t="s">
        <v>145</v>
      </c>
      <c r="W284" s="171" t="s">
        <v>145</v>
      </c>
      <c r="X284" s="176" t="s">
        <v>145</v>
      </c>
      <c r="Y284" s="171" t="s">
        <v>145</v>
      </c>
      <c r="Z284" s="176" t="s">
        <v>145</v>
      </c>
      <c r="AA284" s="171" t="s">
        <v>145</v>
      </c>
      <c r="AB284" s="176" t="s">
        <v>145</v>
      </c>
      <c r="AC284" s="171" t="s">
        <v>145</v>
      </c>
      <c r="AD284" s="176" t="s">
        <v>145</v>
      </c>
      <c r="AE284" s="171" t="s">
        <v>145</v>
      </c>
      <c r="AF284" s="176" t="str" cm="1">
        <f t="array" ref="AF284">IF(OR(AE284="/",AE284=""),"/",IF(ISNUMBER(SEARCH("普通",AE284)),0,IF(ISNUMBER(SEARCH("专用",AE284)),4,IF(ISNUMBER(SEARCH("定制",AE284)),7,IF(ISNUMBER(SEARCH("多个定制",AE284)),9,””)))))</f>
        <v>/</v>
      </c>
      <c r="AG284" s="176" t="s">
        <v>145</v>
      </c>
      <c r="AH284" s="176" t="s">
        <v>145</v>
      </c>
      <c r="AI284" s="176" t="s">
        <v>145</v>
      </c>
      <c r="AJ284" s="176" t="str">
        <f t="shared" si="176"/>
        <v>/</v>
      </c>
      <c r="AK284" s="171" t="s">
        <v>145</v>
      </c>
      <c r="AL284" s="177" t="s">
        <v>145</v>
      </c>
      <c r="AM284" s="177" t="s">
        <v>145</v>
      </c>
      <c r="AN284" s="177" t="s">
        <v>145</v>
      </c>
      <c r="AO284" s="177" t="s">
        <v>145</v>
      </c>
    </row>
    <row r="285" s="116" customFormat="1" ht="17" customHeight="1" spans="1:41">
      <c r="A285" s="171">
        <v>281</v>
      </c>
      <c r="B285" s="172" t="s">
        <v>941</v>
      </c>
      <c r="C285" s="171" t="s">
        <v>71</v>
      </c>
      <c r="D285" s="173" t="s">
        <v>942</v>
      </c>
      <c r="E285" s="171" t="s">
        <v>73</v>
      </c>
      <c r="F285" s="171"/>
      <c r="G285" s="171"/>
      <c r="H285" s="171"/>
      <c r="I285" s="171"/>
      <c r="J285" s="171"/>
      <c r="K285" s="173" t="s">
        <v>509</v>
      </c>
      <c r="L285" s="173" t="s">
        <v>943</v>
      </c>
      <c r="M285" s="173" t="s">
        <v>76</v>
      </c>
      <c r="N285" s="174" t="s">
        <v>77</v>
      </c>
      <c r="O285" s="174" t="s">
        <v>77</v>
      </c>
      <c r="P285" s="174" t="s">
        <v>78</v>
      </c>
      <c r="Q285" s="174" t="s">
        <v>77</v>
      </c>
      <c r="R285" s="174" t="s">
        <v>96</v>
      </c>
      <c r="S285" s="174" t="s">
        <v>96</v>
      </c>
      <c r="T285" s="175" t="s">
        <v>511</v>
      </c>
      <c r="U285" s="175" t="s">
        <v>80</v>
      </c>
      <c r="V285" s="171" t="s">
        <v>944</v>
      </c>
      <c r="W285" s="171" t="s">
        <v>82</v>
      </c>
      <c r="X285" s="176">
        <f t="shared" ref="X285:X291" si="191">IF(OR(W285="/",W285=""),"/",IF(ISNUMBER(SEARCH("1天",W285)),0,IF(ISNUMBER(SEARCH("一周",W285)),1,IF(ISNUMBER(SEARCH("1个月",W285)),4,IF(ISNUMBER(SEARCH("超过",W285)),19,IF(ISNUMBER(SEARCH("6个月",W285)),17,""))))))</f>
        <v>0</v>
      </c>
      <c r="Y285" s="171" t="s">
        <v>83</v>
      </c>
      <c r="Z285" s="176">
        <f t="shared" ref="Z285:Z291" si="192">IF(OR(Y285="/",Y285=""),"/",IF(ISNUMBER(SEARCH("新手",Y285)),0,IF(ISNUMBER(SEARCH("熟练",Y285)),3,IF(ISNUMBER(SEARCH("多位",Y285)),17,IF(ISNUMBER(SEARCH("专家",Y285)),6,"")))))</f>
        <v>6</v>
      </c>
      <c r="AA285" s="171" t="s">
        <v>84</v>
      </c>
      <c r="AB285" s="176">
        <f t="shared" ref="AB285:AB291" si="193">IF(OR(AA285="/",AA285=""),"/",IF(ISNUMBER(SEARCH("公开",AA285)),0,IF(ISNUMBER(SEARCH("限制性信息",AA285)),3,IF(ISNUMBER(SEARCH("机密信息",AA285)),7,IF(ISNUMBER(SEARCH("严格保密",AA285)),11,"")))))</f>
        <v>3</v>
      </c>
      <c r="AC285" s="171" t="s">
        <v>85</v>
      </c>
      <c r="AD285" s="176">
        <f t="shared" ref="AD285:AD291" si="194">IF(OR(AC285="/",AC285=""),"/",IF(ISNUMBER(SEARCH("无限制",AC285)),0,IF(ISNUMBER(SEARCH("容易",AC285)),1,IF(ISNUMBER(SEARCH("一般",AC285)),4,IF(ISNUMBER(SEARCH("困难",AC285)),10,"")))))</f>
        <v>4</v>
      </c>
      <c r="AE285" s="171" t="s">
        <v>86</v>
      </c>
      <c r="AF285" s="176" cm="1">
        <f t="array" ref="AF285">IF(OR(AE285="/",AE285=""),"/",IF(ISNUMBER(SEARCH("普通",AE285)),0,IF(ISNUMBER(SEARCH("专用",AE285)),4,IF(ISNUMBER(SEARCH("定制",AE285)),7,IF(ISNUMBER(SEARCH("多个定制",AE285)),9,””)))))</f>
        <v>4</v>
      </c>
      <c r="AG285" s="176">
        <f t="shared" ref="AG285:AG291" si="195">IF(OR(X285="/",Z285="/",AB285="/",AD285="/",AF285="/"),"/",X285+Z285+AB285+AD285+AF285)</f>
        <v>17</v>
      </c>
      <c r="AH285" s="176" t="str">
        <f t="shared" ref="AH285:AH291" si="196">IF(AND(AG285&gt;=0,AG285&lt;14),"高High",IF(AND(AG285&gt;=14,AG285&lt;20),"中Medium",IF(AND(AG285&gt;=20,AG285&lt;25),"低Low",IF(AND(AG285&gt;=25,AG285&lt;57),"非常低Very low",""))))</f>
        <v>中Medium</v>
      </c>
      <c r="AI285" s="176" t="s">
        <v>144</v>
      </c>
      <c r="AJ285" s="176" t="str">
        <f t="shared" si="176"/>
        <v>保留
Retaining</v>
      </c>
      <c r="AK285" s="171" t="s">
        <v>145</v>
      </c>
      <c r="AL285" s="177" t="s">
        <v>145</v>
      </c>
      <c r="AM285" s="180" t="s">
        <v>90</v>
      </c>
      <c r="AN285" s="178" t="s">
        <v>91</v>
      </c>
      <c r="AO285" s="178" t="s">
        <v>92</v>
      </c>
    </row>
    <row r="286" s="116" customFormat="1" ht="17" customHeight="1" spans="1:41">
      <c r="A286" s="171">
        <v>282</v>
      </c>
      <c r="B286" s="179"/>
      <c r="C286" s="179"/>
      <c r="D286" s="179"/>
      <c r="E286" s="171" t="s">
        <v>73</v>
      </c>
      <c r="F286" s="171"/>
      <c r="G286" s="171"/>
      <c r="H286" s="171"/>
      <c r="I286" s="171"/>
      <c r="J286" s="171"/>
      <c r="K286" s="173" t="s">
        <v>515</v>
      </c>
      <c r="L286" s="173" t="s">
        <v>945</v>
      </c>
      <c r="M286" s="173" t="s">
        <v>106</v>
      </c>
      <c r="N286" s="174" t="s">
        <v>77</v>
      </c>
      <c r="O286" s="174" t="s">
        <v>77</v>
      </c>
      <c r="P286" s="174" t="s">
        <v>96</v>
      </c>
      <c r="Q286" s="174" t="s">
        <v>78</v>
      </c>
      <c r="R286" s="174" t="s">
        <v>96</v>
      </c>
      <c r="S286" s="174" t="s">
        <v>96</v>
      </c>
      <c r="T286" s="175" t="s">
        <v>517</v>
      </c>
      <c r="U286" s="175" t="s">
        <v>109</v>
      </c>
      <c r="V286" s="171" t="s">
        <v>946</v>
      </c>
      <c r="W286" s="171" t="s">
        <v>111</v>
      </c>
      <c r="X286" s="176">
        <f t="shared" si="191"/>
        <v>1</v>
      </c>
      <c r="Y286" s="171" t="s">
        <v>83</v>
      </c>
      <c r="Z286" s="176">
        <f t="shared" si="192"/>
        <v>6</v>
      </c>
      <c r="AA286" s="171" t="s">
        <v>84</v>
      </c>
      <c r="AB286" s="176">
        <f t="shared" si="193"/>
        <v>3</v>
      </c>
      <c r="AC286" s="171" t="s">
        <v>85</v>
      </c>
      <c r="AD286" s="176">
        <f t="shared" si="194"/>
        <v>4</v>
      </c>
      <c r="AE286" s="171" t="s">
        <v>143</v>
      </c>
      <c r="AF286" s="176" cm="1">
        <f t="array" ref="AF286">IF(OR(AE286="/",AE286=""),"/",IF(ISNUMBER(SEARCH("普通",AE286)),0,IF(ISNUMBER(SEARCH("专用",AE286)),4,IF(ISNUMBER(SEARCH("定制",AE286)),7,IF(ISNUMBER(SEARCH("多个定制",AE286)),9,””)))))</f>
        <v>7</v>
      </c>
      <c r="AG286" s="176">
        <f t="shared" si="195"/>
        <v>21</v>
      </c>
      <c r="AH286" s="176" t="str">
        <f t="shared" si="196"/>
        <v>低Low</v>
      </c>
      <c r="AI286" s="176" t="s">
        <v>144</v>
      </c>
      <c r="AJ286" s="176" t="str">
        <f t="shared" si="176"/>
        <v>保留
Retaining</v>
      </c>
      <c r="AK286" s="171" t="s">
        <v>145</v>
      </c>
      <c r="AL286" s="177" t="s">
        <v>145</v>
      </c>
      <c r="AM286" s="180" t="s">
        <v>115</v>
      </c>
      <c r="AN286" s="178" t="s">
        <v>116</v>
      </c>
      <c r="AO286" s="178" t="s">
        <v>117</v>
      </c>
    </row>
    <row r="287" s="116" customFormat="1" ht="17" customHeight="1" spans="1:41">
      <c r="A287" s="171">
        <v>283</v>
      </c>
      <c r="B287" s="179"/>
      <c r="C287" s="179"/>
      <c r="D287" s="179"/>
      <c r="E287" s="171"/>
      <c r="F287" s="171" t="s">
        <v>73</v>
      </c>
      <c r="G287" s="171"/>
      <c r="H287" s="171"/>
      <c r="I287" s="171"/>
      <c r="J287" s="171"/>
      <c r="K287" s="173" t="s">
        <v>521</v>
      </c>
      <c r="L287" s="173" t="s">
        <v>947</v>
      </c>
      <c r="M287" s="173" t="s">
        <v>120</v>
      </c>
      <c r="N287" s="174" t="s">
        <v>77</v>
      </c>
      <c r="O287" s="174" t="s">
        <v>96</v>
      </c>
      <c r="P287" s="174" t="s">
        <v>78</v>
      </c>
      <c r="Q287" s="174" t="s">
        <v>77</v>
      </c>
      <c r="R287" s="174" t="s">
        <v>96</v>
      </c>
      <c r="S287" s="174" t="s">
        <v>96</v>
      </c>
      <c r="T287" s="175" t="s">
        <v>523</v>
      </c>
      <c r="U287" s="175" t="s">
        <v>948</v>
      </c>
      <c r="V287" s="171" t="s">
        <v>944</v>
      </c>
      <c r="W287" s="171" t="s">
        <v>82</v>
      </c>
      <c r="X287" s="176">
        <f t="shared" si="191"/>
        <v>0</v>
      </c>
      <c r="Y287" s="171" t="s">
        <v>83</v>
      </c>
      <c r="Z287" s="176">
        <f t="shared" si="192"/>
        <v>6</v>
      </c>
      <c r="AA287" s="171" t="s">
        <v>84</v>
      </c>
      <c r="AB287" s="176">
        <f t="shared" si="193"/>
        <v>3</v>
      </c>
      <c r="AC287" s="171" t="s">
        <v>85</v>
      </c>
      <c r="AD287" s="176">
        <f t="shared" si="194"/>
        <v>4</v>
      </c>
      <c r="AE287" s="171" t="s">
        <v>86</v>
      </c>
      <c r="AF287" s="176" cm="1">
        <f t="array" ref="AF287">IF(OR(AE287="/",AE287=""),"/",IF(ISNUMBER(SEARCH("普通",AE287)),0,IF(ISNUMBER(SEARCH("专用",AE287)),4,IF(ISNUMBER(SEARCH("定制",AE287)),7,IF(ISNUMBER(SEARCH("多个定制",AE287)),9,””)))))</f>
        <v>4</v>
      </c>
      <c r="AG287" s="176">
        <f t="shared" si="195"/>
        <v>17</v>
      </c>
      <c r="AH287" s="176" t="str">
        <f t="shared" si="196"/>
        <v>中Medium</v>
      </c>
      <c r="AI287" s="176" t="s">
        <v>144</v>
      </c>
      <c r="AJ287" s="176" t="str">
        <f t="shared" si="176"/>
        <v>保留
Retaining</v>
      </c>
      <c r="AK287" s="171" t="s">
        <v>145</v>
      </c>
      <c r="AL287" s="177" t="s">
        <v>145</v>
      </c>
      <c r="AM287" s="180" t="s">
        <v>125</v>
      </c>
      <c r="AN287" s="178" t="s">
        <v>126</v>
      </c>
      <c r="AO287" s="178" t="s">
        <v>127</v>
      </c>
    </row>
    <row r="288" s="116" customFormat="1" ht="17" customHeight="1" spans="1:41">
      <c r="A288" s="171">
        <v>284</v>
      </c>
      <c r="B288" s="179"/>
      <c r="C288" s="179"/>
      <c r="D288" s="179"/>
      <c r="E288" s="171"/>
      <c r="F288" s="171" t="s">
        <v>73</v>
      </c>
      <c r="G288" s="171"/>
      <c r="H288" s="171"/>
      <c r="I288" s="171"/>
      <c r="J288" s="171"/>
      <c r="K288" s="173" t="s">
        <v>527</v>
      </c>
      <c r="L288" s="173" t="s">
        <v>949</v>
      </c>
      <c r="M288" s="173" t="s">
        <v>120</v>
      </c>
      <c r="N288" s="174" t="s">
        <v>96</v>
      </c>
      <c r="O288" s="174" t="s">
        <v>96</v>
      </c>
      <c r="P288" s="174" t="s">
        <v>78</v>
      </c>
      <c r="Q288" s="174" t="s">
        <v>77</v>
      </c>
      <c r="R288" s="174" t="s">
        <v>96</v>
      </c>
      <c r="S288" s="174" t="s">
        <v>96</v>
      </c>
      <c r="T288" s="175" t="s">
        <v>529</v>
      </c>
      <c r="U288" s="175" t="s">
        <v>950</v>
      </c>
      <c r="V288" s="171" t="s">
        <v>944</v>
      </c>
      <c r="W288" s="171" t="s">
        <v>111</v>
      </c>
      <c r="X288" s="176">
        <f t="shared" si="191"/>
        <v>1</v>
      </c>
      <c r="Y288" s="171" t="s">
        <v>83</v>
      </c>
      <c r="Z288" s="176">
        <f t="shared" si="192"/>
        <v>6</v>
      </c>
      <c r="AA288" s="171" t="s">
        <v>84</v>
      </c>
      <c r="AB288" s="176">
        <f t="shared" si="193"/>
        <v>3</v>
      </c>
      <c r="AC288" s="171" t="s">
        <v>85</v>
      </c>
      <c r="AD288" s="176">
        <f t="shared" si="194"/>
        <v>4</v>
      </c>
      <c r="AE288" s="171" t="s">
        <v>86</v>
      </c>
      <c r="AF288" s="176" cm="1">
        <f t="array" ref="AF288">IF(OR(AE288="/",AE288=""),"/",IF(ISNUMBER(SEARCH("普通",AE288)),0,IF(ISNUMBER(SEARCH("专用",AE288)),4,IF(ISNUMBER(SEARCH("定制",AE288)),7,IF(ISNUMBER(SEARCH("多个定制",AE288)),9,””)))))</f>
        <v>4</v>
      </c>
      <c r="AG288" s="176">
        <f t="shared" si="195"/>
        <v>18</v>
      </c>
      <c r="AH288" s="176" t="str">
        <f t="shared" si="196"/>
        <v>中Medium</v>
      </c>
      <c r="AI288" s="176" t="s">
        <v>144</v>
      </c>
      <c r="AJ288" s="176" t="str">
        <f t="shared" si="176"/>
        <v>保留
Retaining</v>
      </c>
      <c r="AK288" s="171" t="s">
        <v>145</v>
      </c>
      <c r="AL288" s="177" t="s">
        <v>145</v>
      </c>
      <c r="AM288" s="180" t="s">
        <v>134</v>
      </c>
      <c r="AN288" s="178" t="s">
        <v>135</v>
      </c>
      <c r="AO288" s="178" t="s">
        <v>136</v>
      </c>
    </row>
    <row r="289" s="116" customFormat="1" ht="17" customHeight="1" spans="1:41">
      <c r="A289" s="171">
        <v>285</v>
      </c>
      <c r="B289" s="179"/>
      <c r="C289" s="179"/>
      <c r="D289" s="179"/>
      <c r="E289" s="171"/>
      <c r="F289" s="171"/>
      <c r="G289" s="171" t="s">
        <v>73</v>
      </c>
      <c r="H289" s="171"/>
      <c r="I289" s="171"/>
      <c r="J289" s="171"/>
      <c r="K289" s="173" t="s">
        <v>533</v>
      </c>
      <c r="L289" s="173" t="s">
        <v>951</v>
      </c>
      <c r="M289" s="173" t="s">
        <v>150</v>
      </c>
      <c r="N289" s="174" t="s">
        <v>96</v>
      </c>
      <c r="O289" s="174" t="s">
        <v>96</v>
      </c>
      <c r="P289" s="174" t="s">
        <v>96</v>
      </c>
      <c r="Q289" s="174" t="s">
        <v>77</v>
      </c>
      <c r="R289" s="174" t="str">
        <f>IF(OR(N289="严重Severe",O289="严重Severe",P289="严重Severe",Q289="严重Severe"),"严重Severe",IF(OR(N289="主要Major",O289="主要Major",P289="主要Major",Q289="主要Major"),"主要Major",IF(OR(N289="中等Medium",O289="中等Medium",P289="中等Medium",Q289="中等Medium"),"中等Medium",IF(OR(N289="可忽略不计Negligible",O289="可忽略不计Negligible",P289="可忽略不计Negligible",Q289="可忽略不计Negligible"),"可忽略不计Negligible","/"))))</f>
        <v>中等Medium</v>
      </c>
      <c r="S289" s="175" t="s">
        <v>96</v>
      </c>
      <c r="T289" s="175" t="s">
        <v>535</v>
      </c>
      <c r="U289" s="175" t="s">
        <v>152</v>
      </c>
      <c r="V289" s="171" t="s">
        <v>944</v>
      </c>
      <c r="W289" s="171" t="s">
        <v>82</v>
      </c>
      <c r="X289" s="176">
        <f t="shared" si="191"/>
        <v>0</v>
      </c>
      <c r="Y289" s="171" t="s">
        <v>83</v>
      </c>
      <c r="Z289" s="176">
        <f t="shared" si="192"/>
        <v>6</v>
      </c>
      <c r="AA289" s="171" t="s">
        <v>153</v>
      </c>
      <c r="AB289" s="176">
        <f t="shared" si="193"/>
        <v>0</v>
      </c>
      <c r="AC289" s="171" t="s">
        <v>85</v>
      </c>
      <c r="AD289" s="176">
        <f t="shared" si="194"/>
        <v>4</v>
      </c>
      <c r="AE289" s="171" t="s">
        <v>143</v>
      </c>
      <c r="AF289" s="176" cm="1">
        <f t="array" ref="AF289">IF(OR(AE289="/",AE289=""),"/",IF(ISNUMBER(SEARCH("普通",AE289)),0,IF(ISNUMBER(SEARCH("专用",AE289)),4,IF(ISNUMBER(SEARCH("定制",AE289)),7,IF(ISNUMBER(SEARCH("多个定制",AE289)),9,””)))))</f>
        <v>7</v>
      </c>
      <c r="AG289" s="176">
        <f t="shared" si="195"/>
        <v>17</v>
      </c>
      <c r="AH289" s="176" t="str">
        <f t="shared" si="196"/>
        <v>中Medium</v>
      </c>
      <c r="AI289" s="176" t="s">
        <v>144</v>
      </c>
      <c r="AJ289" s="176" t="str">
        <f t="shared" si="176"/>
        <v>保留
Retaining</v>
      </c>
      <c r="AK289" s="171" t="s">
        <v>145</v>
      </c>
      <c r="AL289" s="177" t="s">
        <v>145</v>
      </c>
      <c r="AM289" s="171" t="s">
        <v>145</v>
      </c>
      <c r="AN289" s="178" t="s">
        <v>280</v>
      </c>
      <c r="AO289" s="178" t="s">
        <v>281</v>
      </c>
    </row>
    <row r="290" s="116" customFormat="1" ht="17" customHeight="1" spans="1:41">
      <c r="A290" s="171">
        <v>286</v>
      </c>
      <c r="B290" s="179"/>
      <c r="C290" s="179"/>
      <c r="D290" s="179"/>
      <c r="E290" s="171"/>
      <c r="F290" s="171"/>
      <c r="G290" s="171"/>
      <c r="H290" s="171" t="s">
        <v>73</v>
      </c>
      <c r="I290" s="171"/>
      <c r="J290" s="171"/>
      <c r="K290" s="173" t="s">
        <v>536</v>
      </c>
      <c r="L290" s="173" t="s">
        <v>952</v>
      </c>
      <c r="M290" s="173" t="s">
        <v>166</v>
      </c>
      <c r="N290" s="174" t="s">
        <v>96</v>
      </c>
      <c r="O290" s="174" t="s">
        <v>96</v>
      </c>
      <c r="P290" s="174" t="s">
        <v>96</v>
      </c>
      <c r="Q290" s="174" t="s">
        <v>77</v>
      </c>
      <c r="R290" s="174" t="str">
        <f>IF(OR(N290="严重Severe",O290="严重Severe",P290="严重Severe",Q290="严重Severe"),"严重Severe",IF(OR(N290="主要Major",O290="主要Major",P290="主要Major",Q290="主要Major"),"主要Major",IF(OR(N290="中等Medium",O290="中等Medium",P290="中等Medium",Q290="中等Medium"),"中等Medium",IF(OR(N290="可忽略不计Negligible",O290="可忽略不计Negligible",P290="可忽略不计Negligible",Q290="可忽略不计Negligible"),"可忽略不计Negligible","/"))))</f>
        <v>中等Medium</v>
      </c>
      <c r="S290" s="171" t="s">
        <v>96</v>
      </c>
      <c r="T290" s="175" t="s">
        <v>538</v>
      </c>
      <c r="U290" s="175" t="s">
        <v>953</v>
      </c>
      <c r="V290" s="171" t="s">
        <v>944</v>
      </c>
      <c r="W290" s="171" t="s">
        <v>82</v>
      </c>
      <c r="X290" s="176">
        <f t="shared" si="191"/>
        <v>0</v>
      </c>
      <c r="Y290" s="171" t="s">
        <v>83</v>
      </c>
      <c r="Z290" s="176">
        <f t="shared" si="192"/>
        <v>6</v>
      </c>
      <c r="AA290" s="171" t="s">
        <v>84</v>
      </c>
      <c r="AB290" s="176">
        <f t="shared" si="193"/>
        <v>3</v>
      </c>
      <c r="AC290" s="171" t="s">
        <v>85</v>
      </c>
      <c r="AD290" s="176">
        <f t="shared" si="194"/>
        <v>4</v>
      </c>
      <c r="AE290" s="171" t="s">
        <v>86</v>
      </c>
      <c r="AF290" s="176" cm="1">
        <f t="array" ref="AF290">IF(OR(AE290="/",AE290=""),"/",IF(ISNUMBER(SEARCH("普通",AE290)),0,IF(ISNUMBER(SEARCH("专用",AE290)),4,IF(ISNUMBER(SEARCH("定制",AE290)),7,IF(ISNUMBER(SEARCH("多个定制",AE290)),9,””)))))</f>
        <v>4</v>
      </c>
      <c r="AG290" s="176">
        <f t="shared" si="195"/>
        <v>17</v>
      </c>
      <c r="AH290" s="176" t="str">
        <f t="shared" si="196"/>
        <v>中Medium</v>
      </c>
      <c r="AI290" s="176" t="s">
        <v>144</v>
      </c>
      <c r="AJ290" s="176" t="str">
        <f t="shared" si="176"/>
        <v>保留
Retaining</v>
      </c>
      <c r="AK290" s="171" t="s">
        <v>145</v>
      </c>
      <c r="AL290" s="177" t="s">
        <v>145</v>
      </c>
      <c r="AM290" s="180" t="s">
        <v>316</v>
      </c>
      <c r="AN290" s="178" t="s">
        <v>317</v>
      </c>
      <c r="AO290" s="178" t="s">
        <v>318</v>
      </c>
    </row>
    <row r="291" s="116" customFormat="1" ht="17" customHeight="1" spans="1:41">
      <c r="A291" s="171">
        <v>287</v>
      </c>
      <c r="B291" s="179"/>
      <c r="C291" s="179"/>
      <c r="D291" s="179"/>
      <c r="E291" s="171"/>
      <c r="F291" s="171"/>
      <c r="G291" s="171"/>
      <c r="H291" s="171"/>
      <c r="I291" s="171" t="s">
        <v>73</v>
      </c>
      <c r="J291" s="171"/>
      <c r="K291" s="173" t="s">
        <v>540</v>
      </c>
      <c r="L291" s="173" t="s">
        <v>954</v>
      </c>
      <c r="M291" s="173" t="s">
        <v>174</v>
      </c>
      <c r="N291" s="174" t="s">
        <v>96</v>
      </c>
      <c r="O291" s="174" t="s">
        <v>96</v>
      </c>
      <c r="P291" s="174" t="s">
        <v>96</v>
      </c>
      <c r="Q291" s="174" t="s">
        <v>77</v>
      </c>
      <c r="R291" s="174" t="s">
        <v>96</v>
      </c>
      <c r="S291" s="174" t="s">
        <v>96</v>
      </c>
      <c r="T291" s="175" t="s">
        <v>542</v>
      </c>
      <c r="U291" s="175" t="s">
        <v>176</v>
      </c>
      <c r="V291" s="171" t="s">
        <v>944</v>
      </c>
      <c r="W291" s="171" t="s">
        <v>82</v>
      </c>
      <c r="X291" s="176">
        <f t="shared" si="191"/>
        <v>0</v>
      </c>
      <c r="Y291" s="171" t="s">
        <v>177</v>
      </c>
      <c r="Z291" s="176">
        <f t="shared" si="192"/>
        <v>3</v>
      </c>
      <c r="AA291" s="171" t="s">
        <v>153</v>
      </c>
      <c r="AB291" s="176">
        <f t="shared" si="193"/>
        <v>0</v>
      </c>
      <c r="AC291" s="171" t="s">
        <v>85</v>
      </c>
      <c r="AD291" s="176">
        <f t="shared" si="194"/>
        <v>4</v>
      </c>
      <c r="AE291" s="171" t="s">
        <v>86</v>
      </c>
      <c r="AF291" s="176" cm="1">
        <f t="array" ref="AF291">IF(OR(AE291="/",AE291=""),"/",IF(ISNUMBER(SEARCH("普通",AE291)),0,IF(ISNUMBER(SEARCH("专用",AE291)),4,IF(ISNUMBER(SEARCH("定制",AE291)),7,IF(ISNUMBER(SEARCH("多个定制",AE291)),9,””)))))</f>
        <v>4</v>
      </c>
      <c r="AG291" s="176">
        <f t="shared" si="195"/>
        <v>11</v>
      </c>
      <c r="AH291" s="176" t="str">
        <f t="shared" si="196"/>
        <v>高High</v>
      </c>
      <c r="AI291" s="176" t="s">
        <v>144</v>
      </c>
      <c r="AJ291" s="176" t="str">
        <f t="shared" si="176"/>
        <v>保留
Retaining</v>
      </c>
      <c r="AK291" s="171" t="s">
        <v>145</v>
      </c>
      <c r="AL291" s="177" t="s">
        <v>145</v>
      </c>
      <c r="AM291" s="180" t="s">
        <v>329</v>
      </c>
      <c r="AN291" s="178" t="s">
        <v>181</v>
      </c>
      <c r="AO291" s="178" t="s">
        <v>182</v>
      </c>
    </row>
    <row r="292" s="116" customFormat="1" ht="17" customHeight="1" spans="1:41">
      <c r="A292" s="171">
        <v>288</v>
      </c>
      <c r="B292" s="181"/>
      <c r="C292" s="181"/>
      <c r="D292" s="181"/>
      <c r="E292" s="171"/>
      <c r="F292" s="171"/>
      <c r="G292" s="171"/>
      <c r="H292" s="171"/>
      <c r="I292" s="171"/>
      <c r="J292" s="171" t="s">
        <v>183</v>
      </c>
      <c r="K292" s="173" t="s">
        <v>145</v>
      </c>
      <c r="L292" s="173" t="s">
        <v>145</v>
      </c>
      <c r="M292" s="173" t="s">
        <v>145</v>
      </c>
      <c r="N292" s="174" t="s">
        <v>145</v>
      </c>
      <c r="O292" s="174" t="s">
        <v>145</v>
      </c>
      <c r="P292" s="174" t="s">
        <v>145</v>
      </c>
      <c r="Q292" s="174" t="s">
        <v>145</v>
      </c>
      <c r="R292" s="174" t="s">
        <v>145</v>
      </c>
      <c r="S292" s="175" t="s">
        <v>145</v>
      </c>
      <c r="T292" s="175" t="s">
        <v>145</v>
      </c>
      <c r="U292" s="175" t="s">
        <v>145</v>
      </c>
      <c r="V292" s="171" t="s">
        <v>145</v>
      </c>
      <c r="W292" s="171" t="s">
        <v>145</v>
      </c>
      <c r="X292" s="176" t="s">
        <v>145</v>
      </c>
      <c r="Y292" s="171" t="s">
        <v>145</v>
      </c>
      <c r="Z292" s="176" t="s">
        <v>145</v>
      </c>
      <c r="AA292" s="171" t="s">
        <v>145</v>
      </c>
      <c r="AB292" s="176" t="s">
        <v>145</v>
      </c>
      <c r="AC292" s="171" t="s">
        <v>145</v>
      </c>
      <c r="AD292" s="176" t="s">
        <v>145</v>
      </c>
      <c r="AE292" s="171" t="s">
        <v>145</v>
      </c>
      <c r="AF292" s="176" t="str" cm="1">
        <f t="array" ref="AF292">IF(OR(AE292="/",AE292=""),"/",IF(ISNUMBER(SEARCH("普通",AE292)),0,IF(ISNUMBER(SEARCH("专用",AE292)),4,IF(ISNUMBER(SEARCH("定制",AE292)),7,IF(ISNUMBER(SEARCH("多个定制",AE292)),9,””)))))</f>
        <v>/</v>
      </c>
      <c r="AG292" s="176" t="s">
        <v>145</v>
      </c>
      <c r="AH292" s="176" t="s">
        <v>145</v>
      </c>
      <c r="AI292" s="176" t="s">
        <v>145</v>
      </c>
      <c r="AJ292" s="176" t="str">
        <f t="shared" si="176"/>
        <v>/</v>
      </c>
      <c r="AK292" s="171" t="s">
        <v>145</v>
      </c>
      <c r="AL292" s="177" t="s">
        <v>145</v>
      </c>
      <c r="AM292" s="177" t="s">
        <v>145</v>
      </c>
      <c r="AN292" s="177" t="s">
        <v>145</v>
      </c>
      <c r="AO292" s="177" t="s">
        <v>145</v>
      </c>
    </row>
    <row r="293" s="116" customFormat="1" ht="17" customHeight="1" spans="1:41">
      <c r="A293" s="171">
        <v>289</v>
      </c>
      <c r="B293" s="172" t="s">
        <v>955</v>
      </c>
      <c r="C293" s="171" t="s">
        <v>71</v>
      </c>
      <c r="D293" s="173" t="s">
        <v>956</v>
      </c>
      <c r="E293" s="171" t="s">
        <v>73</v>
      </c>
      <c r="F293" s="171"/>
      <c r="G293" s="171"/>
      <c r="H293" s="171"/>
      <c r="I293" s="171"/>
      <c r="J293" s="171"/>
      <c r="K293" s="173" t="s">
        <v>509</v>
      </c>
      <c r="L293" s="173" t="s">
        <v>957</v>
      </c>
      <c r="M293" s="173" t="s">
        <v>76</v>
      </c>
      <c r="N293" s="174" t="s">
        <v>77</v>
      </c>
      <c r="O293" s="174" t="s">
        <v>77</v>
      </c>
      <c r="P293" s="174" t="s">
        <v>78</v>
      </c>
      <c r="Q293" s="174" t="s">
        <v>77</v>
      </c>
      <c r="R293" s="174" t="str">
        <f t="shared" ref="R293:R299" si="197">IF(OR(N293="严重Severe",O293="严重Severe",P293="严重Severe",Q293="严重Severe"),"严重Severe",IF(OR(N293="主要Major",O293="主要Major",P293="主要Major",Q293="主要Major"),"主要Major",IF(OR(N293="中等Medium",O293="中等Medium",P293="中等Medium",Q293="中等Medium"),"中等Medium",IF(OR(N293="可忽略不计Negligible",O293="可忽略不计Negligible",P293="可忽略不计Negligible",Q293="可忽略不计Negligible"),"可忽略不计Negligible","/"))))</f>
        <v>主要Major</v>
      </c>
      <c r="S293" s="175" t="s">
        <v>78</v>
      </c>
      <c r="T293" s="175" t="s">
        <v>511</v>
      </c>
      <c r="U293" s="175" t="s">
        <v>80</v>
      </c>
      <c r="V293" s="171" t="s">
        <v>958</v>
      </c>
      <c r="W293" s="171" t="s">
        <v>82</v>
      </c>
      <c r="X293" s="176">
        <f t="shared" ref="X293:X299" si="198">IF(OR(W293="/",W293=""),"/",IF(ISNUMBER(SEARCH("1天",W293)),0,IF(ISNUMBER(SEARCH("一周",W293)),1,IF(ISNUMBER(SEARCH("1个月",W293)),4,IF(ISNUMBER(SEARCH("超过",W293)),19,IF(ISNUMBER(SEARCH("6个月",W293)),17,""))))))</f>
        <v>0</v>
      </c>
      <c r="Y293" s="171" t="s">
        <v>83</v>
      </c>
      <c r="Z293" s="176">
        <f t="shared" ref="Z293:Z299" si="199">IF(OR(Y293="/",Y293=""),"/",IF(ISNUMBER(SEARCH("新手",Y293)),0,IF(ISNUMBER(SEARCH("熟练",Y293)),3,IF(ISNUMBER(SEARCH("多位",Y293)),17,IF(ISNUMBER(SEARCH("专家",Y293)),6,"")))))</f>
        <v>6</v>
      </c>
      <c r="AA293" s="171" t="s">
        <v>84</v>
      </c>
      <c r="AB293" s="176">
        <f t="shared" ref="AB293:AB299" si="200">IF(OR(AA293="/",AA293=""),"/",IF(ISNUMBER(SEARCH("公开",AA293)),0,IF(ISNUMBER(SEARCH("限制性信息",AA293)),3,IF(ISNUMBER(SEARCH("机密信息",AA293)),7,IF(ISNUMBER(SEARCH("严格保密",AA293)),11,"")))))</f>
        <v>3</v>
      </c>
      <c r="AC293" s="171" t="s">
        <v>85</v>
      </c>
      <c r="AD293" s="176">
        <f t="shared" ref="AD293:AD299" si="201">IF(OR(AC293="/",AC293=""),"/",IF(ISNUMBER(SEARCH("无限制",AC293)),0,IF(ISNUMBER(SEARCH("容易",AC293)),1,IF(ISNUMBER(SEARCH("一般",AC293)),4,IF(ISNUMBER(SEARCH("困难",AC293)),10,"")))))</f>
        <v>4</v>
      </c>
      <c r="AE293" s="171" t="s">
        <v>86</v>
      </c>
      <c r="AF293" s="176" cm="1">
        <f t="array" ref="AF293">IF(OR(AE293="/",AE293=""),"/",IF(ISNUMBER(SEARCH("普通",AE293)),0,IF(ISNUMBER(SEARCH("专用",AE293)),4,IF(ISNUMBER(SEARCH("定制",AE293)),7,IF(ISNUMBER(SEARCH("多个定制",AE293)),9,””)))))</f>
        <v>4</v>
      </c>
      <c r="AG293" s="176">
        <f t="shared" ref="AG293:AG299" si="202">IF(OR(X293="/",Z293="/",AB293="/",AD293="/",AF293="/"),"/",X293+Z293+AB293+AD293+AF293)</f>
        <v>17</v>
      </c>
      <c r="AH293" s="176" t="str">
        <f t="shared" ref="AH293:AH299" si="203">IF(AND(AG293&gt;=0,AG293&lt;14),"高High",IF(AND(AG293&gt;=14,AG293&lt;20),"中Medium",IF(AND(AG293&gt;=20,AG293&lt;25),"低Low",IF(AND(AG293&gt;=25,AG293&lt;57),"非常低Very low",""))))</f>
        <v>中Medium</v>
      </c>
      <c r="AI293" s="176" t="s">
        <v>87</v>
      </c>
      <c r="AJ293" s="176" t="str">
        <f t="shared" si="176"/>
        <v>降低
Reucing</v>
      </c>
      <c r="AK293" s="171" t="s">
        <v>513</v>
      </c>
      <c r="AL293" s="177" t="s">
        <v>514</v>
      </c>
      <c r="AM293" s="180" t="s">
        <v>90</v>
      </c>
      <c r="AN293" s="178" t="s">
        <v>91</v>
      </c>
      <c r="AO293" s="178" t="s">
        <v>92</v>
      </c>
    </row>
    <row r="294" s="116" customFormat="1" ht="17" customHeight="1" spans="1:41">
      <c r="A294" s="171">
        <v>290</v>
      </c>
      <c r="B294" s="179"/>
      <c r="C294" s="179"/>
      <c r="D294" s="179"/>
      <c r="E294" s="171" t="s">
        <v>73</v>
      </c>
      <c r="F294" s="171"/>
      <c r="G294" s="171"/>
      <c r="H294" s="171"/>
      <c r="I294" s="171"/>
      <c r="J294" s="171"/>
      <c r="K294" s="173" t="s">
        <v>515</v>
      </c>
      <c r="L294" s="173" t="s">
        <v>959</v>
      </c>
      <c r="M294" s="173" t="s">
        <v>106</v>
      </c>
      <c r="N294" s="174" t="s">
        <v>77</v>
      </c>
      <c r="O294" s="174" t="s">
        <v>77</v>
      </c>
      <c r="P294" s="174" t="s">
        <v>96</v>
      </c>
      <c r="Q294" s="174" t="s">
        <v>78</v>
      </c>
      <c r="R294" s="174" t="str">
        <f t="shared" si="197"/>
        <v>主要Major</v>
      </c>
      <c r="S294" s="175" t="s">
        <v>107</v>
      </c>
      <c r="T294" s="175" t="s">
        <v>517</v>
      </c>
      <c r="U294" s="175" t="s">
        <v>109</v>
      </c>
      <c r="V294" s="171" t="s">
        <v>960</v>
      </c>
      <c r="W294" s="171" t="s">
        <v>111</v>
      </c>
      <c r="X294" s="176">
        <f t="shared" si="198"/>
        <v>1</v>
      </c>
      <c r="Y294" s="171" t="s">
        <v>83</v>
      </c>
      <c r="Z294" s="176">
        <f t="shared" si="199"/>
        <v>6</v>
      </c>
      <c r="AA294" s="171" t="s">
        <v>84</v>
      </c>
      <c r="AB294" s="176">
        <f t="shared" si="200"/>
        <v>3</v>
      </c>
      <c r="AC294" s="171" t="s">
        <v>85</v>
      </c>
      <c r="AD294" s="176">
        <f t="shared" si="201"/>
        <v>4</v>
      </c>
      <c r="AE294" s="171" t="s">
        <v>143</v>
      </c>
      <c r="AF294" s="176" cm="1">
        <f t="array" ref="AF294">IF(OR(AE294="/",AE294=""),"/",IF(ISNUMBER(SEARCH("普通",AE294)),0,IF(ISNUMBER(SEARCH("专用",AE294)),4,IF(ISNUMBER(SEARCH("定制",AE294)),7,IF(ISNUMBER(SEARCH("多个定制",AE294)),9,””)))))</f>
        <v>7</v>
      </c>
      <c r="AG294" s="176">
        <f t="shared" si="202"/>
        <v>21</v>
      </c>
      <c r="AH294" s="176" t="str">
        <f t="shared" si="203"/>
        <v>低Low</v>
      </c>
      <c r="AI294" s="176" t="s">
        <v>112</v>
      </c>
      <c r="AJ294" s="176" t="str">
        <f t="shared" si="176"/>
        <v>消除
Avoiding</v>
      </c>
      <c r="AK294" s="171" t="s">
        <v>519</v>
      </c>
      <c r="AL294" s="177" t="s">
        <v>520</v>
      </c>
      <c r="AM294" s="180" t="s">
        <v>115</v>
      </c>
      <c r="AN294" s="178" t="s">
        <v>116</v>
      </c>
      <c r="AO294" s="178" t="s">
        <v>117</v>
      </c>
    </row>
    <row r="295" s="116" customFormat="1" ht="17" customHeight="1" spans="1:41">
      <c r="A295" s="171">
        <v>291</v>
      </c>
      <c r="B295" s="179"/>
      <c r="C295" s="179"/>
      <c r="D295" s="179"/>
      <c r="E295" s="171"/>
      <c r="F295" s="171" t="s">
        <v>73</v>
      </c>
      <c r="G295" s="171"/>
      <c r="H295" s="171"/>
      <c r="I295" s="171"/>
      <c r="J295" s="171"/>
      <c r="K295" s="173" t="s">
        <v>521</v>
      </c>
      <c r="L295" s="173" t="s">
        <v>961</v>
      </c>
      <c r="M295" s="173" t="s">
        <v>120</v>
      </c>
      <c r="N295" s="174" t="s">
        <v>77</v>
      </c>
      <c r="O295" s="174" t="s">
        <v>96</v>
      </c>
      <c r="P295" s="174" t="s">
        <v>78</v>
      </c>
      <c r="Q295" s="174" t="s">
        <v>77</v>
      </c>
      <c r="R295" s="174" t="str">
        <f t="shared" si="197"/>
        <v>主要Major</v>
      </c>
      <c r="S295" s="175" t="s">
        <v>78</v>
      </c>
      <c r="T295" s="175" t="s">
        <v>523</v>
      </c>
      <c r="U295" s="175" t="s">
        <v>962</v>
      </c>
      <c r="V295" s="171" t="s">
        <v>958</v>
      </c>
      <c r="W295" s="171" t="s">
        <v>82</v>
      </c>
      <c r="X295" s="176">
        <f t="shared" si="198"/>
        <v>0</v>
      </c>
      <c r="Y295" s="171" t="s">
        <v>83</v>
      </c>
      <c r="Z295" s="176">
        <f t="shared" si="199"/>
        <v>6</v>
      </c>
      <c r="AA295" s="171" t="s">
        <v>84</v>
      </c>
      <c r="AB295" s="176">
        <f t="shared" si="200"/>
        <v>3</v>
      </c>
      <c r="AC295" s="171" t="s">
        <v>85</v>
      </c>
      <c r="AD295" s="176">
        <f t="shared" si="201"/>
        <v>4</v>
      </c>
      <c r="AE295" s="171" t="s">
        <v>86</v>
      </c>
      <c r="AF295" s="176" cm="1">
        <f t="array" ref="AF295">IF(OR(AE295="/",AE295=""),"/",IF(ISNUMBER(SEARCH("普通",AE295)),0,IF(ISNUMBER(SEARCH("专用",AE295)),4,IF(ISNUMBER(SEARCH("定制",AE295)),7,IF(ISNUMBER(SEARCH("多个定制",AE295)),9,””)))))</f>
        <v>4</v>
      </c>
      <c r="AG295" s="176">
        <f t="shared" si="202"/>
        <v>17</v>
      </c>
      <c r="AH295" s="176" t="str">
        <f t="shared" si="203"/>
        <v>中Medium</v>
      </c>
      <c r="AI295" s="176" t="s">
        <v>87</v>
      </c>
      <c r="AJ295" s="176" t="str">
        <f t="shared" si="176"/>
        <v>降低
Reucing</v>
      </c>
      <c r="AK295" s="171" t="s">
        <v>525</v>
      </c>
      <c r="AL295" s="177" t="s">
        <v>526</v>
      </c>
      <c r="AM295" s="180" t="s">
        <v>125</v>
      </c>
      <c r="AN295" s="178" t="s">
        <v>126</v>
      </c>
      <c r="AO295" s="178" t="s">
        <v>127</v>
      </c>
    </row>
    <row r="296" s="116" customFormat="1" ht="17" customHeight="1" spans="1:41">
      <c r="A296" s="171">
        <v>292</v>
      </c>
      <c r="B296" s="179"/>
      <c r="C296" s="179"/>
      <c r="D296" s="179"/>
      <c r="E296" s="171"/>
      <c r="F296" s="171" t="s">
        <v>73</v>
      </c>
      <c r="G296" s="171"/>
      <c r="H296" s="171"/>
      <c r="I296" s="171"/>
      <c r="J296" s="171"/>
      <c r="K296" s="173" t="s">
        <v>527</v>
      </c>
      <c r="L296" s="173" t="s">
        <v>963</v>
      </c>
      <c r="M296" s="173" t="s">
        <v>120</v>
      </c>
      <c r="N296" s="174" t="s">
        <v>96</v>
      </c>
      <c r="O296" s="174" t="s">
        <v>96</v>
      </c>
      <c r="P296" s="174" t="s">
        <v>78</v>
      </c>
      <c r="Q296" s="174" t="s">
        <v>77</v>
      </c>
      <c r="R296" s="174" t="str">
        <f t="shared" si="197"/>
        <v>主要Major</v>
      </c>
      <c r="S296" s="175" t="s">
        <v>78</v>
      </c>
      <c r="T296" s="175" t="s">
        <v>529</v>
      </c>
      <c r="U296" s="175" t="s">
        <v>964</v>
      </c>
      <c r="V296" s="171" t="s">
        <v>958</v>
      </c>
      <c r="W296" s="171" t="s">
        <v>111</v>
      </c>
      <c r="X296" s="176">
        <f t="shared" si="198"/>
        <v>1</v>
      </c>
      <c r="Y296" s="171" t="s">
        <v>83</v>
      </c>
      <c r="Z296" s="176">
        <f t="shared" si="199"/>
        <v>6</v>
      </c>
      <c r="AA296" s="171" t="s">
        <v>84</v>
      </c>
      <c r="AB296" s="176">
        <f t="shared" si="200"/>
        <v>3</v>
      </c>
      <c r="AC296" s="171" t="s">
        <v>85</v>
      </c>
      <c r="AD296" s="176">
        <f t="shared" si="201"/>
        <v>4</v>
      </c>
      <c r="AE296" s="171" t="s">
        <v>86</v>
      </c>
      <c r="AF296" s="176" cm="1">
        <f t="array" ref="AF296">IF(OR(AE296="/",AE296=""),"/",IF(ISNUMBER(SEARCH("普通",AE296)),0,IF(ISNUMBER(SEARCH("专用",AE296)),4,IF(ISNUMBER(SEARCH("定制",AE296)),7,IF(ISNUMBER(SEARCH("多个定制",AE296)),9,””)))))</f>
        <v>4</v>
      </c>
      <c r="AG296" s="176">
        <f t="shared" si="202"/>
        <v>18</v>
      </c>
      <c r="AH296" s="176" t="str">
        <f t="shared" si="203"/>
        <v>中Medium</v>
      </c>
      <c r="AI296" s="176" t="s">
        <v>87</v>
      </c>
      <c r="AJ296" s="176" t="str">
        <f t="shared" si="176"/>
        <v>降低
Reucing</v>
      </c>
      <c r="AK296" s="171" t="s">
        <v>531</v>
      </c>
      <c r="AL296" s="177" t="s">
        <v>532</v>
      </c>
      <c r="AM296" s="180" t="s">
        <v>134</v>
      </c>
      <c r="AN296" s="178" t="s">
        <v>135</v>
      </c>
      <c r="AO296" s="178" t="s">
        <v>136</v>
      </c>
    </row>
    <row r="297" s="116" customFormat="1" ht="17" customHeight="1" spans="1:41">
      <c r="A297" s="171">
        <v>293</v>
      </c>
      <c r="B297" s="179"/>
      <c r="C297" s="179"/>
      <c r="D297" s="179"/>
      <c r="E297" s="171"/>
      <c r="F297" s="171"/>
      <c r="G297" s="171" t="s">
        <v>73</v>
      </c>
      <c r="H297" s="171"/>
      <c r="I297" s="171"/>
      <c r="J297" s="171"/>
      <c r="K297" s="173" t="s">
        <v>533</v>
      </c>
      <c r="L297" s="173" t="s">
        <v>965</v>
      </c>
      <c r="M297" s="173" t="s">
        <v>150</v>
      </c>
      <c r="N297" s="174" t="s">
        <v>96</v>
      </c>
      <c r="O297" s="174" t="s">
        <v>96</v>
      </c>
      <c r="P297" s="174" t="s">
        <v>96</v>
      </c>
      <c r="Q297" s="174" t="s">
        <v>77</v>
      </c>
      <c r="R297" s="174" t="str">
        <f t="shared" si="197"/>
        <v>中等Medium</v>
      </c>
      <c r="S297" s="175" t="s">
        <v>96</v>
      </c>
      <c r="T297" s="175" t="s">
        <v>535</v>
      </c>
      <c r="U297" s="175" t="s">
        <v>152</v>
      </c>
      <c r="V297" s="171" t="s">
        <v>958</v>
      </c>
      <c r="W297" s="171" t="s">
        <v>82</v>
      </c>
      <c r="X297" s="176">
        <f t="shared" si="198"/>
        <v>0</v>
      </c>
      <c r="Y297" s="171" t="s">
        <v>83</v>
      </c>
      <c r="Z297" s="176">
        <f t="shared" si="199"/>
        <v>6</v>
      </c>
      <c r="AA297" s="171" t="s">
        <v>153</v>
      </c>
      <c r="AB297" s="176">
        <f t="shared" si="200"/>
        <v>0</v>
      </c>
      <c r="AC297" s="171" t="s">
        <v>85</v>
      </c>
      <c r="AD297" s="176">
        <f t="shared" si="201"/>
        <v>4</v>
      </c>
      <c r="AE297" s="171" t="s">
        <v>143</v>
      </c>
      <c r="AF297" s="176" cm="1">
        <f t="array" ref="AF297">IF(OR(AE297="/",AE297=""),"/",IF(ISNUMBER(SEARCH("普通",AE297)),0,IF(ISNUMBER(SEARCH("专用",AE297)),4,IF(ISNUMBER(SEARCH("定制",AE297)),7,IF(ISNUMBER(SEARCH("多个定制",AE297)),9,””)))))</f>
        <v>7</v>
      </c>
      <c r="AG297" s="176">
        <f t="shared" si="202"/>
        <v>17</v>
      </c>
      <c r="AH297" s="176" t="str">
        <f t="shared" si="203"/>
        <v>中Medium</v>
      </c>
      <c r="AI297" s="176" t="s">
        <v>144</v>
      </c>
      <c r="AJ297" s="176" t="str">
        <f t="shared" si="176"/>
        <v>保留
Retaining</v>
      </c>
      <c r="AK297" s="171" t="s">
        <v>145</v>
      </c>
      <c r="AL297" s="177" t="s">
        <v>145</v>
      </c>
      <c r="AM297" s="171" t="s">
        <v>145</v>
      </c>
      <c r="AN297" s="178" t="s">
        <v>280</v>
      </c>
      <c r="AO297" s="178" t="s">
        <v>281</v>
      </c>
    </row>
    <row r="298" s="116" customFormat="1" ht="17" customHeight="1" spans="1:41">
      <c r="A298" s="171">
        <v>294</v>
      </c>
      <c r="B298" s="179"/>
      <c r="C298" s="179"/>
      <c r="D298" s="179"/>
      <c r="E298" s="171"/>
      <c r="F298" s="171"/>
      <c r="G298" s="171"/>
      <c r="H298" s="171" t="s">
        <v>73</v>
      </c>
      <c r="I298" s="171"/>
      <c r="J298" s="171"/>
      <c r="K298" s="173" t="s">
        <v>536</v>
      </c>
      <c r="L298" s="173" t="s">
        <v>966</v>
      </c>
      <c r="M298" s="173" t="s">
        <v>166</v>
      </c>
      <c r="N298" s="174" t="s">
        <v>96</v>
      </c>
      <c r="O298" s="174" t="s">
        <v>96</v>
      </c>
      <c r="P298" s="174" t="s">
        <v>96</v>
      </c>
      <c r="Q298" s="174" t="s">
        <v>77</v>
      </c>
      <c r="R298" s="174" t="str">
        <f t="shared" si="197"/>
        <v>中等Medium</v>
      </c>
      <c r="S298" s="171" t="s">
        <v>96</v>
      </c>
      <c r="T298" s="175" t="s">
        <v>538</v>
      </c>
      <c r="U298" s="175" t="s">
        <v>967</v>
      </c>
      <c r="V298" s="171" t="s">
        <v>958</v>
      </c>
      <c r="W298" s="171" t="s">
        <v>82</v>
      </c>
      <c r="X298" s="176">
        <f t="shared" si="198"/>
        <v>0</v>
      </c>
      <c r="Y298" s="171" t="s">
        <v>83</v>
      </c>
      <c r="Z298" s="176">
        <f t="shared" si="199"/>
        <v>6</v>
      </c>
      <c r="AA298" s="171" t="s">
        <v>84</v>
      </c>
      <c r="AB298" s="176">
        <f t="shared" si="200"/>
        <v>3</v>
      </c>
      <c r="AC298" s="171" t="s">
        <v>85</v>
      </c>
      <c r="AD298" s="176">
        <f t="shared" si="201"/>
        <v>4</v>
      </c>
      <c r="AE298" s="171" t="s">
        <v>86</v>
      </c>
      <c r="AF298" s="176" cm="1">
        <f t="array" ref="AF298">IF(OR(AE298="/",AE298=""),"/",IF(ISNUMBER(SEARCH("普通",AE298)),0,IF(ISNUMBER(SEARCH("专用",AE298)),4,IF(ISNUMBER(SEARCH("定制",AE298)),7,IF(ISNUMBER(SEARCH("多个定制",AE298)),9,””)))))</f>
        <v>4</v>
      </c>
      <c r="AG298" s="176">
        <f t="shared" si="202"/>
        <v>17</v>
      </c>
      <c r="AH298" s="176" t="str">
        <f t="shared" si="203"/>
        <v>中Medium</v>
      </c>
      <c r="AI298" s="176" t="s">
        <v>144</v>
      </c>
      <c r="AJ298" s="176" t="str">
        <f t="shared" si="176"/>
        <v>保留
Retaining</v>
      </c>
      <c r="AK298" s="171" t="s">
        <v>145</v>
      </c>
      <c r="AL298" s="177" t="s">
        <v>145</v>
      </c>
      <c r="AM298" s="180" t="s">
        <v>316</v>
      </c>
      <c r="AN298" s="178" t="s">
        <v>317</v>
      </c>
      <c r="AO298" s="178" t="s">
        <v>318</v>
      </c>
    </row>
    <row r="299" s="116" customFormat="1" ht="17" customHeight="1" spans="1:41">
      <c r="A299" s="171">
        <v>295</v>
      </c>
      <c r="B299" s="179"/>
      <c r="C299" s="179"/>
      <c r="D299" s="179"/>
      <c r="E299" s="171"/>
      <c r="F299" s="171"/>
      <c r="G299" s="171"/>
      <c r="H299" s="171"/>
      <c r="I299" s="171" t="s">
        <v>73</v>
      </c>
      <c r="J299" s="171"/>
      <c r="K299" s="173" t="s">
        <v>540</v>
      </c>
      <c r="L299" s="173" t="s">
        <v>968</v>
      </c>
      <c r="M299" s="173" t="s">
        <v>174</v>
      </c>
      <c r="N299" s="174" t="s">
        <v>96</v>
      </c>
      <c r="O299" s="174" t="s">
        <v>96</v>
      </c>
      <c r="P299" s="174" t="s">
        <v>96</v>
      </c>
      <c r="Q299" s="174" t="s">
        <v>77</v>
      </c>
      <c r="R299" s="174" t="str">
        <f t="shared" si="197"/>
        <v>中等Medium</v>
      </c>
      <c r="S299" s="175" t="s">
        <v>96</v>
      </c>
      <c r="T299" s="175" t="s">
        <v>542</v>
      </c>
      <c r="U299" s="175" t="s">
        <v>176</v>
      </c>
      <c r="V299" s="171" t="s">
        <v>958</v>
      </c>
      <c r="W299" s="171" t="s">
        <v>82</v>
      </c>
      <c r="X299" s="176">
        <f t="shared" si="198"/>
        <v>0</v>
      </c>
      <c r="Y299" s="171" t="s">
        <v>177</v>
      </c>
      <c r="Z299" s="176">
        <f t="shared" si="199"/>
        <v>3</v>
      </c>
      <c r="AA299" s="171" t="s">
        <v>153</v>
      </c>
      <c r="AB299" s="176">
        <f t="shared" si="200"/>
        <v>0</v>
      </c>
      <c r="AC299" s="171" t="s">
        <v>85</v>
      </c>
      <c r="AD299" s="176">
        <f t="shared" si="201"/>
        <v>4</v>
      </c>
      <c r="AE299" s="171" t="s">
        <v>86</v>
      </c>
      <c r="AF299" s="176" cm="1">
        <f t="array" ref="AF299">IF(OR(AE299="/",AE299=""),"/",IF(ISNUMBER(SEARCH("普通",AE299)),0,IF(ISNUMBER(SEARCH("专用",AE299)),4,IF(ISNUMBER(SEARCH("定制",AE299)),7,IF(ISNUMBER(SEARCH("多个定制",AE299)),9,””)))))</f>
        <v>4</v>
      </c>
      <c r="AG299" s="176">
        <f t="shared" si="202"/>
        <v>11</v>
      </c>
      <c r="AH299" s="176" t="str">
        <f t="shared" si="203"/>
        <v>高High</v>
      </c>
      <c r="AI299" s="176" t="s">
        <v>87</v>
      </c>
      <c r="AJ299" s="176" t="str">
        <f t="shared" si="176"/>
        <v>降低
Reucing</v>
      </c>
      <c r="AK299" s="171" t="s">
        <v>543</v>
      </c>
      <c r="AL299" s="177" t="s">
        <v>544</v>
      </c>
      <c r="AM299" s="180" t="s">
        <v>329</v>
      </c>
      <c r="AN299" s="178" t="s">
        <v>181</v>
      </c>
      <c r="AO299" s="178" t="s">
        <v>182</v>
      </c>
    </row>
    <row r="300" s="116" customFormat="1" ht="17" customHeight="1" spans="1:41">
      <c r="A300" s="171">
        <v>296</v>
      </c>
      <c r="B300" s="181"/>
      <c r="C300" s="181"/>
      <c r="D300" s="181"/>
      <c r="E300" s="171"/>
      <c r="F300" s="171"/>
      <c r="G300" s="171"/>
      <c r="H300" s="171"/>
      <c r="I300" s="171"/>
      <c r="J300" s="171" t="s">
        <v>183</v>
      </c>
      <c r="K300" s="173" t="s">
        <v>145</v>
      </c>
      <c r="L300" s="173" t="s">
        <v>145</v>
      </c>
      <c r="M300" s="173" t="s">
        <v>145</v>
      </c>
      <c r="N300" s="174" t="s">
        <v>145</v>
      </c>
      <c r="O300" s="174" t="s">
        <v>145</v>
      </c>
      <c r="P300" s="174" t="s">
        <v>145</v>
      </c>
      <c r="Q300" s="174" t="s">
        <v>145</v>
      </c>
      <c r="R300" s="174" t="s">
        <v>145</v>
      </c>
      <c r="S300" s="175" t="s">
        <v>145</v>
      </c>
      <c r="T300" s="175" t="s">
        <v>145</v>
      </c>
      <c r="U300" s="175" t="s">
        <v>145</v>
      </c>
      <c r="V300" s="171" t="s">
        <v>145</v>
      </c>
      <c r="W300" s="171" t="s">
        <v>145</v>
      </c>
      <c r="X300" s="176" t="s">
        <v>145</v>
      </c>
      <c r="Y300" s="171" t="s">
        <v>145</v>
      </c>
      <c r="Z300" s="176" t="s">
        <v>145</v>
      </c>
      <c r="AA300" s="171" t="s">
        <v>145</v>
      </c>
      <c r="AB300" s="176" t="s">
        <v>145</v>
      </c>
      <c r="AC300" s="171" t="s">
        <v>145</v>
      </c>
      <c r="AD300" s="176" t="s">
        <v>145</v>
      </c>
      <c r="AE300" s="171" t="s">
        <v>145</v>
      </c>
      <c r="AF300" s="176" t="str" cm="1">
        <f t="array" ref="AF300">IF(OR(AE300="/",AE300=""),"/",IF(ISNUMBER(SEARCH("普通",AE300)),0,IF(ISNUMBER(SEARCH("专用",AE300)),4,IF(ISNUMBER(SEARCH("定制",AE300)),7,IF(ISNUMBER(SEARCH("多个定制",AE300)),9,””)))))</f>
        <v>/</v>
      </c>
      <c r="AG300" s="176" t="s">
        <v>145</v>
      </c>
      <c r="AH300" s="176" t="s">
        <v>145</v>
      </c>
      <c r="AI300" s="176" t="s">
        <v>145</v>
      </c>
      <c r="AJ300" s="176" t="str">
        <f t="shared" si="176"/>
        <v>/</v>
      </c>
      <c r="AK300" s="171" t="s">
        <v>145</v>
      </c>
      <c r="AL300" s="177" t="s">
        <v>145</v>
      </c>
      <c r="AM300" s="177" t="s">
        <v>145</v>
      </c>
      <c r="AN300" s="177" t="s">
        <v>145</v>
      </c>
      <c r="AO300" s="177" t="s">
        <v>145</v>
      </c>
    </row>
    <row r="301" s="116" customFormat="1" ht="17" customHeight="1" spans="1:41">
      <c r="A301" s="171">
        <v>297</v>
      </c>
      <c r="B301" s="172" t="s">
        <v>969</v>
      </c>
      <c r="C301" s="171" t="s">
        <v>71</v>
      </c>
      <c r="D301" s="173" t="s">
        <v>970</v>
      </c>
      <c r="E301" s="171" t="s">
        <v>73</v>
      </c>
      <c r="F301" s="171"/>
      <c r="G301" s="171"/>
      <c r="H301" s="171"/>
      <c r="I301" s="171"/>
      <c r="J301" s="171"/>
      <c r="K301" s="173" t="s">
        <v>509</v>
      </c>
      <c r="L301" s="173" t="s">
        <v>971</v>
      </c>
      <c r="M301" s="173" t="s">
        <v>76</v>
      </c>
      <c r="N301" s="174" t="s">
        <v>77</v>
      </c>
      <c r="O301" s="174" t="s">
        <v>77</v>
      </c>
      <c r="P301" s="174" t="s">
        <v>78</v>
      </c>
      <c r="Q301" s="174" t="s">
        <v>77</v>
      </c>
      <c r="R301" s="174" t="str">
        <f t="shared" ref="R301:R307" si="204">IF(OR(N301="严重Severe",O301="严重Severe",P301="严重Severe",Q301="严重Severe"),"严重Severe",IF(OR(N301="主要Major",O301="主要Major",P301="主要Major",Q301="主要Major"),"主要Major",IF(OR(N301="中等Medium",O301="中等Medium",P301="中等Medium",Q301="中等Medium"),"中等Medium",IF(OR(N301="可忽略不计Negligible",O301="可忽略不计Negligible",P301="可忽略不计Negligible",Q301="可忽略不计Negligible"),"可忽略不计Negligible","/"))))</f>
        <v>主要Major</v>
      </c>
      <c r="S301" s="175" t="s">
        <v>78</v>
      </c>
      <c r="T301" s="175" t="s">
        <v>511</v>
      </c>
      <c r="U301" s="175" t="s">
        <v>80</v>
      </c>
      <c r="V301" s="171" t="s">
        <v>972</v>
      </c>
      <c r="W301" s="171" t="s">
        <v>82</v>
      </c>
      <c r="X301" s="176">
        <f t="shared" ref="X301:X307" si="205">IF(OR(W301="/",W301=""),"/",IF(ISNUMBER(SEARCH("1天",W301)),0,IF(ISNUMBER(SEARCH("一周",W301)),1,IF(ISNUMBER(SEARCH("1个月",W301)),4,IF(ISNUMBER(SEARCH("超过",W301)),19,IF(ISNUMBER(SEARCH("6个月",W301)),17,""))))))</f>
        <v>0</v>
      </c>
      <c r="Y301" s="171" t="s">
        <v>83</v>
      </c>
      <c r="Z301" s="176">
        <f t="shared" ref="Z301:Z307" si="206">IF(OR(Y301="/",Y301=""),"/",IF(ISNUMBER(SEARCH("新手",Y301)),0,IF(ISNUMBER(SEARCH("熟练",Y301)),3,IF(ISNUMBER(SEARCH("多位",Y301)),17,IF(ISNUMBER(SEARCH("专家",Y301)),6,"")))))</f>
        <v>6</v>
      </c>
      <c r="AA301" s="171" t="s">
        <v>84</v>
      </c>
      <c r="AB301" s="176">
        <f t="shared" ref="AB301:AB307" si="207">IF(OR(AA301="/",AA301=""),"/",IF(ISNUMBER(SEARCH("公开",AA301)),0,IF(ISNUMBER(SEARCH("限制性信息",AA301)),3,IF(ISNUMBER(SEARCH("机密信息",AA301)),7,IF(ISNUMBER(SEARCH("严格保密",AA301)),11,"")))))</f>
        <v>3</v>
      </c>
      <c r="AC301" s="171" t="s">
        <v>85</v>
      </c>
      <c r="AD301" s="176">
        <f t="shared" ref="AD301:AD307" si="208">IF(OR(AC301="/",AC301=""),"/",IF(ISNUMBER(SEARCH("无限制",AC301)),0,IF(ISNUMBER(SEARCH("容易",AC301)),1,IF(ISNUMBER(SEARCH("一般",AC301)),4,IF(ISNUMBER(SEARCH("困难",AC301)),10,"")))))</f>
        <v>4</v>
      </c>
      <c r="AE301" s="171" t="s">
        <v>86</v>
      </c>
      <c r="AF301" s="176" cm="1">
        <f t="array" ref="AF301">IF(OR(AE301="/",AE301=""),"/",IF(ISNUMBER(SEARCH("普通",AE301)),0,IF(ISNUMBER(SEARCH("专用",AE301)),4,IF(ISNUMBER(SEARCH("定制",AE301)),7,IF(ISNUMBER(SEARCH("多个定制",AE301)),9,””)))))</f>
        <v>4</v>
      </c>
      <c r="AG301" s="176">
        <f t="shared" ref="AG301:AG307" si="209">IF(OR(X301="/",Z301="/",AB301="/",AD301="/",AF301="/"),"/",X301+Z301+AB301+AD301+AF301)</f>
        <v>17</v>
      </c>
      <c r="AH301" s="176" t="str">
        <f t="shared" ref="AH301:AH307" si="210">IF(AND(AG301&gt;=0,AG301&lt;14),"高High",IF(AND(AG301&gt;=14,AG301&lt;20),"中Medium",IF(AND(AG301&gt;=20,AG301&lt;25),"低Low",IF(AND(AG301&gt;=25,AG301&lt;57),"非常低Very low",""))))</f>
        <v>中Medium</v>
      </c>
      <c r="AI301" s="176" t="s">
        <v>87</v>
      </c>
      <c r="AJ301" s="176" t="str">
        <f t="shared" si="176"/>
        <v>降低
Reucing</v>
      </c>
      <c r="AK301" s="171" t="s">
        <v>513</v>
      </c>
      <c r="AL301" s="177" t="s">
        <v>514</v>
      </c>
      <c r="AM301" s="180" t="s">
        <v>90</v>
      </c>
      <c r="AN301" s="178" t="s">
        <v>91</v>
      </c>
      <c r="AO301" s="178" t="s">
        <v>92</v>
      </c>
    </row>
    <row r="302" s="116" customFormat="1" ht="17" customHeight="1" spans="1:41">
      <c r="A302" s="171">
        <v>298</v>
      </c>
      <c r="B302" s="179"/>
      <c r="C302" s="179"/>
      <c r="D302" s="179"/>
      <c r="E302" s="171" t="s">
        <v>73</v>
      </c>
      <c r="F302" s="171"/>
      <c r="G302" s="171"/>
      <c r="H302" s="171"/>
      <c r="I302" s="171"/>
      <c r="J302" s="171"/>
      <c r="K302" s="173" t="s">
        <v>515</v>
      </c>
      <c r="L302" s="173" t="s">
        <v>973</v>
      </c>
      <c r="M302" s="173" t="s">
        <v>106</v>
      </c>
      <c r="N302" s="174" t="s">
        <v>77</v>
      </c>
      <c r="O302" s="174" t="s">
        <v>77</v>
      </c>
      <c r="P302" s="174" t="s">
        <v>96</v>
      </c>
      <c r="Q302" s="174" t="s">
        <v>78</v>
      </c>
      <c r="R302" s="174" t="str">
        <f t="shared" si="204"/>
        <v>主要Major</v>
      </c>
      <c r="S302" s="175" t="s">
        <v>107</v>
      </c>
      <c r="T302" s="175" t="s">
        <v>517</v>
      </c>
      <c r="U302" s="175" t="s">
        <v>109</v>
      </c>
      <c r="V302" s="171" t="s">
        <v>974</v>
      </c>
      <c r="W302" s="171" t="s">
        <v>111</v>
      </c>
      <c r="X302" s="176">
        <f t="shared" si="205"/>
        <v>1</v>
      </c>
      <c r="Y302" s="171" t="s">
        <v>83</v>
      </c>
      <c r="Z302" s="176">
        <f t="shared" si="206"/>
        <v>6</v>
      </c>
      <c r="AA302" s="171" t="s">
        <v>84</v>
      </c>
      <c r="AB302" s="176">
        <f t="shared" si="207"/>
        <v>3</v>
      </c>
      <c r="AC302" s="171" t="s">
        <v>85</v>
      </c>
      <c r="AD302" s="176">
        <f t="shared" si="208"/>
        <v>4</v>
      </c>
      <c r="AE302" s="171" t="s">
        <v>143</v>
      </c>
      <c r="AF302" s="176" cm="1">
        <f t="array" ref="AF302">IF(OR(AE302="/",AE302=""),"/",IF(ISNUMBER(SEARCH("普通",AE302)),0,IF(ISNUMBER(SEARCH("专用",AE302)),4,IF(ISNUMBER(SEARCH("定制",AE302)),7,IF(ISNUMBER(SEARCH("多个定制",AE302)),9,””)))))</f>
        <v>7</v>
      </c>
      <c r="AG302" s="176">
        <f t="shared" si="209"/>
        <v>21</v>
      </c>
      <c r="AH302" s="176" t="str">
        <f t="shared" si="210"/>
        <v>低Low</v>
      </c>
      <c r="AI302" s="176" t="s">
        <v>112</v>
      </c>
      <c r="AJ302" s="176" t="str">
        <f t="shared" si="176"/>
        <v>消除
Avoiding</v>
      </c>
      <c r="AK302" s="171" t="s">
        <v>519</v>
      </c>
      <c r="AL302" s="177" t="s">
        <v>520</v>
      </c>
      <c r="AM302" s="180" t="s">
        <v>115</v>
      </c>
      <c r="AN302" s="178" t="s">
        <v>116</v>
      </c>
      <c r="AO302" s="178" t="s">
        <v>117</v>
      </c>
    </row>
    <row r="303" s="116" customFormat="1" ht="17" customHeight="1" spans="1:41">
      <c r="A303" s="171">
        <v>299</v>
      </c>
      <c r="B303" s="179"/>
      <c r="C303" s="179"/>
      <c r="D303" s="179"/>
      <c r="E303" s="171"/>
      <c r="F303" s="171" t="s">
        <v>73</v>
      </c>
      <c r="G303" s="171"/>
      <c r="H303" s="171"/>
      <c r="I303" s="171"/>
      <c r="J303" s="171"/>
      <c r="K303" s="173" t="s">
        <v>521</v>
      </c>
      <c r="L303" s="173" t="s">
        <v>975</v>
      </c>
      <c r="M303" s="173" t="s">
        <v>120</v>
      </c>
      <c r="N303" s="174" t="s">
        <v>77</v>
      </c>
      <c r="O303" s="174" t="s">
        <v>96</v>
      </c>
      <c r="P303" s="174" t="s">
        <v>78</v>
      </c>
      <c r="Q303" s="174" t="s">
        <v>77</v>
      </c>
      <c r="R303" s="174" t="str">
        <f t="shared" si="204"/>
        <v>主要Major</v>
      </c>
      <c r="S303" s="175" t="s">
        <v>78</v>
      </c>
      <c r="T303" s="175" t="s">
        <v>523</v>
      </c>
      <c r="U303" s="175" t="s">
        <v>976</v>
      </c>
      <c r="V303" s="171" t="s">
        <v>972</v>
      </c>
      <c r="W303" s="171" t="s">
        <v>82</v>
      </c>
      <c r="X303" s="176">
        <f t="shared" si="205"/>
        <v>0</v>
      </c>
      <c r="Y303" s="171" t="s">
        <v>83</v>
      </c>
      <c r="Z303" s="176">
        <f t="shared" si="206"/>
        <v>6</v>
      </c>
      <c r="AA303" s="171" t="s">
        <v>84</v>
      </c>
      <c r="AB303" s="176">
        <f t="shared" si="207"/>
        <v>3</v>
      </c>
      <c r="AC303" s="171" t="s">
        <v>85</v>
      </c>
      <c r="AD303" s="176">
        <f t="shared" si="208"/>
        <v>4</v>
      </c>
      <c r="AE303" s="171" t="s">
        <v>86</v>
      </c>
      <c r="AF303" s="176" cm="1">
        <f t="array" ref="AF303">IF(OR(AE303="/",AE303=""),"/",IF(ISNUMBER(SEARCH("普通",AE303)),0,IF(ISNUMBER(SEARCH("专用",AE303)),4,IF(ISNUMBER(SEARCH("定制",AE303)),7,IF(ISNUMBER(SEARCH("多个定制",AE303)),9,””)))))</f>
        <v>4</v>
      </c>
      <c r="AG303" s="176">
        <f t="shared" si="209"/>
        <v>17</v>
      </c>
      <c r="AH303" s="176" t="str">
        <f t="shared" si="210"/>
        <v>中Medium</v>
      </c>
      <c r="AI303" s="176" t="s">
        <v>87</v>
      </c>
      <c r="AJ303" s="176" t="str">
        <f t="shared" si="176"/>
        <v>降低
Reucing</v>
      </c>
      <c r="AK303" s="171" t="s">
        <v>525</v>
      </c>
      <c r="AL303" s="177" t="s">
        <v>526</v>
      </c>
      <c r="AM303" s="180" t="s">
        <v>125</v>
      </c>
      <c r="AN303" s="178" t="s">
        <v>126</v>
      </c>
      <c r="AO303" s="178" t="s">
        <v>127</v>
      </c>
    </row>
    <row r="304" s="116" customFormat="1" ht="17" customHeight="1" spans="1:41">
      <c r="A304" s="171">
        <v>300</v>
      </c>
      <c r="B304" s="179"/>
      <c r="C304" s="179"/>
      <c r="D304" s="179"/>
      <c r="E304" s="171"/>
      <c r="F304" s="171" t="s">
        <v>73</v>
      </c>
      <c r="G304" s="171"/>
      <c r="H304" s="171"/>
      <c r="I304" s="171"/>
      <c r="J304" s="171"/>
      <c r="K304" s="173" t="s">
        <v>527</v>
      </c>
      <c r="L304" s="173" t="s">
        <v>977</v>
      </c>
      <c r="M304" s="173" t="s">
        <v>120</v>
      </c>
      <c r="N304" s="174" t="s">
        <v>96</v>
      </c>
      <c r="O304" s="174" t="s">
        <v>96</v>
      </c>
      <c r="P304" s="174" t="s">
        <v>78</v>
      </c>
      <c r="Q304" s="174" t="s">
        <v>77</v>
      </c>
      <c r="R304" s="174" t="str">
        <f t="shared" si="204"/>
        <v>主要Major</v>
      </c>
      <c r="S304" s="175" t="s">
        <v>78</v>
      </c>
      <c r="T304" s="175" t="s">
        <v>529</v>
      </c>
      <c r="U304" s="175" t="s">
        <v>978</v>
      </c>
      <c r="V304" s="171" t="s">
        <v>972</v>
      </c>
      <c r="W304" s="171" t="s">
        <v>111</v>
      </c>
      <c r="X304" s="176">
        <f t="shared" si="205"/>
        <v>1</v>
      </c>
      <c r="Y304" s="171" t="s">
        <v>83</v>
      </c>
      <c r="Z304" s="176">
        <f t="shared" si="206"/>
        <v>6</v>
      </c>
      <c r="AA304" s="171" t="s">
        <v>84</v>
      </c>
      <c r="AB304" s="176">
        <f t="shared" si="207"/>
        <v>3</v>
      </c>
      <c r="AC304" s="171" t="s">
        <v>85</v>
      </c>
      <c r="AD304" s="176">
        <f t="shared" si="208"/>
        <v>4</v>
      </c>
      <c r="AE304" s="171" t="s">
        <v>86</v>
      </c>
      <c r="AF304" s="176" cm="1">
        <f t="array" ref="AF304">IF(OR(AE304="/",AE304=""),"/",IF(ISNUMBER(SEARCH("普通",AE304)),0,IF(ISNUMBER(SEARCH("专用",AE304)),4,IF(ISNUMBER(SEARCH("定制",AE304)),7,IF(ISNUMBER(SEARCH("多个定制",AE304)),9,””)))))</f>
        <v>4</v>
      </c>
      <c r="AG304" s="176">
        <f t="shared" si="209"/>
        <v>18</v>
      </c>
      <c r="AH304" s="176" t="str">
        <f t="shared" si="210"/>
        <v>中Medium</v>
      </c>
      <c r="AI304" s="176" t="s">
        <v>87</v>
      </c>
      <c r="AJ304" s="176" t="str">
        <f t="shared" si="176"/>
        <v>降低
Reucing</v>
      </c>
      <c r="AK304" s="171" t="s">
        <v>531</v>
      </c>
      <c r="AL304" s="177" t="s">
        <v>532</v>
      </c>
      <c r="AM304" s="180" t="s">
        <v>134</v>
      </c>
      <c r="AN304" s="178" t="s">
        <v>135</v>
      </c>
      <c r="AO304" s="178" t="s">
        <v>136</v>
      </c>
    </row>
    <row r="305" s="116" customFormat="1" ht="17" customHeight="1" spans="1:41">
      <c r="A305" s="171">
        <v>301</v>
      </c>
      <c r="B305" s="179"/>
      <c r="C305" s="179"/>
      <c r="D305" s="179"/>
      <c r="E305" s="171"/>
      <c r="F305" s="171"/>
      <c r="G305" s="171" t="s">
        <v>73</v>
      </c>
      <c r="H305" s="171"/>
      <c r="I305" s="171"/>
      <c r="J305" s="171"/>
      <c r="K305" s="173" t="s">
        <v>533</v>
      </c>
      <c r="L305" s="173" t="s">
        <v>979</v>
      </c>
      <c r="M305" s="173" t="s">
        <v>150</v>
      </c>
      <c r="N305" s="174" t="s">
        <v>96</v>
      </c>
      <c r="O305" s="174" t="s">
        <v>96</v>
      </c>
      <c r="P305" s="174" t="s">
        <v>96</v>
      </c>
      <c r="Q305" s="174" t="s">
        <v>77</v>
      </c>
      <c r="R305" s="174" t="str">
        <f t="shared" si="204"/>
        <v>中等Medium</v>
      </c>
      <c r="S305" s="175" t="s">
        <v>96</v>
      </c>
      <c r="T305" s="175" t="s">
        <v>535</v>
      </c>
      <c r="U305" s="175" t="s">
        <v>152</v>
      </c>
      <c r="V305" s="171" t="s">
        <v>972</v>
      </c>
      <c r="W305" s="171" t="s">
        <v>82</v>
      </c>
      <c r="X305" s="176">
        <f t="shared" si="205"/>
        <v>0</v>
      </c>
      <c r="Y305" s="171" t="s">
        <v>83</v>
      </c>
      <c r="Z305" s="176">
        <f t="shared" si="206"/>
        <v>6</v>
      </c>
      <c r="AA305" s="171" t="s">
        <v>153</v>
      </c>
      <c r="AB305" s="176">
        <f t="shared" si="207"/>
        <v>0</v>
      </c>
      <c r="AC305" s="171" t="s">
        <v>85</v>
      </c>
      <c r="AD305" s="176">
        <f t="shared" si="208"/>
        <v>4</v>
      </c>
      <c r="AE305" s="171" t="s">
        <v>143</v>
      </c>
      <c r="AF305" s="176" cm="1">
        <f t="array" ref="AF305">IF(OR(AE305="/",AE305=""),"/",IF(ISNUMBER(SEARCH("普通",AE305)),0,IF(ISNUMBER(SEARCH("专用",AE305)),4,IF(ISNUMBER(SEARCH("定制",AE305)),7,IF(ISNUMBER(SEARCH("多个定制",AE305)),9,””)))))</f>
        <v>7</v>
      </c>
      <c r="AG305" s="176">
        <f t="shared" si="209"/>
        <v>17</v>
      </c>
      <c r="AH305" s="176" t="str">
        <f t="shared" si="210"/>
        <v>中Medium</v>
      </c>
      <c r="AI305" s="176" t="s">
        <v>144</v>
      </c>
      <c r="AJ305" s="176" t="str">
        <f t="shared" si="176"/>
        <v>保留
Retaining</v>
      </c>
      <c r="AK305" s="171" t="s">
        <v>145</v>
      </c>
      <c r="AL305" s="177" t="s">
        <v>145</v>
      </c>
      <c r="AM305" s="171" t="s">
        <v>145</v>
      </c>
      <c r="AN305" s="178" t="s">
        <v>280</v>
      </c>
      <c r="AO305" s="178" t="s">
        <v>281</v>
      </c>
    </row>
    <row r="306" s="116" customFormat="1" ht="17" customHeight="1" spans="1:41">
      <c r="A306" s="171">
        <v>302</v>
      </c>
      <c r="B306" s="179"/>
      <c r="C306" s="179"/>
      <c r="D306" s="179"/>
      <c r="E306" s="171"/>
      <c r="F306" s="171"/>
      <c r="G306" s="171"/>
      <c r="H306" s="171" t="s">
        <v>73</v>
      </c>
      <c r="I306" s="171"/>
      <c r="J306" s="171"/>
      <c r="K306" s="173" t="s">
        <v>536</v>
      </c>
      <c r="L306" s="173" t="s">
        <v>980</v>
      </c>
      <c r="M306" s="173" t="s">
        <v>166</v>
      </c>
      <c r="N306" s="174" t="s">
        <v>96</v>
      </c>
      <c r="O306" s="174" t="s">
        <v>96</v>
      </c>
      <c r="P306" s="174" t="s">
        <v>96</v>
      </c>
      <c r="Q306" s="174" t="s">
        <v>77</v>
      </c>
      <c r="R306" s="174" t="str">
        <f t="shared" si="204"/>
        <v>中等Medium</v>
      </c>
      <c r="S306" s="171" t="s">
        <v>96</v>
      </c>
      <c r="T306" s="175" t="s">
        <v>538</v>
      </c>
      <c r="U306" s="175" t="s">
        <v>981</v>
      </c>
      <c r="V306" s="171" t="s">
        <v>972</v>
      </c>
      <c r="W306" s="171" t="s">
        <v>82</v>
      </c>
      <c r="X306" s="176">
        <f t="shared" si="205"/>
        <v>0</v>
      </c>
      <c r="Y306" s="171" t="s">
        <v>83</v>
      </c>
      <c r="Z306" s="176">
        <f t="shared" si="206"/>
        <v>6</v>
      </c>
      <c r="AA306" s="171" t="s">
        <v>84</v>
      </c>
      <c r="AB306" s="176">
        <f t="shared" si="207"/>
        <v>3</v>
      </c>
      <c r="AC306" s="171" t="s">
        <v>85</v>
      </c>
      <c r="AD306" s="176">
        <f t="shared" si="208"/>
        <v>4</v>
      </c>
      <c r="AE306" s="171" t="s">
        <v>86</v>
      </c>
      <c r="AF306" s="176" cm="1">
        <f t="array" ref="AF306">IF(OR(AE306="/",AE306=""),"/",IF(ISNUMBER(SEARCH("普通",AE306)),0,IF(ISNUMBER(SEARCH("专用",AE306)),4,IF(ISNUMBER(SEARCH("定制",AE306)),7,IF(ISNUMBER(SEARCH("多个定制",AE306)),9,””)))))</f>
        <v>4</v>
      </c>
      <c r="AG306" s="176">
        <f t="shared" si="209"/>
        <v>17</v>
      </c>
      <c r="AH306" s="176" t="str">
        <f t="shared" si="210"/>
        <v>中Medium</v>
      </c>
      <c r="AI306" s="176" t="s">
        <v>144</v>
      </c>
      <c r="AJ306" s="176" t="str">
        <f t="shared" si="176"/>
        <v>保留
Retaining</v>
      </c>
      <c r="AK306" s="171" t="s">
        <v>145</v>
      </c>
      <c r="AL306" s="177" t="s">
        <v>145</v>
      </c>
      <c r="AM306" s="180" t="s">
        <v>316</v>
      </c>
      <c r="AN306" s="178" t="s">
        <v>317</v>
      </c>
      <c r="AO306" s="178" t="s">
        <v>318</v>
      </c>
    </row>
    <row r="307" s="116" customFormat="1" ht="17" customHeight="1" spans="1:41">
      <c r="A307" s="171">
        <v>303</v>
      </c>
      <c r="B307" s="179"/>
      <c r="C307" s="179"/>
      <c r="D307" s="179"/>
      <c r="E307" s="171"/>
      <c r="F307" s="171"/>
      <c r="G307" s="171"/>
      <c r="H307" s="171"/>
      <c r="I307" s="171" t="s">
        <v>73</v>
      </c>
      <c r="J307" s="171"/>
      <c r="K307" s="173" t="s">
        <v>540</v>
      </c>
      <c r="L307" s="173" t="s">
        <v>982</v>
      </c>
      <c r="M307" s="173" t="s">
        <v>174</v>
      </c>
      <c r="N307" s="174" t="s">
        <v>96</v>
      </c>
      <c r="O307" s="174" t="s">
        <v>96</v>
      </c>
      <c r="P307" s="174" t="s">
        <v>96</v>
      </c>
      <c r="Q307" s="174" t="s">
        <v>77</v>
      </c>
      <c r="R307" s="174" t="str">
        <f t="shared" si="204"/>
        <v>中等Medium</v>
      </c>
      <c r="S307" s="175" t="s">
        <v>96</v>
      </c>
      <c r="T307" s="175" t="s">
        <v>542</v>
      </c>
      <c r="U307" s="175" t="s">
        <v>176</v>
      </c>
      <c r="V307" s="171" t="s">
        <v>972</v>
      </c>
      <c r="W307" s="171" t="s">
        <v>82</v>
      </c>
      <c r="X307" s="176">
        <f t="shared" si="205"/>
        <v>0</v>
      </c>
      <c r="Y307" s="171" t="s">
        <v>177</v>
      </c>
      <c r="Z307" s="176">
        <f t="shared" si="206"/>
        <v>3</v>
      </c>
      <c r="AA307" s="171" t="s">
        <v>153</v>
      </c>
      <c r="AB307" s="176">
        <f t="shared" si="207"/>
        <v>0</v>
      </c>
      <c r="AC307" s="171" t="s">
        <v>85</v>
      </c>
      <c r="AD307" s="176">
        <f t="shared" si="208"/>
        <v>4</v>
      </c>
      <c r="AE307" s="171" t="s">
        <v>86</v>
      </c>
      <c r="AF307" s="176" cm="1">
        <f t="array" ref="AF307">IF(OR(AE307="/",AE307=""),"/",IF(ISNUMBER(SEARCH("普通",AE307)),0,IF(ISNUMBER(SEARCH("专用",AE307)),4,IF(ISNUMBER(SEARCH("定制",AE307)),7,IF(ISNUMBER(SEARCH("多个定制",AE307)),9,””)))))</f>
        <v>4</v>
      </c>
      <c r="AG307" s="176">
        <f t="shared" si="209"/>
        <v>11</v>
      </c>
      <c r="AH307" s="176" t="str">
        <f t="shared" si="210"/>
        <v>高High</v>
      </c>
      <c r="AI307" s="176" t="s">
        <v>87</v>
      </c>
      <c r="AJ307" s="176" t="str">
        <f t="shared" si="176"/>
        <v>降低
Reucing</v>
      </c>
      <c r="AK307" s="171" t="s">
        <v>543</v>
      </c>
      <c r="AL307" s="177" t="s">
        <v>544</v>
      </c>
      <c r="AM307" s="180" t="s">
        <v>329</v>
      </c>
      <c r="AN307" s="178" t="s">
        <v>181</v>
      </c>
      <c r="AO307" s="178" t="s">
        <v>182</v>
      </c>
    </row>
    <row r="308" s="116" customFormat="1" ht="17" customHeight="1" spans="1:41">
      <c r="A308" s="171">
        <v>304</v>
      </c>
      <c r="B308" s="181"/>
      <c r="C308" s="181"/>
      <c r="D308" s="181"/>
      <c r="E308" s="171"/>
      <c r="F308" s="171"/>
      <c r="G308" s="171"/>
      <c r="H308" s="171"/>
      <c r="I308" s="171"/>
      <c r="J308" s="171" t="s">
        <v>183</v>
      </c>
      <c r="K308" s="173" t="s">
        <v>145</v>
      </c>
      <c r="L308" s="173" t="s">
        <v>145</v>
      </c>
      <c r="M308" s="173" t="s">
        <v>145</v>
      </c>
      <c r="N308" s="174" t="s">
        <v>145</v>
      </c>
      <c r="O308" s="174" t="s">
        <v>145</v>
      </c>
      <c r="P308" s="174" t="s">
        <v>145</v>
      </c>
      <c r="Q308" s="174" t="s">
        <v>145</v>
      </c>
      <c r="R308" s="174" t="s">
        <v>145</v>
      </c>
      <c r="S308" s="175" t="s">
        <v>145</v>
      </c>
      <c r="T308" s="175" t="s">
        <v>145</v>
      </c>
      <c r="U308" s="175" t="s">
        <v>145</v>
      </c>
      <c r="V308" s="171" t="s">
        <v>145</v>
      </c>
      <c r="W308" s="171" t="s">
        <v>145</v>
      </c>
      <c r="X308" s="176" t="s">
        <v>145</v>
      </c>
      <c r="Y308" s="171" t="s">
        <v>145</v>
      </c>
      <c r="Z308" s="176" t="s">
        <v>145</v>
      </c>
      <c r="AA308" s="171" t="s">
        <v>145</v>
      </c>
      <c r="AB308" s="176" t="s">
        <v>145</v>
      </c>
      <c r="AC308" s="171" t="s">
        <v>145</v>
      </c>
      <c r="AD308" s="176" t="s">
        <v>145</v>
      </c>
      <c r="AE308" s="171" t="s">
        <v>145</v>
      </c>
      <c r="AF308" s="176" t="str" cm="1">
        <f t="array" ref="AF308">IF(OR(AE308="/",AE308=""),"/",IF(ISNUMBER(SEARCH("普通",AE308)),0,IF(ISNUMBER(SEARCH("专用",AE308)),4,IF(ISNUMBER(SEARCH("定制",AE308)),7,IF(ISNUMBER(SEARCH("多个定制",AE308)),9,””)))))</f>
        <v>/</v>
      </c>
      <c r="AG308" s="176" t="s">
        <v>145</v>
      </c>
      <c r="AH308" s="176" t="s">
        <v>145</v>
      </c>
      <c r="AI308" s="176" t="s">
        <v>145</v>
      </c>
      <c r="AJ308" s="176" t="str">
        <f t="shared" si="176"/>
        <v>/</v>
      </c>
      <c r="AK308" s="171" t="s">
        <v>145</v>
      </c>
      <c r="AL308" s="177" t="s">
        <v>145</v>
      </c>
      <c r="AM308" s="177" t="s">
        <v>145</v>
      </c>
      <c r="AN308" s="177" t="s">
        <v>145</v>
      </c>
      <c r="AO308" s="177" t="s">
        <v>145</v>
      </c>
    </row>
    <row r="309" s="116" customFormat="1" ht="17" customHeight="1" spans="1:41">
      <c r="A309" s="171">
        <v>305</v>
      </c>
      <c r="B309" s="193" t="s">
        <v>983</v>
      </c>
      <c r="C309" s="194" t="s">
        <v>71</v>
      </c>
      <c r="D309" s="193" t="s">
        <v>984</v>
      </c>
      <c r="E309" s="171" t="s">
        <v>73</v>
      </c>
      <c r="F309" s="171"/>
      <c r="G309" s="171"/>
      <c r="H309" s="171"/>
      <c r="I309" s="171"/>
      <c r="J309" s="171"/>
      <c r="K309" s="173" t="s">
        <v>74</v>
      </c>
      <c r="L309" s="173" t="s">
        <v>985</v>
      </c>
      <c r="M309" s="173" t="s">
        <v>76</v>
      </c>
      <c r="N309" s="174" t="s">
        <v>77</v>
      </c>
      <c r="O309" s="174" t="s">
        <v>77</v>
      </c>
      <c r="P309" s="174" t="s">
        <v>77</v>
      </c>
      <c r="Q309" s="174" t="s">
        <v>78</v>
      </c>
      <c r="R309" s="174" t="str">
        <f t="shared" ref="R309:R318" si="211">IF(OR(N309="严重Severe",O309="严重Severe",P309="严重Severe",Q309="严重Severe"),"严重Severe",IF(OR(N309="主要Major",O309="主要Major",P309="主要Major",Q309="主要Major"),"主要Major",IF(OR(N309="中等Medium",O309="中等Medium",P309="中等Medium",Q309="中等Medium"),"中等Medium",IF(OR(N309="可忽略不计Negligible",O309="可忽略不计Negligible",P309="可忽略不计Negligible",Q309="可忽略不计Negligible"),"可忽略不计Negligible","/"))))</f>
        <v>主要Major</v>
      </c>
      <c r="S309" s="175" t="s">
        <v>78</v>
      </c>
      <c r="T309" s="175" t="s">
        <v>79</v>
      </c>
      <c r="U309" s="175" t="s">
        <v>80</v>
      </c>
      <c r="V309" s="171" t="s">
        <v>986</v>
      </c>
      <c r="W309" s="171" t="s">
        <v>82</v>
      </c>
      <c r="X309" s="176">
        <f t="shared" ref="X309:X318" si="212">IF(OR(W309="/",W309=""),"/",IF(ISNUMBER(SEARCH("1天",W309)),0,IF(ISNUMBER(SEARCH("一周",W309)),1,IF(ISNUMBER(SEARCH("1个月",W309)),4,IF(ISNUMBER(SEARCH("超过",W309)),19,IF(ISNUMBER(SEARCH("6个月",W309)),17,""))))))</f>
        <v>0</v>
      </c>
      <c r="Y309" s="171" t="s">
        <v>83</v>
      </c>
      <c r="Z309" s="176">
        <f t="shared" ref="Z309:Z318" si="213">IF(OR(Y309="/",Y309=""),"/",IF(ISNUMBER(SEARCH("新手",Y309)),0,IF(ISNUMBER(SEARCH("熟练",Y309)),3,IF(ISNUMBER(SEARCH("多位",Y309)),17,IF(ISNUMBER(SEARCH("专家",Y309)),6,"")))))</f>
        <v>6</v>
      </c>
      <c r="AA309" s="171" t="s">
        <v>84</v>
      </c>
      <c r="AB309" s="176">
        <f t="shared" ref="AB309:AB318" si="214">IF(OR(AA309="/",AA309=""),"/",IF(ISNUMBER(SEARCH("公开",AA309)),0,IF(ISNUMBER(SEARCH("限制性信息",AA309)),3,IF(ISNUMBER(SEARCH("机密信息",AA309)),7,IF(ISNUMBER(SEARCH("严格保密",AA309)),11,"")))))</f>
        <v>3</v>
      </c>
      <c r="AC309" s="171" t="s">
        <v>85</v>
      </c>
      <c r="AD309" s="176">
        <f t="shared" ref="AD309:AD318" si="215">IF(OR(AC309="/",AC309=""),"/",IF(ISNUMBER(SEARCH("无限制",AC309)),0,IF(ISNUMBER(SEARCH("容易",AC309)),1,IF(ISNUMBER(SEARCH("一般",AC309)),4,IF(ISNUMBER(SEARCH("困难",AC309)),10,"")))))</f>
        <v>4</v>
      </c>
      <c r="AE309" s="171" t="s">
        <v>86</v>
      </c>
      <c r="AF309" s="176" cm="1">
        <f t="array" ref="AF309">IF(OR(AE309="/",AE309=""),"/",IF(ISNUMBER(SEARCH("普通",AE309)),0,IF(ISNUMBER(SEARCH("专用",AE309)),4,IF(ISNUMBER(SEARCH("定制",AE309)),7,IF(ISNUMBER(SEARCH("多个定制",AE309)),9,””)))))</f>
        <v>4</v>
      </c>
      <c r="AG309" s="176">
        <f t="shared" ref="AG309:AG318" si="216">IF(OR(X309="/",Z309="/",AB309="/",AD309="/",AF309="/"),"/",X309+Z309+AB309+AD309+AF309)</f>
        <v>17</v>
      </c>
      <c r="AH309" s="176" t="str">
        <f t="shared" ref="AH309:AH318" si="217">IF(AND(AG309&gt;=0,AG309&lt;14),"高High",IF(AND(AG309&gt;=14,AG309&lt;20),"中Medium",IF(AND(AG309&gt;=20,AG309&lt;25),"低Low",IF(AND(AG309&gt;=25,AG309&lt;57),"非常低Very low",""))))</f>
        <v>中Medium</v>
      </c>
      <c r="AI309" s="176" t="s">
        <v>87</v>
      </c>
      <c r="AJ309" s="176" t="str">
        <f t="shared" si="176"/>
        <v>降低
Reucing</v>
      </c>
      <c r="AK309" s="171" t="s">
        <v>88</v>
      </c>
      <c r="AL309" s="177" t="s">
        <v>987</v>
      </c>
      <c r="AM309" s="195" t="s">
        <v>988</v>
      </c>
      <c r="AN309" s="195" t="s">
        <v>989</v>
      </c>
      <c r="AO309" s="195" t="s">
        <v>990</v>
      </c>
    </row>
    <row r="310" s="116" customFormat="1" ht="17" customHeight="1" spans="1:41">
      <c r="A310" s="171">
        <v>306</v>
      </c>
      <c r="B310" s="196"/>
      <c r="C310" s="197"/>
      <c r="D310" s="196"/>
      <c r="E310" s="171" t="s">
        <v>73</v>
      </c>
      <c r="F310" s="171"/>
      <c r="G310" s="171"/>
      <c r="H310" s="171"/>
      <c r="I310" s="171"/>
      <c r="J310" s="171"/>
      <c r="K310" s="173" t="s">
        <v>93</v>
      </c>
      <c r="L310" s="173" t="s">
        <v>991</v>
      </c>
      <c r="M310" s="173" t="s">
        <v>95</v>
      </c>
      <c r="N310" s="174" t="s">
        <v>77</v>
      </c>
      <c r="O310" s="174" t="s">
        <v>96</v>
      </c>
      <c r="P310" s="174" t="s">
        <v>77</v>
      </c>
      <c r="Q310" s="174" t="s">
        <v>78</v>
      </c>
      <c r="R310" s="174" t="str">
        <f t="shared" si="211"/>
        <v>主要Major</v>
      </c>
      <c r="S310" s="175" t="s">
        <v>78</v>
      </c>
      <c r="T310" s="175" t="s">
        <v>97</v>
      </c>
      <c r="U310" s="175" t="s">
        <v>992</v>
      </c>
      <c r="V310" s="171" t="s">
        <v>986</v>
      </c>
      <c r="W310" s="171" t="s">
        <v>82</v>
      </c>
      <c r="X310" s="176">
        <f t="shared" si="212"/>
        <v>0</v>
      </c>
      <c r="Y310" s="171" t="s">
        <v>83</v>
      </c>
      <c r="Z310" s="176">
        <f t="shared" si="213"/>
        <v>6</v>
      </c>
      <c r="AA310" s="171" t="s">
        <v>84</v>
      </c>
      <c r="AB310" s="176">
        <f t="shared" si="214"/>
        <v>3</v>
      </c>
      <c r="AC310" s="171" t="s">
        <v>85</v>
      </c>
      <c r="AD310" s="176">
        <f t="shared" si="215"/>
        <v>4</v>
      </c>
      <c r="AE310" s="171" t="s">
        <v>86</v>
      </c>
      <c r="AF310" s="176" cm="1">
        <f t="array" ref="AF310">IF(OR(AE310="/",AE310=""),"/",IF(ISNUMBER(SEARCH("普通",AE310)),0,IF(ISNUMBER(SEARCH("专用",AE310)),4,IF(ISNUMBER(SEARCH("定制",AE310)),7,IF(ISNUMBER(SEARCH("多个定制",AE310)),9,””)))))</f>
        <v>4</v>
      </c>
      <c r="AG310" s="176">
        <f t="shared" si="216"/>
        <v>17</v>
      </c>
      <c r="AH310" s="176" t="str">
        <f t="shared" si="217"/>
        <v>中Medium</v>
      </c>
      <c r="AI310" s="176" t="s">
        <v>87</v>
      </c>
      <c r="AJ310" s="176" t="str">
        <f t="shared" si="176"/>
        <v>降低
Reucing</v>
      </c>
      <c r="AK310" s="171" t="s">
        <v>99</v>
      </c>
      <c r="AL310" s="177" t="s">
        <v>993</v>
      </c>
      <c r="AM310" s="195">
        <v>11.4</v>
      </c>
      <c r="AN310" s="195" t="s">
        <v>102</v>
      </c>
      <c r="AO310" s="195" t="s">
        <v>103</v>
      </c>
    </row>
    <row r="311" s="116" customFormat="1" ht="17" customHeight="1" spans="1:41">
      <c r="A311" s="171">
        <v>307</v>
      </c>
      <c r="B311" s="196"/>
      <c r="C311" s="197"/>
      <c r="D311" s="196"/>
      <c r="E311" s="171" t="s">
        <v>73</v>
      </c>
      <c r="F311" s="171"/>
      <c r="G311" s="171"/>
      <c r="H311" s="171"/>
      <c r="I311" s="171"/>
      <c r="J311" s="171"/>
      <c r="K311" s="173" t="s">
        <v>104</v>
      </c>
      <c r="L311" s="173" t="s">
        <v>994</v>
      </c>
      <c r="M311" s="173" t="s">
        <v>106</v>
      </c>
      <c r="N311" s="174" t="s">
        <v>77</v>
      </c>
      <c r="O311" s="174" t="s">
        <v>77</v>
      </c>
      <c r="P311" s="174" t="s">
        <v>78</v>
      </c>
      <c r="Q311" s="174" t="s">
        <v>77</v>
      </c>
      <c r="R311" s="174" t="str">
        <f t="shared" si="211"/>
        <v>主要Major</v>
      </c>
      <c r="S311" s="175" t="s">
        <v>78</v>
      </c>
      <c r="T311" s="175" t="s">
        <v>108</v>
      </c>
      <c r="U311" s="175" t="s">
        <v>109</v>
      </c>
      <c r="V311" s="171" t="s">
        <v>995</v>
      </c>
      <c r="W311" s="171" t="s">
        <v>111</v>
      </c>
      <c r="X311" s="176">
        <f t="shared" si="212"/>
        <v>1</v>
      </c>
      <c r="Y311" s="171" t="s">
        <v>83</v>
      </c>
      <c r="Z311" s="176">
        <f t="shared" si="213"/>
        <v>6</v>
      </c>
      <c r="AA311" s="171" t="s">
        <v>84</v>
      </c>
      <c r="AB311" s="176">
        <f t="shared" si="214"/>
        <v>3</v>
      </c>
      <c r="AC311" s="171" t="s">
        <v>85</v>
      </c>
      <c r="AD311" s="176">
        <f t="shared" si="215"/>
        <v>4</v>
      </c>
      <c r="AE311" s="171" t="s">
        <v>86</v>
      </c>
      <c r="AF311" s="176" cm="1">
        <f t="array" ref="AF311">IF(OR(AE311="/",AE311=""),"/",IF(ISNUMBER(SEARCH("普通",AE311)),0,IF(ISNUMBER(SEARCH("专用",AE311)),4,IF(ISNUMBER(SEARCH("定制",AE311)),7,IF(ISNUMBER(SEARCH("多个定制",AE311)),9,””)))))</f>
        <v>4</v>
      </c>
      <c r="AG311" s="176">
        <f t="shared" si="216"/>
        <v>18</v>
      </c>
      <c r="AH311" s="176" t="str">
        <f t="shared" si="217"/>
        <v>中Medium</v>
      </c>
      <c r="AI311" s="176" t="s">
        <v>112</v>
      </c>
      <c r="AJ311" s="176" t="str">
        <f t="shared" si="176"/>
        <v>消除
Avoiding</v>
      </c>
      <c r="AK311" s="171" t="s">
        <v>113</v>
      </c>
      <c r="AL311" s="177" t="s">
        <v>996</v>
      </c>
      <c r="AM311" s="195" t="s">
        <v>997</v>
      </c>
      <c r="AN311" s="195" t="s">
        <v>998</v>
      </c>
      <c r="AO311" s="195" t="s">
        <v>999</v>
      </c>
    </row>
    <row r="312" s="116" customFormat="1" ht="17" customHeight="1" spans="1:41">
      <c r="A312" s="171">
        <v>308</v>
      </c>
      <c r="B312" s="196"/>
      <c r="C312" s="197"/>
      <c r="D312" s="196"/>
      <c r="E312" s="171"/>
      <c r="F312" s="171" t="s">
        <v>73</v>
      </c>
      <c r="G312" s="171"/>
      <c r="H312" s="171"/>
      <c r="I312" s="171"/>
      <c r="J312" s="171"/>
      <c r="K312" s="173" t="s">
        <v>118</v>
      </c>
      <c r="L312" s="173" t="s">
        <v>1000</v>
      </c>
      <c r="M312" s="173" t="s">
        <v>120</v>
      </c>
      <c r="N312" s="174" t="s">
        <v>96</v>
      </c>
      <c r="O312" s="174" t="s">
        <v>77</v>
      </c>
      <c r="P312" s="174" t="s">
        <v>78</v>
      </c>
      <c r="Q312" s="174" t="s">
        <v>77</v>
      </c>
      <c r="R312" s="174" t="str">
        <f t="shared" si="211"/>
        <v>主要Major</v>
      </c>
      <c r="S312" s="175" t="s">
        <v>78</v>
      </c>
      <c r="T312" s="175" t="s">
        <v>121</v>
      </c>
      <c r="U312" s="175" t="s">
        <v>1001</v>
      </c>
      <c r="V312" s="171" t="s">
        <v>986</v>
      </c>
      <c r="W312" s="171" t="s">
        <v>82</v>
      </c>
      <c r="X312" s="176">
        <f t="shared" si="212"/>
        <v>0</v>
      </c>
      <c r="Y312" s="171" t="s">
        <v>83</v>
      </c>
      <c r="Z312" s="176">
        <f t="shared" si="213"/>
        <v>6</v>
      </c>
      <c r="AA312" s="171" t="s">
        <v>84</v>
      </c>
      <c r="AB312" s="176">
        <f t="shared" si="214"/>
        <v>3</v>
      </c>
      <c r="AC312" s="171" t="s">
        <v>85</v>
      </c>
      <c r="AD312" s="176">
        <f t="shared" si="215"/>
        <v>4</v>
      </c>
      <c r="AE312" s="171" t="s">
        <v>86</v>
      </c>
      <c r="AF312" s="176" cm="1">
        <f t="array" ref="AF312">IF(OR(AE312="/",AE312=""),"/",IF(ISNUMBER(SEARCH("普通",AE312)),0,IF(ISNUMBER(SEARCH("专用",AE312)),4,IF(ISNUMBER(SEARCH("定制",AE312)),7,IF(ISNUMBER(SEARCH("多个定制",AE312)),9,””)))))</f>
        <v>4</v>
      </c>
      <c r="AG312" s="176">
        <f t="shared" si="216"/>
        <v>17</v>
      </c>
      <c r="AH312" s="176" t="str">
        <f t="shared" si="217"/>
        <v>中Medium</v>
      </c>
      <c r="AI312" s="176" t="s">
        <v>87</v>
      </c>
      <c r="AJ312" s="176" t="str">
        <f t="shared" si="176"/>
        <v>降低
Reucing</v>
      </c>
      <c r="AK312" s="171" t="s">
        <v>123</v>
      </c>
      <c r="AL312" s="123" t="s">
        <v>1002</v>
      </c>
      <c r="AM312" s="195" t="s">
        <v>1003</v>
      </c>
      <c r="AN312" s="195" t="s">
        <v>1004</v>
      </c>
      <c r="AO312" s="195" t="s">
        <v>127</v>
      </c>
    </row>
    <row r="313" s="116" customFormat="1" ht="17" customHeight="1" spans="1:41">
      <c r="A313" s="171">
        <v>309</v>
      </c>
      <c r="B313" s="196"/>
      <c r="C313" s="197"/>
      <c r="D313" s="196"/>
      <c r="E313" s="171"/>
      <c r="F313" s="171" t="s">
        <v>73</v>
      </c>
      <c r="G313" s="171"/>
      <c r="H313" s="171"/>
      <c r="I313" s="171"/>
      <c r="J313" s="171"/>
      <c r="K313" s="173" t="s">
        <v>128</v>
      </c>
      <c r="L313" s="173" t="s">
        <v>1005</v>
      </c>
      <c r="M313" s="173" t="s">
        <v>120</v>
      </c>
      <c r="N313" s="174" t="s">
        <v>96</v>
      </c>
      <c r="O313" s="174" t="s">
        <v>96</v>
      </c>
      <c r="P313" s="174" t="s">
        <v>78</v>
      </c>
      <c r="Q313" s="174" t="s">
        <v>77</v>
      </c>
      <c r="R313" s="174" t="str">
        <f t="shared" si="211"/>
        <v>主要Major</v>
      </c>
      <c r="S313" s="175" t="s">
        <v>78</v>
      </c>
      <c r="T313" s="175" t="s">
        <v>130</v>
      </c>
      <c r="U313" s="175" t="s">
        <v>1006</v>
      </c>
      <c r="V313" s="171" t="s">
        <v>986</v>
      </c>
      <c r="W313" s="171" t="s">
        <v>111</v>
      </c>
      <c r="X313" s="176">
        <f t="shared" si="212"/>
        <v>1</v>
      </c>
      <c r="Y313" s="171" t="s">
        <v>83</v>
      </c>
      <c r="Z313" s="176">
        <f t="shared" si="213"/>
        <v>6</v>
      </c>
      <c r="AA313" s="171" t="s">
        <v>84</v>
      </c>
      <c r="AB313" s="176">
        <f t="shared" si="214"/>
        <v>3</v>
      </c>
      <c r="AC313" s="171" t="s">
        <v>85</v>
      </c>
      <c r="AD313" s="176">
        <f t="shared" si="215"/>
        <v>4</v>
      </c>
      <c r="AE313" s="171" t="s">
        <v>86</v>
      </c>
      <c r="AF313" s="176" cm="1">
        <f t="array" ref="AF313">IF(OR(AE313="/",AE313=""),"/",IF(ISNUMBER(SEARCH("普通",AE313)),0,IF(ISNUMBER(SEARCH("专用",AE313)),4,IF(ISNUMBER(SEARCH("定制",AE313)),7,IF(ISNUMBER(SEARCH("多个定制",AE313)),9,””)))))</f>
        <v>4</v>
      </c>
      <c r="AG313" s="176">
        <f t="shared" si="216"/>
        <v>18</v>
      </c>
      <c r="AH313" s="176" t="str">
        <f t="shared" si="217"/>
        <v>中Medium</v>
      </c>
      <c r="AI313" s="176" t="s">
        <v>87</v>
      </c>
      <c r="AJ313" s="176" t="str">
        <f t="shared" si="176"/>
        <v>降低
Reucing</v>
      </c>
      <c r="AK313" s="171" t="s">
        <v>132</v>
      </c>
      <c r="AL313" s="177" t="s">
        <v>1007</v>
      </c>
      <c r="AM313" s="195" t="s">
        <v>1008</v>
      </c>
      <c r="AN313" s="195" t="s">
        <v>135</v>
      </c>
      <c r="AO313" s="195" t="s">
        <v>1009</v>
      </c>
    </row>
    <row r="314" s="116" customFormat="1" ht="17" customHeight="1" spans="1:41">
      <c r="A314" s="171">
        <v>310</v>
      </c>
      <c r="B314" s="196"/>
      <c r="C314" s="197"/>
      <c r="D314" s="196"/>
      <c r="E314" s="171"/>
      <c r="F314" s="171"/>
      <c r="G314" s="171" t="s">
        <v>73</v>
      </c>
      <c r="H314" s="171"/>
      <c r="I314" s="171"/>
      <c r="J314" s="171"/>
      <c r="K314" s="173" t="s">
        <v>137</v>
      </c>
      <c r="L314" s="173" t="s">
        <v>1010</v>
      </c>
      <c r="M314" s="173" t="s">
        <v>139</v>
      </c>
      <c r="N314" s="174" t="s">
        <v>78</v>
      </c>
      <c r="O314" s="174" t="s">
        <v>96</v>
      </c>
      <c r="P314" s="174" t="s">
        <v>78</v>
      </c>
      <c r="Q314" s="174" t="s">
        <v>77</v>
      </c>
      <c r="R314" s="174" t="str">
        <f t="shared" si="211"/>
        <v>主要Major</v>
      </c>
      <c r="S314" s="175" t="s">
        <v>78</v>
      </c>
      <c r="T314" s="175" t="s">
        <v>140</v>
      </c>
      <c r="U314" s="175" t="s">
        <v>141</v>
      </c>
      <c r="V314" s="171" t="s">
        <v>986</v>
      </c>
      <c r="W314" s="171" t="s">
        <v>142</v>
      </c>
      <c r="X314" s="176">
        <f t="shared" si="212"/>
        <v>4</v>
      </c>
      <c r="Y314" s="171" t="s">
        <v>83</v>
      </c>
      <c r="Z314" s="176">
        <f t="shared" si="213"/>
        <v>6</v>
      </c>
      <c r="AA314" s="171" t="s">
        <v>84</v>
      </c>
      <c r="AB314" s="176">
        <f t="shared" si="214"/>
        <v>3</v>
      </c>
      <c r="AC314" s="171" t="s">
        <v>85</v>
      </c>
      <c r="AD314" s="176">
        <f t="shared" si="215"/>
        <v>4</v>
      </c>
      <c r="AE314" s="171" t="s">
        <v>143</v>
      </c>
      <c r="AF314" s="176" cm="1">
        <f t="array" ref="AF314">IF(OR(AE314="/",AE314=""),"/",IF(ISNUMBER(SEARCH("普通",AE314)),0,IF(ISNUMBER(SEARCH("专用",AE314)),4,IF(ISNUMBER(SEARCH("定制",AE314)),7,IF(ISNUMBER(SEARCH("多个定制",AE314)),9,””)))))</f>
        <v>7</v>
      </c>
      <c r="AG314" s="176">
        <f t="shared" si="216"/>
        <v>24</v>
      </c>
      <c r="AH314" s="176" t="str">
        <f t="shared" si="217"/>
        <v>低Low</v>
      </c>
      <c r="AI314" s="176" t="s">
        <v>144</v>
      </c>
      <c r="AJ314" s="176" t="str">
        <f t="shared" si="176"/>
        <v>保留
Retaining</v>
      </c>
      <c r="AK314" s="171" t="s">
        <v>145</v>
      </c>
      <c r="AL314" s="177" t="s">
        <v>145</v>
      </c>
      <c r="AM314" s="171" t="s">
        <v>145</v>
      </c>
      <c r="AN314" s="195" t="s">
        <v>1011</v>
      </c>
      <c r="AO314" s="195" t="s">
        <v>1012</v>
      </c>
    </row>
    <row r="315" s="116" customFormat="1" ht="17" customHeight="1" spans="1:41">
      <c r="A315" s="171">
        <v>311</v>
      </c>
      <c r="B315" s="196"/>
      <c r="C315" s="197"/>
      <c r="D315" s="196"/>
      <c r="E315" s="171"/>
      <c r="F315" s="171"/>
      <c r="G315" s="171" t="s">
        <v>73</v>
      </c>
      <c r="H315" s="171"/>
      <c r="I315" s="171"/>
      <c r="J315" s="171"/>
      <c r="K315" s="173" t="s">
        <v>148</v>
      </c>
      <c r="L315" s="173" t="s">
        <v>1013</v>
      </c>
      <c r="M315" s="173" t="s">
        <v>150</v>
      </c>
      <c r="N315" s="174" t="s">
        <v>96</v>
      </c>
      <c r="O315" s="174" t="s">
        <v>77</v>
      </c>
      <c r="P315" s="174" t="s">
        <v>96</v>
      </c>
      <c r="Q315" s="174" t="s">
        <v>77</v>
      </c>
      <c r="R315" s="174" t="str">
        <f t="shared" si="211"/>
        <v>中等Medium</v>
      </c>
      <c r="S315" s="175" t="s">
        <v>96</v>
      </c>
      <c r="T315" s="175" t="s">
        <v>151</v>
      </c>
      <c r="U315" s="175" t="s">
        <v>152</v>
      </c>
      <c r="V315" s="171" t="s">
        <v>986</v>
      </c>
      <c r="W315" s="171" t="s">
        <v>111</v>
      </c>
      <c r="X315" s="176">
        <f t="shared" si="212"/>
        <v>1</v>
      </c>
      <c r="Y315" s="171" t="s">
        <v>83</v>
      </c>
      <c r="Z315" s="176">
        <f t="shared" si="213"/>
        <v>6</v>
      </c>
      <c r="AA315" s="171" t="s">
        <v>153</v>
      </c>
      <c r="AB315" s="176">
        <f t="shared" si="214"/>
        <v>0</v>
      </c>
      <c r="AC315" s="171" t="s">
        <v>85</v>
      </c>
      <c r="AD315" s="176">
        <f t="shared" si="215"/>
        <v>4</v>
      </c>
      <c r="AE315" s="171" t="s">
        <v>143</v>
      </c>
      <c r="AF315" s="176" cm="1">
        <f t="array" ref="AF315">IF(OR(AE315="/",AE315=""),"/",IF(ISNUMBER(SEARCH("普通",AE315)),0,IF(ISNUMBER(SEARCH("专用",AE315)),4,IF(ISNUMBER(SEARCH("定制",AE315)),7,IF(ISNUMBER(SEARCH("多个定制",AE315)),9,””)))))</f>
        <v>7</v>
      </c>
      <c r="AG315" s="176">
        <f t="shared" si="216"/>
        <v>18</v>
      </c>
      <c r="AH315" s="176" t="str">
        <f t="shared" si="217"/>
        <v>中Medium</v>
      </c>
      <c r="AI315" s="176" t="s">
        <v>144</v>
      </c>
      <c r="AJ315" s="176" t="str">
        <f t="shared" si="176"/>
        <v>保留
Retaining</v>
      </c>
      <c r="AK315" s="171" t="s">
        <v>145</v>
      </c>
      <c r="AL315" s="177" t="s">
        <v>145</v>
      </c>
      <c r="AM315" s="171" t="s">
        <v>145</v>
      </c>
      <c r="AN315" s="195" t="s">
        <v>1014</v>
      </c>
      <c r="AO315" s="195" t="s">
        <v>1015</v>
      </c>
    </row>
    <row r="316" s="116" customFormat="1" ht="17" customHeight="1" spans="1:41">
      <c r="A316" s="171">
        <v>312</v>
      </c>
      <c r="B316" s="196"/>
      <c r="C316" s="197"/>
      <c r="D316" s="196"/>
      <c r="E316" s="171"/>
      <c r="F316" s="171"/>
      <c r="G316" s="171" t="s">
        <v>73</v>
      </c>
      <c r="H316" s="171"/>
      <c r="I316" s="171"/>
      <c r="J316" s="171"/>
      <c r="K316" s="173" t="s">
        <v>156</v>
      </c>
      <c r="L316" s="173" t="s">
        <v>1016</v>
      </c>
      <c r="M316" s="173" t="s">
        <v>139</v>
      </c>
      <c r="N316" s="174" t="s">
        <v>78</v>
      </c>
      <c r="O316" s="174" t="s">
        <v>96</v>
      </c>
      <c r="P316" s="174" t="s">
        <v>78</v>
      </c>
      <c r="Q316" s="174" t="s">
        <v>77</v>
      </c>
      <c r="R316" s="174" t="str">
        <f t="shared" si="211"/>
        <v>主要Major</v>
      </c>
      <c r="S316" s="175" t="s">
        <v>78</v>
      </c>
      <c r="T316" s="175" t="s">
        <v>158</v>
      </c>
      <c r="U316" s="175" t="s">
        <v>1017</v>
      </c>
      <c r="V316" s="171" t="s">
        <v>1018</v>
      </c>
      <c r="W316" s="171" t="s">
        <v>82</v>
      </c>
      <c r="X316" s="176">
        <f t="shared" si="212"/>
        <v>0</v>
      </c>
      <c r="Y316" s="171" t="s">
        <v>83</v>
      </c>
      <c r="Z316" s="176">
        <f t="shared" si="213"/>
        <v>6</v>
      </c>
      <c r="AA316" s="171" t="s">
        <v>84</v>
      </c>
      <c r="AB316" s="176">
        <f t="shared" si="214"/>
        <v>3</v>
      </c>
      <c r="AC316" s="171" t="s">
        <v>85</v>
      </c>
      <c r="AD316" s="176">
        <f t="shared" si="215"/>
        <v>4</v>
      </c>
      <c r="AE316" s="171" t="s">
        <v>86</v>
      </c>
      <c r="AF316" s="176" cm="1">
        <f t="array" ref="AF316">IF(OR(AE316="/",AE316=""),"/",IF(ISNUMBER(SEARCH("普通",AE316)),0,IF(ISNUMBER(SEARCH("专用",AE316)),4,IF(ISNUMBER(SEARCH("定制",AE316)),7,IF(ISNUMBER(SEARCH("多个定制",AE316)),9,””)))))</f>
        <v>4</v>
      </c>
      <c r="AG316" s="176">
        <f t="shared" si="216"/>
        <v>17</v>
      </c>
      <c r="AH316" s="176" t="str">
        <f t="shared" si="217"/>
        <v>中Medium</v>
      </c>
      <c r="AI316" s="176" t="s">
        <v>87</v>
      </c>
      <c r="AJ316" s="176" t="str">
        <f t="shared" si="176"/>
        <v>降低
Reucing</v>
      </c>
      <c r="AK316" s="171" t="s">
        <v>1019</v>
      </c>
      <c r="AL316" s="177" t="s">
        <v>1020</v>
      </c>
      <c r="AM316" s="195" t="s">
        <v>1021</v>
      </c>
      <c r="AN316" s="195" t="s">
        <v>1022</v>
      </c>
      <c r="AO316" s="195" t="s">
        <v>1023</v>
      </c>
    </row>
    <row r="317" s="116" customFormat="1" ht="17" customHeight="1" spans="1:41">
      <c r="A317" s="171">
        <v>313</v>
      </c>
      <c r="B317" s="196"/>
      <c r="C317" s="197"/>
      <c r="D317" s="196"/>
      <c r="E317" s="171"/>
      <c r="F317" s="171"/>
      <c r="G317" s="171"/>
      <c r="H317" s="171" t="s">
        <v>73</v>
      </c>
      <c r="I317" s="171"/>
      <c r="J317" s="171"/>
      <c r="K317" s="173" t="s">
        <v>164</v>
      </c>
      <c r="L317" s="173" t="s">
        <v>1024</v>
      </c>
      <c r="M317" s="173" t="s">
        <v>166</v>
      </c>
      <c r="N317" s="174" t="s">
        <v>78</v>
      </c>
      <c r="O317" s="174" t="s">
        <v>96</v>
      </c>
      <c r="P317" s="174" t="s">
        <v>78</v>
      </c>
      <c r="Q317" s="174" t="s">
        <v>96</v>
      </c>
      <c r="R317" s="174" t="str">
        <f t="shared" si="211"/>
        <v>主要Major</v>
      </c>
      <c r="S317" s="175" t="s">
        <v>78</v>
      </c>
      <c r="T317" s="175" t="s">
        <v>167</v>
      </c>
      <c r="U317" s="175" t="s">
        <v>1025</v>
      </c>
      <c r="V317" s="171" t="s">
        <v>986</v>
      </c>
      <c r="W317" s="171" t="s">
        <v>82</v>
      </c>
      <c r="X317" s="176">
        <f t="shared" si="212"/>
        <v>0</v>
      </c>
      <c r="Y317" s="171" t="s">
        <v>83</v>
      </c>
      <c r="Z317" s="176">
        <f t="shared" si="213"/>
        <v>6</v>
      </c>
      <c r="AA317" s="171" t="s">
        <v>84</v>
      </c>
      <c r="AB317" s="176">
        <f t="shared" si="214"/>
        <v>3</v>
      </c>
      <c r="AC317" s="171" t="s">
        <v>85</v>
      </c>
      <c r="AD317" s="176">
        <f t="shared" si="215"/>
        <v>4</v>
      </c>
      <c r="AE317" s="171" t="s">
        <v>86</v>
      </c>
      <c r="AF317" s="176" cm="1">
        <f t="array" ref="AF317">IF(OR(AE317="/",AE317=""),"/",IF(ISNUMBER(SEARCH("普通",AE317)),0,IF(ISNUMBER(SEARCH("专用",AE317)),4,IF(ISNUMBER(SEARCH("定制",AE317)),7,IF(ISNUMBER(SEARCH("多个定制",AE317)),9,””)))))</f>
        <v>4</v>
      </c>
      <c r="AG317" s="176">
        <f t="shared" si="216"/>
        <v>17</v>
      </c>
      <c r="AH317" s="176" t="str">
        <f t="shared" si="217"/>
        <v>中Medium</v>
      </c>
      <c r="AI317" s="176" t="s">
        <v>87</v>
      </c>
      <c r="AJ317" s="176" t="str">
        <f t="shared" si="176"/>
        <v>降低
Reucing</v>
      </c>
      <c r="AK317" s="171" t="s">
        <v>1026</v>
      </c>
      <c r="AL317" s="177" t="s">
        <v>1027</v>
      </c>
      <c r="AM317" s="195" t="s">
        <v>1028</v>
      </c>
      <c r="AN317" s="195" t="s">
        <v>1029</v>
      </c>
      <c r="AO317" s="195" t="s">
        <v>1030</v>
      </c>
    </row>
    <row r="318" s="116" customFormat="1" ht="17" customHeight="1" spans="1:41">
      <c r="A318" s="171">
        <v>314</v>
      </c>
      <c r="B318" s="196"/>
      <c r="C318" s="197"/>
      <c r="D318" s="196"/>
      <c r="E318" s="171"/>
      <c r="F318" s="171"/>
      <c r="G318" s="171"/>
      <c r="H318" s="171"/>
      <c r="I318" s="171" t="s">
        <v>73</v>
      </c>
      <c r="J318" s="171"/>
      <c r="K318" s="173" t="s">
        <v>172</v>
      </c>
      <c r="L318" s="173" t="s">
        <v>1031</v>
      </c>
      <c r="M318" s="173" t="s">
        <v>174</v>
      </c>
      <c r="N318" s="174" t="s">
        <v>96</v>
      </c>
      <c r="O318" s="174" t="s">
        <v>96</v>
      </c>
      <c r="P318" s="174" t="s">
        <v>96</v>
      </c>
      <c r="Q318" s="174" t="s">
        <v>77</v>
      </c>
      <c r="R318" s="174" t="str">
        <f t="shared" si="211"/>
        <v>中等Medium</v>
      </c>
      <c r="S318" s="175" t="s">
        <v>96</v>
      </c>
      <c r="T318" s="175" t="s">
        <v>175</v>
      </c>
      <c r="U318" s="175" t="s">
        <v>176</v>
      </c>
      <c r="V318" s="171" t="s">
        <v>986</v>
      </c>
      <c r="W318" s="171" t="s">
        <v>82</v>
      </c>
      <c r="X318" s="176">
        <f t="shared" si="212"/>
        <v>0</v>
      </c>
      <c r="Y318" s="171" t="s">
        <v>177</v>
      </c>
      <c r="Z318" s="176">
        <f t="shared" si="213"/>
        <v>3</v>
      </c>
      <c r="AA318" s="171" t="s">
        <v>153</v>
      </c>
      <c r="AB318" s="176">
        <f t="shared" si="214"/>
        <v>0</v>
      </c>
      <c r="AC318" s="171" t="s">
        <v>85</v>
      </c>
      <c r="AD318" s="176">
        <f t="shared" si="215"/>
        <v>4</v>
      </c>
      <c r="AE318" s="171" t="s">
        <v>86</v>
      </c>
      <c r="AF318" s="176" cm="1">
        <f t="array" ref="AF318">IF(OR(AE318="/",AE318=""),"/",IF(ISNUMBER(SEARCH("普通",AE318)),0,IF(ISNUMBER(SEARCH("专用",AE318)),4,IF(ISNUMBER(SEARCH("定制",AE318)),7,IF(ISNUMBER(SEARCH("多个定制",AE318)),9,””)))))</f>
        <v>4</v>
      </c>
      <c r="AG318" s="176">
        <f t="shared" si="216"/>
        <v>11</v>
      </c>
      <c r="AH318" s="176" t="str">
        <f t="shared" si="217"/>
        <v>高High</v>
      </c>
      <c r="AI318" s="176" t="s">
        <v>87</v>
      </c>
      <c r="AJ318" s="176" t="str">
        <f t="shared" si="176"/>
        <v>降低
Reucing</v>
      </c>
      <c r="AK318" s="171" t="s">
        <v>178</v>
      </c>
      <c r="AL318" s="177" t="s">
        <v>1032</v>
      </c>
      <c r="AM318" s="195" t="s">
        <v>1033</v>
      </c>
      <c r="AN318" s="195" t="s">
        <v>1034</v>
      </c>
      <c r="AO318" s="195" t="s">
        <v>1035</v>
      </c>
    </row>
    <row r="319" s="116" customFormat="1" ht="17" customHeight="1" spans="1:41">
      <c r="A319" s="171">
        <v>315</v>
      </c>
      <c r="B319" s="198"/>
      <c r="C319" s="199"/>
      <c r="D319" s="198"/>
      <c r="E319" s="171"/>
      <c r="F319" s="171"/>
      <c r="G319" s="171"/>
      <c r="H319" s="171"/>
      <c r="I319" s="171"/>
      <c r="J319" s="171" t="s">
        <v>183</v>
      </c>
      <c r="K319" s="173" t="s">
        <v>145</v>
      </c>
      <c r="L319" s="173" t="s">
        <v>145</v>
      </c>
      <c r="M319" s="173" t="s">
        <v>145</v>
      </c>
      <c r="N319" s="174" t="s">
        <v>145</v>
      </c>
      <c r="O319" s="174" t="s">
        <v>145</v>
      </c>
      <c r="P319" s="174" t="s">
        <v>145</v>
      </c>
      <c r="Q319" s="174" t="s">
        <v>145</v>
      </c>
      <c r="R319" s="174" t="s">
        <v>145</v>
      </c>
      <c r="S319" s="175" t="s">
        <v>145</v>
      </c>
      <c r="T319" s="175" t="s">
        <v>145</v>
      </c>
      <c r="U319" s="175" t="s">
        <v>145</v>
      </c>
      <c r="V319" s="171" t="s">
        <v>145</v>
      </c>
      <c r="W319" s="171" t="s">
        <v>145</v>
      </c>
      <c r="X319" s="176" t="s">
        <v>145</v>
      </c>
      <c r="Y319" s="171" t="s">
        <v>145</v>
      </c>
      <c r="Z319" s="176" t="s">
        <v>145</v>
      </c>
      <c r="AA319" s="171" t="s">
        <v>145</v>
      </c>
      <c r="AB319" s="176" t="s">
        <v>145</v>
      </c>
      <c r="AC319" s="171" t="s">
        <v>145</v>
      </c>
      <c r="AD319" s="176" t="s">
        <v>145</v>
      </c>
      <c r="AE319" s="171" t="s">
        <v>145</v>
      </c>
      <c r="AF319" s="176" t="str" cm="1">
        <f t="array" ref="AF319">IF(OR(AE319="/",AE319=""),"/",IF(ISNUMBER(SEARCH("普通",AE319)),0,IF(ISNUMBER(SEARCH("专用",AE319)),4,IF(ISNUMBER(SEARCH("定制",AE319)),7,IF(ISNUMBER(SEARCH("多个定制",AE319)),9,””)))))</f>
        <v>/</v>
      </c>
      <c r="AG319" s="176" t="s">
        <v>145</v>
      </c>
      <c r="AH319" s="176" t="s">
        <v>145</v>
      </c>
      <c r="AI319" s="176" t="s">
        <v>145</v>
      </c>
      <c r="AJ319" s="176" t="str">
        <f t="shared" si="176"/>
        <v>/</v>
      </c>
      <c r="AK319" s="171" t="s">
        <v>145</v>
      </c>
      <c r="AL319" s="177" t="s">
        <v>145</v>
      </c>
      <c r="AM319" s="177" t="s">
        <v>145</v>
      </c>
      <c r="AN319" s="177" t="s">
        <v>145</v>
      </c>
      <c r="AO319" s="177" t="s">
        <v>145</v>
      </c>
    </row>
    <row r="320" s="116" customFormat="1" ht="17" customHeight="1" spans="1:41">
      <c r="A320" s="171">
        <v>316</v>
      </c>
      <c r="B320" s="172" t="s">
        <v>1036</v>
      </c>
      <c r="C320" s="171" t="s">
        <v>71</v>
      </c>
      <c r="D320" s="173" t="s">
        <v>1037</v>
      </c>
      <c r="E320" s="171" t="s">
        <v>73</v>
      </c>
      <c r="F320" s="171"/>
      <c r="G320" s="171"/>
      <c r="H320" s="171"/>
      <c r="I320" s="171"/>
      <c r="J320" s="171"/>
      <c r="K320" s="173" t="s">
        <v>1038</v>
      </c>
      <c r="L320" s="173" t="s">
        <v>1039</v>
      </c>
      <c r="M320" s="173" t="s">
        <v>76</v>
      </c>
      <c r="N320" s="174" t="s">
        <v>77</v>
      </c>
      <c r="O320" s="174" t="s">
        <v>77</v>
      </c>
      <c r="P320" s="174" t="s">
        <v>78</v>
      </c>
      <c r="Q320" s="174" t="s">
        <v>77</v>
      </c>
      <c r="R320" s="174" t="str">
        <f t="shared" ref="R320:R328" si="218">IF(OR(N320="严重Severe",O320="严重Severe",P320="严重Severe",Q320="严重Severe"),"严重Severe",IF(OR(N320="主要Major",O320="主要Major",P320="主要Major",Q320="主要Major"),"主要Major",IF(OR(N320="中等Medium",O320="中等Medium",P320="中等Medium",Q320="中等Medium"),"中等Medium",IF(OR(N320="可忽略不计Negligible",O320="可忽略不计Negligible",P320="可忽略不计Negligible",Q320="可忽略不计Negligible"),"可忽略不计Negligible","/"))))</f>
        <v>主要Major</v>
      </c>
      <c r="S320" s="175" t="s">
        <v>78</v>
      </c>
      <c r="T320" s="175" t="s">
        <v>1040</v>
      </c>
      <c r="U320" s="175" t="s">
        <v>80</v>
      </c>
      <c r="V320" s="171" t="s">
        <v>1041</v>
      </c>
      <c r="W320" s="171" t="s">
        <v>82</v>
      </c>
      <c r="X320" s="176">
        <f t="shared" ref="X320:X328" si="219">IF(OR(W320="/",W320=""),"/",IF(ISNUMBER(SEARCH("1天",W320)),0,IF(ISNUMBER(SEARCH("一周",W320)),1,IF(ISNUMBER(SEARCH("1个月",W320)),4,IF(ISNUMBER(SEARCH("超过",W320)),19,IF(ISNUMBER(SEARCH("6个月",W320)),17,""))))))</f>
        <v>0</v>
      </c>
      <c r="Y320" s="171" t="s">
        <v>83</v>
      </c>
      <c r="Z320" s="176">
        <f t="shared" ref="Z320:Z328" si="220">IF(OR(Y320="/",Y320=""),"/",IF(ISNUMBER(SEARCH("新手",Y320)),0,IF(ISNUMBER(SEARCH("熟练",Y320)),3,IF(ISNUMBER(SEARCH("多位",Y320)),17,IF(ISNUMBER(SEARCH("专家",Y320)),6,"")))))</f>
        <v>6</v>
      </c>
      <c r="AA320" s="171" t="s">
        <v>84</v>
      </c>
      <c r="AB320" s="176">
        <f t="shared" ref="AB320:AB328" si="221">IF(OR(AA320="/",AA320=""),"/",IF(ISNUMBER(SEARCH("公开",AA320)),0,IF(ISNUMBER(SEARCH("限制性信息",AA320)),3,IF(ISNUMBER(SEARCH("机密信息",AA320)),7,IF(ISNUMBER(SEARCH("严格保密",AA320)),11,"")))))</f>
        <v>3</v>
      </c>
      <c r="AC320" s="171" t="s">
        <v>85</v>
      </c>
      <c r="AD320" s="176">
        <f t="shared" ref="AD320:AD328" si="222">IF(OR(AC320="/",AC320=""),"/",IF(ISNUMBER(SEARCH("无限制",AC320)),0,IF(ISNUMBER(SEARCH("容易",AC320)),1,IF(ISNUMBER(SEARCH("一般",AC320)),4,IF(ISNUMBER(SEARCH("困难",AC320)),10,"")))))</f>
        <v>4</v>
      </c>
      <c r="AE320" s="171" t="s">
        <v>86</v>
      </c>
      <c r="AF320" s="176" cm="1">
        <f t="array" ref="AF320">IF(OR(AE320="/",AE320=""),"/",IF(ISNUMBER(SEARCH("普通",AE320)),0,IF(ISNUMBER(SEARCH("专用",AE320)),4,IF(ISNUMBER(SEARCH("定制",AE320)),7,IF(ISNUMBER(SEARCH("多个定制",AE320)),9,””)))))</f>
        <v>4</v>
      </c>
      <c r="AG320" s="176">
        <f t="shared" ref="AG320:AG328" si="223">IF(OR(X320="/",Z320="/",AB320="/",AD320="/",AF320="/"),"/",X320+Z320+AB320+AD320+AF320)</f>
        <v>17</v>
      </c>
      <c r="AH320" s="176" t="str">
        <f t="shared" ref="AH320:AH328" si="224">IF(AND(AG320&gt;=0,AG320&lt;14),"高High",IF(AND(AG320&gt;=14,AG320&lt;20),"中Medium",IF(AND(AG320&gt;=20,AG320&lt;25),"低Low",IF(AND(AG320&gt;=25,AG320&lt;57),"非常低Very low",""))))</f>
        <v>中Medium</v>
      </c>
      <c r="AI320" s="176" t="s">
        <v>87</v>
      </c>
      <c r="AJ320" s="176" t="str">
        <f t="shared" si="176"/>
        <v>降低
Reucing</v>
      </c>
      <c r="AK320" s="171" t="s">
        <v>1042</v>
      </c>
      <c r="AL320" s="177" t="s">
        <v>89</v>
      </c>
      <c r="AM320" s="180" t="s">
        <v>90</v>
      </c>
      <c r="AN320" s="178" t="s">
        <v>91</v>
      </c>
      <c r="AO320" s="178" t="s">
        <v>92</v>
      </c>
    </row>
    <row r="321" s="116" customFormat="1" ht="17" customHeight="1" spans="1:41">
      <c r="A321" s="171">
        <v>317</v>
      </c>
      <c r="B321" s="179"/>
      <c r="C321" s="179"/>
      <c r="D321" s="179"/>
      <c r="E321" s="171" t="s">
        <v>73</v>
      </c>
      <c r="F321" s="171"/>
      <c r="G321" s="171"/>
      <c r="H321" s="171"/>
      <c r="I321" s="171"/>
      <c r="J321" s="171"/>
      <c r="K321" s="173" t="s">
        <v>1043</v>
      </c>
      <c r="L321" s="173" t="s">
        <v>1044</v>
      </c>
      <c r="M321" s="173" t="s">
        <v>106</v>
      </c>
      <c r="N321" s="174" t="s">
        <v>77</v>
      </c>
      <c r="O321" s="174" t="s">
        <v>77</v>
      </c>
      <c r="P321" s="174" t="s">
        <v>96</v>
      </c>
      <c r="Q321" s="174" t="s">
        <v>78</v>
      </c>
      <c r="R321" s="174" t="str">
        <f t="shared" si="218"/>
        <v>主要Major</v>
      </c>
      <c r="S321" s="175" t="s">
        <v>78</v>
      </c>
      <c r="T321" s="175" t="s">
        <v>1045</v>
      </c>
      <c r="U321" s="175" t="s">
        <v>109</v>
      </c>
      <c r="V321" s="171" t="s">
        <v>1046</v>
      </c>
      <c r="W321" s="171" t="s">
        <v>82</v>
      </c>
      <c r="X321" s="176">
        <f t="shared" si="219"/>
        <v>0</v>
      </c>
      <c r="Y321" s="171" t="s">
        <v>83</v>
      </c>
      <c r="Z321" s="176">
        <f t="shared" si="220"/>
        <v>6</v>
      </c>
      <c r="AA321" s="171" t="s">
        <v>84</v>
      </c>
      <c r="AB321" s="176">
        <f t="shared" si="221"/>
        <v>3</v>
      </c>
      <c r="AC321" s="171" t="s">
        <v>85</v>
      </c>
      <c r="AD321" s="176">
        <f t="shared" si="222"/>
        <v>4</v>
      </c>
      <c r="AE321" s="171" t="s">
        <v>86</v>
      </c>
      <c r="AF321" s="176" cm="1">
        <f t="array" ref="AF321">IF(OR(AE321="/",AE321=""),"/",IF(ISNUMBER(SEARCH("普通",AE321)),0,IF(ISNUMBER(SEARCH("专用",AE321)),4,IF(ISNUMBER(SEARCH("定制",AE321)),7,IF(ISNUMBER(SEARCH("多个定制",AE321)),9,””)))))</f>
        <v>4</v>
      </c>
      <c r="AG321" s="176">
        <f t="shared" si="223"/>
        <v>17</v>
      </c>
      <c r="AH321" s="176" t="str">
        <f t="shared" si="224"/>
        <v>中Medium</v>
      </c>
      <c r="AI321" s="176" t="s">
        <v>87</v>
      </c>
      <c r="AJ321" s="176" t="str">
        <f t="shared" si="176"/>
        <v>降低
Reucing</v>
      </c>
      <c r="AK321" s="171" t="s">
        <v>1047</v>
      </c>
      <c r="AL321" s="177" t="s">
        <v>114</v>
      </c>
      <c r="AM321" s="180" t="s">
        <v>115</v>
      </c>
      <c r="AN321" s="178" t="s">
        <v>116</v>
      </c>
      <c r="AO321" s="178" t="s">
        <v>117</v>
      </c>
    </row>
    <row r="322" s="116" customFormat="1" ht="17" customHeight="1" spans="1:41">
      <c r="A322" s="171">
        <v>318</v>
      </c>
      <c r="B322" s="179"/>
      <c r="C322" s="179"/>
      <c r="D322" s="179"/>
      <c r="E322" s="171"/>
      <c r="F322" s="171" t="s">
        <v>73</v>
      </c>
      <c r="G322" s="171"/>
      <c r="H322" s="171"/>
      <c r="I322" s="171"/>
      <c r="J322" s="171"/>
      <c r="K322" s="173" t="s">
        <v>1048</v>
      </c>
      <c r="L322" s="173" t="s">
        <v>1049</v>
      </c>
      <c r="M322" s="173" t="s">
        <v>120</v>
      </c>
      <c r="N322" s="174" t="s">
        <v>96</v>
      </c>
      <c r="O322" s="174" t="s">
        <v>96</v>
      </c>
      <c r="P322" s="174" t="s">
        <v>78</v>
      </c>
      <c r="Q322" s="174" t="s">
        <v>77</v>
      </c>
      <c r="R322" s="174" t="str">
        <f t="shared" si="218"/>
        <v>主要Major</v>
      </c>
      <c r="S322" s="175" t="s">
        <v>78</v>
      </c>
      <c r="T322" s="175" t="s">
        <v>1050</v>
      </c>
      <c r="U322" s="175" t="s">
        <v>1051</v>
      </c>
      <c r="V322" s="171" t="s">
        <v>1041</v>
      </c>
      <c r="W322" s="171" t="s">
        <v>82</v>
      </c>
      <c r="X322" s="176">
        <f t="shared" si="219"/>
        <v>0</v>
      </c>
      <c r="Y322" s="171" t="s">
        <v>83</v>
      </c>
      <c r="Z322" s="176">
        <f t="shared" si="220"/>
        <v>6</v>
      </c>
      <c r="AA322" s="171" t="s">
        <v>84</v>
      </c>
      <c r="AB322" s="176">
        <f t="shared" si="221"/>
        <v>3</v>
      </c>
      <c r="AC322" s="171" t="s">
        <v>85</v>
      </c>
      <c r="AD322" s="176">
        <f t="shared" si="222"/>
        <v>4</v>
      </c>
      <c r="AE322" s="171" t="s">
        <v>86</v>
      </c>
      <c r="AF322" s="176" cm="1">
        <f t="array" ref="AF322">IF(OR(AE322="/",AE322=""),"/",IF(ISNUMBER(SEARCH("普通",AE322)),0,IF(ISNUMBER(SEARCH("专用",AE322)),4,IF(ISNUMBER(SEARCH("定制",AE322)),7,IF(ISNUMBER(SEARCH("多个定制",AE322)),9,””)))))</f>
        <v>4</v>
      </c>
      <c r="AG322" s="176">
        <f t="shared" si="223"/>
        <v>17</v>
      </c>
      <c r="AH322" s="176" t="str">
        <f t="shared" si="224"/>
        <v>中Medium</v>
      </c>
      <c r="AI322" s="176" t="s">
        <v>87</v>
      </c>
      <c r="AJ322" s="176" t="str">
        <f t="shared" si="176"/>
        <v>降低
Reucing</v>
      </c>
      <c r="AK322" s="171" t="s">
        <v>1052</v>
      </c>
      <c r="AL322" s="177" t="s">
        <v>245</v>
      </c>
      <c r="AM322" s="180" t="s">
        <v>125</v>
      </c>
      <c r="AN322" s="178" t="s">
        <v>126</v>
      </c>
      <c r="AO322" s="178" t="s">
        <v>127</v>
      </c>
    </row>
    <row r="323" s="116" customFormat="1" ht="17" customHeight="1" spans="1:41">
      <c r="A323" s="171">
        <v>319</v>
      </c>
      <c r="B323" s="179"/>
      <c r="C323" s="179"/>
      <c r="D323" s="179"/>
      <c r="E323" s="171"/>
      <c r="F323" s="171" t="s">
        <v>73</v>
      </c>
      <c r="G323" s="171"/>
      <c r="H323" s="171"/>
      <c r="I323" s="171"/>
      <c r="J323" s="171"/>
      <c r="K323" s="173" t="s">
        <v>1053</v>
      </c>
      <c r="L323" s="173" t="s">
        <v>1054</v>
      </c>
      <c r="M323" s="173" t="s">
        <v>120</v>
      </c>
      <c r="N323" s="174" t="s">
        <v>96</v>
      </c>
      <c r="O323" s="174" t="s">
        <v>96</v>
      </c>
      <c r="P323" s="174" t="s">
        <v>78</v>
      </c>
      <c r="Q323" s="174" t="s">
        <v>77</v>
      </c>
      <c r="R323" s="174" t="str">
        <f t="shared" si="218"/>
        <v>主要Major</v>
      </c>
      <c r="S323" s="175" t="s">
        <v>78</v>
      </c>
      <c r="T323" s="175" t="s">
        <v>1055</v>
      </c>
      <c r="U323" s="175" t="s">
        <v>1056</v>
      </c>
      <c r="V323" s="171" t="s">
        <v>1041</v>
      </c>
      <c r="W323" s="171" t="s">
        <v>111</v>
      </c>
      <c r="X323" s="176">
        <f t="shared" si="219"/>
        <v>1</v>
      </c>
      <c r="Y323" s="171" t="s">
        <v>83</v>
      </c>
      <c r="Z323" s="176">
        <f t="shared" si="220"/>
        <v>6</v>
      </c>
      <c r="AA323" s="171" t="s">
        <v>84</v>
      </c>
      <c r="AB323" s="176">
        <f t="shared" si="221"/>
        <v>3</v>
      </c>
      <c r="AC323" s="171" t="s">
        <v>85</v>
      </c>
      <c r="AD323" s="176">
        <f t="shared" si="222"/>
        <v>4</v>
      </c>
      <c r="AE323" s="171" t="s">
        <v>86</v>
      </c>
      <c r="AF323" s="176" cm="1">
        <f t="array" ref="AF323">IF(OR(AE323="/",AE323=""),"/",IF(ISNUMBER(SEARCH("普通",AE323)),0,IF(ISNUMBER(SEARCH("专用",AE323)),4,IF(ISNUMBER(SEARCH("定制",AE323)),7,IF(ISNUMBER(SEARCH("多个定制",AE323)),9,””)))))</f>
        <v>4</v>
      </c>
      <c r="AG323" s="176">
        <f t="shared" si="223"/>
        <v>18</v>
      </c>
      <c r="AH323" s="176" t="str">
        <f t="shared" si="224"/>
        <v>中Medium</v>
      </c>
      <c r="AI323" s="176" t="s">
        <v>87</v>
      </c>
      <c r="AJ323" s="176" t="str">
        <f t="shared" si="176"/>
        <v>降低
Reucing</v>
      </c>
      <c r="AK323" s="171" t="s">
        <v>1057</v>
      </c>
      <c r="AL323" s="177" t="s">
        <v>133</v>
      </c>
      <c r="AM323" s="180" t="s">
        <v>134</v>
      </c>
      <c r="AN323" s="178" t="s">
        <v>135</v>
      </c>
      <c r="AO323" s="178" t="s">
        <v>136</v>
      </c>
    </row>
    <row r="324" s="116" customFormat="1" ht="17" customHeight="1" spans="1:41">
      <c r="A324" s="171">
        <v>320</v>
      </c>
      <c r="B324" s="179"/>
      <c r="C324" s="179"/>
      <c r="D324" s="179"/>
      <c r="E324" s="171"/>
      <c r="F324" s="171"/>
      <c r="G324" s="171" t="s">
        <v>73</v>
      </c>
      <c r="H324" s="171"/>
      <c r="I324" s="171"/>
      <c r="J324" s="171"/>
      <c r="K324" s="173" t="s">
        <v>1058</v>
      </c>
      <c r="L324" s="173" t="s">
        <v>1059</v>
      </c>
      <c r="M324" s="173" t="s">
        <v>139</v>
      </c>
      <c r="N324" s="174" t="s">
        <v>96</v>
      </c>
      <c r="O324" s="174" t="s">
        <v>96</v>
      </c>
      <c r="P324" s="174" t="s">
        <v>78</v>
      </c>
      <c r="Q324" s="174" t="s">
        <v>77</v>
      </c>
      <c r="R324" s="174" t="str">
        <f t="shared" si="218"/>
        <v>主要Major</v>
      </c>
      <c r="S324" s="175" t="s">
        <v>78</v>
      </c>
      <c r="T324" s="175" t="s">
        <v>1060</v>
      </c>
      <c r="U324" s="175" t="s">
        <v>141</v>
      </c>
      <c r="V324" s="171" t="s">
        <v>1041</v>
      </c>
      <c r="W324" s="171" t="s">
        <v>142</v>
      </c>
      <c r="X324" s="176">
        <f t="shared" si="219"/>
        <v>4</v>
      </c>
      <c r="Y324" s="171" t="s">
        <v>83</v>
      </c>
      <c r="Z324" s="176">
        <f t="shared" si="220"/>
        <v>6</v>
      </c>
      <c r="AA324" s="171" t="s">
        <v>84</v>
      </c>
      <c r="AB324" s="176">
        <f t="shared" si="221"/>
        <v>3</v>
      </c>
      <c r="AC324" s="171" t="s">
        <v>85</v>
      </c>
      <c r="AD324" s="176">
        <f t="shared" si="222"/>
        <v>4</v>
      </c>
      <c r="AE324" s="171" t="s">
        <v>143</v>
      </c>
      <c r="AF324" s="176" cm="1">
        <f t="array" ref="AF324">IF(OR(AE324="/",AE324=""),"/",IF(ISNUMBER(SEARCH("普通",AE324)),0,IF(ISNUMBER(SEARCH("专用",AE324)),4,IF(ISNUMBER(SEARCH("定制",AE324)),7,IF(ISNUMBER(SEARCH("多个定制",AE324)),9,””)))))</f>
        <v>7</v>
      </c>
      <c r="AG324" s="176">
        <f t="shared" si="223"/>
        <v>24</v>
      </c>
      <c r="AH324" s="176" t="str">
        <f t="shared" si="224"/>
        <v>低Low</v>
      </c>
      <c r="AI324" s="176" t="s">
        <v>144</v>
      </c>
      <c r="AJ324" s="176" t="str">
        <f t="shared" si="176"/>
        <v>保留
Retaining</v>
      </c>
      <c r="AK324" s="171" t="s">
        <v>145</v>
      </c>
      <c r="AL324" s="177" t="s">
        <v>145</v>
      </c>
      <c r="AM324" s="171" t="s">
        <v>145</v>
      </c>
      <c r="AN324" s="178" t="s">
        <v>275</v>
      </c>
      <c r="AO324" s="178" t="s">
        <v>276</v>
      </c>
    </row>
    <row r="325" s="116" customFormat="1" ht="17" customHeight="1" spans="1:41">
      <c r="A325" s="171">
        <v>321</v>
      </c>
      <c r="B325" s="179"/>
      <c r="C325" s="179"/>
      <c r="D325" s="179"/>
      <c r="E325" s="171"/>
      <c r="F325" s="171"/>
      <c r="G325" s="171" t="s">
        <v>73</v>
      </c>
      <c r="H325" s="171"/>
      <c r="I325" s="171"/>
      <c r="J325" s="171"/>
      <c r="K325" s="173" t="s">
        <v>1061</v>
      </c>
      <c r="L325" s="173" t="s">
        <v>1062</v>
      </c>
      <c r="M325" s="173" t="s">
        <v>150</v>
      </c>
      <c r="N325" s="174" t="s">
        <v>96</v>
      </c>
      <c r="O325" s="174" t="s">
        <v>96</v>
      </c>
      <c r="P325" s="174" t="s">
        <v>96</v>
      </c>
      <c r="Q325" s="174" t="s">
        <v>77</v>
      </c>
      <c r="R325" s="174" t="str">
        <f t="shared" si="218"/>
        <v>中等Medium</v>
      </c>
      <c r="S325" s="175" t="s">
        <v>96</v>
      </c>
      <c r="T325" s="175" t="s">
        <v>1063</v>
      </c>
      <c r="U325" s="175" t="s">
        <v>152</v>
      </c>
      <c r="V325" s="171" t="s">
        <v>1041</v>
      </c>
      <c r="W325" s="171" t="s">
        <v>82</v>
      </c>
      <c r="X325" s="176">
        <f t="shared" si="219"/>
        <v>0</v>
      </c>
      <c r="Y325" s="171" t="s">
        <v>83</v>
      </c>
      <c r="Z325" s="176">
        <f t="shared" si="220"/>
        <v>6</v>
      </c>
      <c r="AA325" s="171" t="s">
        <v>153</v>
      </c>
      <c r="AB325" s="176">
        <f t="shared" si="221"/>
        <v>0</v>
      </c>
      <c r="AC325" s="171" t="s">
        <v>85</v>
      </c>
      <c r="AD325" s="176">
        <f t="shared" si="222"/>
        <v>4</v>
      </c>
      <c r="AE325" s="171" t="s">
        <v>143</v>
      </c>
      <c r="AF325" s="176" cm="1">
        <f t="array" ref="AF325">IF(OR(AE325="/",AE325=""),"/",IF(ISNUMBER(SEARCH("普通",AE325)),0,IF(ISNUMBER(SEARCH("专用",AE325)),4,IF(ISNUMBER(SEARCH("定制",AE325)),7,IF(ISNUMBER(SEARCH("多个定制",AE325)),9,””)))))</f>
        <v>7</v>
      </c>
      <c r="AG325" s="176">
        <f t="shared" si="223"/>
        <v>17</v>
      </c>
      <c r="AH325" s="176" t="str">
        <f t="shared" si="224"/>
        <v>中Medium</v>
      </c>
      <c r="AI325" s="176" t="s">
        <v>144</v>
      </c>
      <c r="AJ325" s="176" t="str">
        <f t="shared" si="176"/>
        <v>保留
Retaining</v>
      </c>
      <c r="AK325" s="171" t="s">
        <v>145</v>
      </c>
      <c r="AL325" s="177" t="s">
        <v>145</v>
      </c>
      <c r="AM325" s="171" t="s">
        <v>145</v>
      </c>
      <c r="AN325" s="178" t="s">
        <v>280</v>
      </c>
      <c r="AO325" s="178" t="s">
        <v>281</v>
      </c>
    </row>
    <row r="326" s="116" customFormat="1" ht="17" customHeight="1" spans="1:41">
      <c r="A326" s="171">
        <v>322</v>
      </c>
      <c r="B326" s="179"/>
      <c r="C326" s="179"/>
      <c r="D326" s="179"/>
      <c r="E326" s="171"/>
      <c r="F326" s="171"/>
      <c r="G326" s="171"/>
      <c r="H326" s="171" t="s">
        <v>73</v>
      </c>
      <c r="I326" s="171"/>
      <c r="J326" s="171"/>
      <c r="K326" s="173" t="s">
        <v>1064</v>
      </c>
      <c r="L326" s="173" t="s">
        <v>1065</v>
      </c>
      <c r="M326" s="173" t="s">
        <v>166</v>
      </c>
      <c r="N326" s="174" t="s">
        <v>96</v>
      </c>
      <c r="O326" s="174" t="s">
        <v>96</v>
      </c>
      <c r="P326" s="174" t="s">
        <v>78</v>
      </c>
      <c r="Q326" s="174" t="s">
        <v>77</v>
      </c>
      <c r="R326" s="174" t="str">
        <f t="shared" si="218"/>
        <v>主要Major</v>
      </c>
      <c r="S326" s="175" t="s">
        <v>78</v>
      </c>
      <c r="T326" s="175" t="s">
        <v>1066</v>
      </c>
      <c r="U326" s="175" t="s">
        <v>1067</v>
      </c>
      <c r="V326" s="171" t="s">
        <v>1041</v>
      </c>
      <c r="W326" s="171" t="s">
        <v>82</v>
      </c>
      <c r="X326" s="176">
        <f t="shared" si="219"/>
        <v>0</v>
      </c>
      <c r="Y326" s="171" t="s">
        <v>83</v>
      </c>
      <c r="Z326" s="176">
        <f t="shared" si="220"/>
        <v>6</v>
      </c>
      <c r="AA326" s="171" t="s">
        <v>84</v>
      </c>
      <c r="AB326" s="176">
        <f t="shared" si="221"/>
        <v>3</v>
      </c>
      <c r="AC326" s="171" t="s">
        <v>85</v>
      </c>
      <c r="AD326" s="176">
        <f t="shared" si="222"/>
        <v>4</v>
      </c>
      <c r="AE326" s="171" t="s">
        <v>86</v>
      </c>
      <c r="AF326" s="176" cm="1">
        <f t="array" ref="AF326">IF(OR(AE326="/",AE326=""),"/",IF(ISNUMBER(SEARCH("普通",AE326)),0,IF(ISNUMBER(SEARCH("专用",AE326)),4,IF(ISNUMBER(SEARCH("定制",AE326)),7,IF(ISNUMBER(SEARCH("多个定制",AE326)),9,””)))))</f>
        <v>4</v>
      </c>
      <c r="AG326" s="176">
        <f t="shared" si="223"/>
        <v>17</v>
      </c>
      <c r="AH326" s="176" t="str">
        <f t="shared" si="224"/>
        <v>中Medium</v>
      </c>
      <c r="AI326" s="176" t="s">
        <v>87</v>
      </c>
      <c r="AJ326" s="176" t="str">
        <f t="shared" si="176"/>
        <v>降低
Reucing</v>
      </c>
      <c r="AK326" s="171" t="s">
        <v>1068</v>
      </c>
      <c r="AL326" s="177" t="s">
        <v>315</v>
      </c>
      <c r="AM326" s="180" t="s">
        <v>316</v>
      </c>
      <c r="AN326" s="178" t="s">
        <v>317</v>
      </c>
      <c r="AO326" s="178" t="s">
        <v>318</v>
      </c>
    </row>
    <row r="327" s="116" customFormat="1" ht="17" customHeight="1" spans="1:41">
      <c r="A327" s="171">
        <v>323</v>
      </c>
      <c r="B327" s="179"/>
      <c r="C327" s="179"/>
      <c r="D327" s="179"/>
      <c r="E327" s="171"/>
      <c r="F327" s="171"/>
      <c r="G327" s="171"/>
      <c r="H327" s="171" t="s">
        <v>73</v>
      </c>
      <c r="I327" s="171"/>
      <c r="J327" s="171"/>
      <c r="K327" s="173" t="s">
        <v>1069</v>
      </c>
      <c r="L327" s="173" t="s">
        <v>1065</v>
      </c>
      <c r="M327" s="173" t="s">
        <v>166</v>
      </c>
      <c r="N327" s="174" t="s">
        <v>77</v>
      </c>
      <c r="O327" s="174" t="s">
        <v>78</v>
      </c>
      <c r="P327" s="174" t="s">
        <v>78</v>
      </c>
      <c r="Q327" s="174" t="s">
        <v>77</v>
      </c>
      <c r="R327" s="174" t="str">
        <f t="shared" si="218"/>
        <v>主要Major</v>
      </c>
      <c r="S327" s="175" t="s">
        <v>78</v>
      </c>
      <c r="T327" s="175" t="s">
        <v>1070</v>
      </c>
      <c r="U327" s="175" t="s">
        <v>1067</v>
      </c>
      <c r="V327" s="171" t="s">
        <v>1071</v>
      </c>
      <c r="W327" s="171" t="s">
        <v>111</v>
      </c>
      <c r="X327" s="176">
        <f t="shared" si="219"/>
        <v>1</v>
      </c>
      <c r="Y327" s="171" t="s">
        <v>83</v>
      </c>
      <c r="Z327" s="176">
        <f t="shared" si="220"/>
        <v>6</v>
      </c>
      <c r="AA327" s="171" t="s">
        <v>153</v>
      </c>
      <c r="AB327" s="176">
        <f t="shared" si="221"/>
        <v>0</v>
      </c>
      <c r="AC327" s="171" t="s">
        <v>85</v>
      </c>
      <c r="AD327" s="176">
        <f t="shared" si="222"/>
        <v>4</v>
      </c>
      <c r="AE327" s="171" t="s">
        <v>143</v>
      </c>
      <c r="AF327" s="176" cm="1">
        <f t="array" ref="AF327">IF(OR(AE327="/",AE327=""),"/",IF(ISNUMBER(SEARCH("普通",AE327)),0,IF(ISNUMBER(SEARCH("专用",AE327)),4,IF(ISNUMBER(SEARCH("定制",AE327)),7,IF(ISNUMBER(SEARCH("多个定制",AE327)),9,””)))))</f>
        <v>7</v>
      </c>
      <c r="AG327" s="176">
        <f t="shared" si="223"/>
        <v>18</v>
      </c>
      <c r="AH327" s="176" t="str">
        <f t="shared" si="224"/>
        <v>中Medium</v>
      </c>
      <c r="AI327" s="176" t="s">
        <v>87</v>
      </c>
      <c r="AJ327" s="176" t="str">
        <f t="shared" si="176"/>
        <v>降低
Reucing</v>
      </c>
      <c r="AK327" s="171" t="s">
        <v>1072</v>
      </c>
      <c r="AL327" s="177" t="s">
        <v>1073</v>
      </c>
      <c r="AM327" s="180" t="s">
        <v>1074</v>
      </c>
      <c r="AN327" s="178" t="s">
        <v>592</v>
      </c>
      <c r="AO327" s="178" t="s">
        <v>1075</v>
      </c>
    </row>
    <row r="328" s="116" customFormat="1" ht="17" customHeight="1" spans="1:41">
      <c r="A328" s="171">
        <v>324</v>
      </c>
      <c r="B328" s="179"/>
      <c r="C328" s="179"/>
      <c r="D328" s="179"/>
      <c r="E328" s="171"/>
      <c r="F328" s="171"/>
      <c r="G328" s="171"/>
      <c r="H328" s="171"/>
      <c r="I328" s="171" t="s">
        <v>73</v>
      </c>
      <c r="J328" s="171"/>
      <c r="K328" s="173" t="s">
        <v>1076</v>
      </c>
      <c r="L328" s="173" t="s">
        <v>1077</v>
      </c>
      <c r="M328" s="173" t="s">
        <v>174</v>
      </c>
      <c r="N328" s="174" t="s">
        <v>96</v>
      </c>
      <c r="O328" s="174" t="s">
        <v>96</v>
      </c>
      <c r="P328" s="174" t="s">
        <v>78</v>
      </c>
      <c r="Q328" s="174" t="s">
        <v>77</v>
      </c>
      <c r="R328" s="174" t="str">
        <f t="shared" si="218"/>
        <v>主要Major</v>
      </c>
      <c r="S328" s="175" t="s">
        <v>78</v>
      </c>
      <c r="T328" s="175" t="s">
        <v>1078</v>
      </c>
      <c r="U328" s="175" t="s">
        <v>176</v>
      </c>
      <c r="V328" s="171" t="s">
        <v>1041</v>
      </c>
      <c r="W328" s="171" t="s">
        <v>82</v>
      </c>
      <c r="X328" s="176">
        <f t="shared" si="219"/>
        <v>0</v>
      </c>
      <c r="Y328" s="171" t="s">
        <v>83</v>
      </c>
      <c r="Z328" s="176">
        <f t="shared" si="220"/>
        <v>6</v>
      </c>
      <c r="AA328" s="171" t="s">
        <v>84</v>
      </c>
      <c r="AB328" s="176">
        <f t="shared" si="221"/>
        <v>3</v>
      </c>
      <c r="AC328" s="171" t="s">
        <v>85</v>
      </c>
      <c r="AD328" s="176">
        <f t="shared" si="222"/>
        <v>4</v>
      </c>
      <c r="AE328" s="171" t="s">
        <v>86</v>
      </c>
      <c r="AF328" s="176" cm="1">
        <f t="array" ref="AF328">IF(OR(AE328="/",AE328=""),"/",IF(ISNUMBER(SEARCH("普通",AE328)),0,IF(ISNUMBER(SEARCH("专用",AE328)),4,IF(ISNUMBER(SEARCH("定制",AE328)),7,IF(ISNUMBER(SEARCH("多个定制",AE328)),9,””)))))</f>
        <v>4</v>
      </c>
      <c r="AG328" s="176">
        <f t="shared" si="223"/>
        <v>17</v>
      </c>
      <c r="AH328" s="176" t="str">
        <f t="shared" si="224"/>
        <v>中Medium</v>
      </c>
      <c r="AI328" s="176" t="s">
        <v>87</v>
      </c>
      <c r="AJ328" s="176" t="str">
        <f t="shared" si="176"/>
        <v>降低
Reucing</v>
      </c>
      <c r="AK328" s="171" t="s">
        <v>1079</v>
      </c>
      <c r="AL328" s="177" t="s">
        <v>328</v>
      </c>
      <c r="AM328" s="180" t="s">
        <v>329</v>
      </c>
      <c r="AN328" s="178" t="s">
        <v>181</v>
      </c>
      <c r="AO328" s="178" t="s">
        <v>182</v>
      </c>
    </row>
    <row r="329" s="116" customFormat="1" ht="17" customHeight="1" spans="1:41">
      <c r="A329" s="171">
        <v>325</v>
      </c>
      <c r="B329" s="181"/>
      <c r="C329" s="181"/>
      <c r="D329" s="181"/>
      <c r="E329" s="171"/>
      <c r="F329" s="171"/>
      <c r="G329" s="171"/>
      <c r="H329" s="171"/>
      <c r="I329" s="171"/>
      <c r="J329" s="171" t="s">
        <v>183</v>
      </c>
      <c r="K329" s="173" t="s">
        <v>145</v>
      </c>
      <c r="L329" s="173" t="s">
        <v>145</v>
      </c>
      <c r="M329" s="173" t="s">
        <v>145</v>
      </c>
      <c r="N329" s="174" t="s">
        <v>145</v>
      </c>
      <c r="O329" s="174" t="s">
        <v>145</v>
      </c>
      <c r="P329" s="174" t="s">
        <v>145</v>
      </c>
      <c r="Q329" s="174" t="s">
        <v>145</v>
      </c>
      <c r="R329" s="174" t="s">
        <v>145</v>
      </c>
      <c r="S329" s="175" t="s">
        <v>145</v>
      </c>
      <c r="T329" s="175" t="s">
        <v>145</v>
      </c>
      <c r="U329" s="175" t="s">
        <v>145</v>
      </c>
      <c r="V329" s="171" t="s">
        <v>145</v>
      </c>
      <c r="W329" s="171" t="s">
        <v>145</v>
      </c>
      <c r="X329" s="176" t="s">
        <v>145</v>
      </c>
      <c r="Y329" s="171" t="s">
        <v>145</v>
      </c>
      <c r="Z329" s="176" t="s">
        <v>145</v>
      </c>
      <c r="AA329" s="171" t="s">
        <v>145</v>
      </c>
      <c r="AB329" s="176" t="s">
        <v>145</v>
      </c>
      <c r="AC329" s="171" t="s">
        <v>145</v>
      </c>
      <c r="AD329" s="176" t="s">
        <v>145</v>
      </c>
      <c r="AE329" s="171" t="s">
        <v>145</v>
      </c>
      <c r="AF329" s="176" t="str" cm="1">
        <f t="array" ref="AF329">IF(OR(AE329="/",AE329=""),"/",IF(ISNUMBER(SEARCH("普通",AE329)),0,IF(ISNUMBER(SEARCH("专用",AE329)),4,IF(ISNUMBER(SEARCH("定制",AE329)),7,IF(ISNUMBER(SEARCH("多个定制",AE329)),9,””)))))</f>
        <v>/</v>
      </c>
      <c r="AG329" s="176" t="s">
        <v>145</v>
      </c>
      <c r="AH329" s="176" t="s">
        <v>145</v>
      </c>
      <c r="AI329" s="176" t="s">
        <v>145</v>
      </c>
      <c r="AJ329" s="176" t="str">
        <f t="shared" ref="AJ329:AJ392" si="225">IF(AI329="/","/",IF(AI329="CAL3","降低"&amp;CHAR(10)&amp;"Reucing",IF(AI329="CAL4","消除"&amp;CHAR(10)&amp;"Avoiding",IF(AI329="CAL2","保留"&amp;CHAR(10)&amp;"Retaining",IF(AI329="CAL1","保留"&amp;CHAR(10)&amp;"Retaining","")))))</f>
        <v>/</v>
      </c>
      <c r="AK329" s="171" t="s">
        <v>145</v>
      </c>
      <c r="AL329" s="177" t="s">
        <v>145</v>
      </c>
      <c r="AM329" s="177" t="s">
        <v>145</v>
      </c>
      <c r="AN329" s="177" t="s">
        <v>145</v>
      </c>
      <c r="AO329" s="177" t="s">
        <v>145</v>
      </c>
    </row>
    <row r="330" s="116" customFormat="1" ht="17" customHeight="1" spans="1:41">
      <c r="A330" s="171">
        <v>326</v>
      </c>
      <c r="B330" s="172" t="s">
        <v>1080</v>
      </c>
      <c r="C330" s="171" t="s">
        <v>71</v>
      </c>
      <c r="D330" s="173" t="s">
        <v>1081</v>
      </c>
      <c r="E330" s="171" t="s">
        <v>73</v>
      </c>
      <c r="F330" s="171"/>
      <c r="G330" s="171"/>
      <c r="H330" s="171"/>
      <c r="I330" s="171"/>
      <c r="J330" s="171"/>
      <c r="K330" s="173" t="s">
        <v>509</v>
      </c>
      <c r="L330" s="173" t="s">
        <v>1082</v>
      </c>
      <c r="M330" s="173" t="s">
        <v>76</v>
      </c>
      <c r="N330" s="174" t="s">
        <v>77</v>
      </c>
      <c r="O330" s="174" t="s">
        <v>77</v>
      </c>
      <c r="P330" s="174" t="s">
        <v>78</v>
      </c>
      <c r="Q330" s="174" t="s">
        <v>77</v>
      </c>
      <c r="R330" s="174" t="str">
        <f t="shared" ref="R330:R336" si="226">IF(OR(N330="严重Severe",O330="严重Severe",P330="严重Severe",Q330="严重Severe"),"严重Severe",IF(OR(N330="主要Major",O330="主要Major",P330="主要Major",Q330="主要Major"),"主要Major",IF(OR(N330="中等Medium",O330="中等Medium",P330="中等Medium",Q330="中等Medium"),"中等Medium",IF(OR(N330="可忽略不计Negligible",O330="可忽略不计Negligible",P330="可忽略不计Negligible",Q330="可忽略不计Negligible"),"可忽略不计Negligible","/"))))</f>
        <v>主要Major</v>
      </c>
      <c r="S330" s="175" t="s">
        <v>78</v>
      </c>
      <c r="T330" s="175" t="s">
        <v>511</v>
      </c>
      <c r="U330" s="175" t="s">
        <v>80</v>
      </c>
      <c r="V330" s="171" t="s">
        <v>1083</v>
      </c>
      <c r="W330" s="171" t="s">
        <v>82</v>
      </c>
      <c r="X330" s="176">
        <f t="shared" ref="X330:X336" si="227">IF(OR(W330="/",W330=""),"/",IF(ISNUMBER(SEARCH("1天",W330)),0,IF(ISNUMBER(SEARCH("一周",W330)),1,IF(ISNUMBER(SEARCH("1个月",W330)),4,IF(ISNUMBER(SEARCH("超过",W330)),19,IF(ISNUMBER(SEARCH("6个月",W330)),17,""))))))</f>
        <v>0</v>
      </c>
      <c r="Y330" s="171" t="s">
        <v>83</v>
      </c>
      <c r="Z330" s="176">
        <f t="shared" ref="Z330:Z336" si="228">IF(OR(Y330="/",Y330=""),"/",IF(ISNUMBER(SEARCH("新手",Y330)),0,IF(ISNUMBER(SEARCH("熟练",Y330)),3,IF(ISNUMBER(SEARCH("多位",Y330)),17,IF(ISNUMBER(SEARCH("专家",Y330)),6,"")))))</f>
        <v>6</v>
      </c>
      <c r="AA330" s="171" t="s">
        <v>84</v>
      </c>
      <c r="AB330" s="176">
        <f t="shared" ref="AB330:AB336" si="229">IF(OR(AA330="/",AA330=""),"/",IF(ISNUMBER(SEARCH("公开",AA330)),0,IF(ISNUMBER(SEARCH("限制性信息",AA330)),3,IF(ISNUMBER(SEARCH("机密信息",AA330)),7,IF(ISNUMBER(SEARCH("严格保密",AA330)),11,"")))))</f>
        <v>3</v>
      </c>
      <c r="AC330" s="171" t="s">
        <v>85</v>
      </c>
      <c r="AD330" s="176">
        <f t="shared" ref="AD330:AD336" si="230">IF(OR(AC330="/",AC330=""),"/",IF(ISNUMBER(SEARCH("无限制",AC330)),0,IF(ISNUMBER(SEARCH("容易",AC330)),1,IF(ISNUMBER(SEARCH("一般",AC330)),4,IF(ISNUMBER(SEARCH("困难",AC330)),10,"")))))</f>
        <v>4</v>
      </c>
      <c r="AE330" s="171" t="s">
        <v>86</v>
      </c>
      <c r="AF330" s="176" cm="1">
        <f t="array" ref="AF330">IF(OR(AE330="/",AE330=""),"/",IF(ISNUMBER(SEARCH("普通",AE330)),0,IF(ISNUMBER(SEARCH("专用",AE330)),4,IF(ISNUMBER(SEARCH("定制",AE330)),7,IF(ISNUMBER(SEARCH("多个定制",AE330)),9,””)))))</f>
        <v>4</v>
      </c>
      <c r="AG330" s="176">
        <f t="shared" ref="AG330:AG336" si="231">IF(OR(X330="/",Z330="/",AB330="/",AD330="/",AF330="/"),"/",X330+Z330+AB330+AD330+AF330)</f>
        <v>17</v>
      </c>
      <c r="AH330" s="176" t="str">
        <f t="shared" ref="AH330:AH336" si="232">IF(AND(AG330&gt;=0,AG330&lt;14),"高High",IF(AND(AG330&gt;=14,AG330&lt;20),"中Medium",IF(AND(AG330&gt;=20,AG330&lt;25),"低Low",IF(AND(AG330&gt;=25,AG330&lt;57),"非常低Very low",""))))</f>
        <v>中Medium</v>
      </c>
      <c r="AI330" s="176" t="s">
        <v>87</v>
      </c>
      <c r="AJ330" s="176" t="str">
        <f t="shared" si="225"/>
        <v>降低
Reucing</v>
      </c>
      <c r="AK330" s="171" t="s">
        <v>513</v>
      </c>
      <c r="AL330" s="177" t="s">
        <v>514</v>
      </c>
      <c r="AM330" s="180" t="s">
        <v>90</v>
      </c>
      <c r="AN330" s="178" t="s">
        <v>91</v>
      </c>
      <c r="AO330" s="178" t="s">
        <v>92</v>
      </c>
    </row>
    <row r="331" s="116" customFormat="1" ht="17" customHeight="1" spans="1:41">
      <c r="A331" s="171">
        <v>327</v>
      </c>
      <c r="B331" s="179"/>
      <c r="C331" s="179"/>
      <c r="D331" s="179"/>
      <c r="E331" s="171" t="s">
        <v>73</v>
      </c>
      <c r="F331" s="171"/>
      <c r="G331" s="171"/>
      <c r="H331" s="171"/>
      <c r="I331" s="171"/>
      <c r="J331" s="171"/>
      <c r="K331" s="173" t="s">
        <v>515</v>
      </c>
      <c r="L331" s="173" t="s">
        <v>1084</v>
      </c>
      <c r="M331" s="173" t="s">
        <v>106</v>
      </c>
      <c r="N331" s="174" t="s">
        <v>77</v>
      </c>
      <c r="O331" s="174" t="s">
        <v>77</v>
      </c>
      <c r="P331" s="174" t="s">
        <v>96</v>
      </c>
      <c r="Q331" s="174" t="s">
        <v>78</v>
      </c>
      <c r="R331" s="174" t="str">
        <f t="shared" si="226"/>
        <v>主要Major</v>
      </c>
      <c r="S331" s="175" t="s">
        <v>107</v>
      </c>
      <c r="T331" s="175" t="s">
        <v>517</v>
      </c>
      <c r="U331" s="175" t="s">
        <v>109</v>
      </c>
      <c r="V331" s="171" t="s">
        <v>1085</v>
      </c>
      <c r="W331" s="171" t="s">
        <v>111</v>
      </c>
      <c r="X331" s="176">
        <f t="shared" si="227"/>
        <v>1</v>
      </c>
      <c r="Y331" s="171" t="s">
        <v>83</v>
      </c>
      <c r="Z331" s="176">
        <f t="shared" si="228"/>
        <v>6</v>
      </c>
      <c r="AA331" s="171" t="s">
        <v>84</v>
      </c>
      <c r="AB331" s="176">
        <f t="shared" si="229"/>
        <v>3</v>
      </c>
      <c r="AC331" s="171" t="s">
        <v>85</v>
      </c>
      <c r="AD331" s="176">
        <f t="shared" si="230"/>
        <v>4</v>
      </c>
      <c r="AE331" s="171" t="s">
        <v>143</v>
      </c>
      <c r="AF331" s="176" cm="1">
        <f t="array" ref="AF331">IF(OR(AE331="/",AE331=""),"/",IF(ISNUMBER(SEARCH("普通",AE331)),0,IF(ISNUMBER(SEARCH("专用",AE331)),4,IF(ISNUMBER(SEARCH("定制",AE331)),7,IF(ISNUMBER(SEARCH("多个定制",AE331)),9,””)))))</f>
        <v>7</v>
      </c>
      <c r="AG331" s="176">
        <f t="shared" si="231"/>
        <v>21</v>
      </c>
      <c r="AH331" s="176" t="str">
        <f t="shared" si="232"/>
        <v>低Low</v>
      </c>
      <c r="AI331" s="176" t="s">
        <v>112</v>
      </c>
      <c r="AJ331" s="176" t="str">
        <f t="shared" si="225"/>
        <v>消除
Avoiding</v>
      </c>
      <c r="AK331" s="171" t="s">
        <v>519</v>
      </c>
      <c r="AL331" s="177" t="s">
        <v>520</v>
      </c>
      <c r="AM331" s="180" t="s">
        <v>115</v>
      </c>
      <c r="AN331" s="178" t="s">
        <v>116</v>
      </c>
      <c r="AO331" s="178" t="s">
        <v>117</v>
      </c>
    </row>
    <row r="332" s="116" customFormat="1" ht="17" customHeight="1" spans="1:41">
      <c r="A332" s="171">
        <v>328</v>
      </c>
      <c r="B332" s="179"/>
      <c r="C332" s="179"/>
      <c r="D332" s="179"/>
      <c r="E332" s="171"/>
      <c r="F332" s="171" t="s">
        <v>73</v>
      </c>
      <c r="G332" s="171"/>
      <c r="H332" s="171"/>
      <c r="I332" s="171"/>
      <c r="J332" s="171"/>
      <c r="K332" s="173" t="s">
        <v>521</v>
      </c>
      <c r="L332" s="173" t="s">
        <v>1086</v>
      </c>
      <c r="M332" s="173" t="s">
        <v>120</v>
      </c>
      <c r="N332" s="174" t="s">
        <v>77</v>
      </c>
      <c r="O332" s="174" t="s">
        <v>96</v>
      </c>
      <c r="P332" s="174" t="s">
        <v>78</v>
      </c>
      <c r="Q332" s="174" t="s">
        <v>77</v>
      </c>
      <c r="R332" s="174" t="str">
        <f t="shared" si="226"/>
        <v>主要Major</v>
      </c>
      <c r="S332" s="175" t="s">
        <v>78</v>
      </c>
      <c r="T332" s="175" t="s">
        <v>523</v>
      </c>
      <c r="U332" s="175" t="s">
        <v>1087</v>
      </c>
      <c r="V332" s="171" t="s">
        <v>1083</v>
      </c>
      <c r="W332" s="171" t="s">
        <v>82</v>
      </c>
      <c r="X332" s="176">
        <f t="shared" si="227"/>
        <v>0</v>
      </c>
      <c r="Y332" s="171" t="s">
        <v>83</v>
      </c>
      <c r="Z332" s="176">
        <f t="shared" si="228"/>
        <v>6</v>
      </c>
      <c r="AA332" s="171" t="s">
        <v>84</v>
      </c>
      <c r="AB332" s="176">
        <f t="shared" si="229"/>
        <v>3</v>
      </c>
      <c r="AC332" s="171" t="s">
        <v>85</v>
      </c>
      <c r="AD332" s="176">
        <f t="shared" si="230"/>
        <v>4</v>
      </c>
      <c r="AE332" s="171" t="s">
        <v>86</v>
      </c>
      <c r="AF332" s="176" cm="1">
        <f t="array" ref="AF332">IF(OR(AE332="/",AE332=""),"/",IF(ISNUMBER(SEARCH("普通",AE332)),0,IF(ISNUMBER(SEARCH("专用",AE332)),4,IF(ISNUMBER(SEARCH("定制",AE332)),7,IF(ISNUMBER(SEARCH("多个定制",AE332)),9,””)))))</f>
        <v>4</v>
      </c>
      <c r="AG332" s="176">
        <f t="shared" si="231"/>
        <v>17</v>
      </c>
      <c r="AH332" s="176" t="str">
        <f t="shared" si="232"/>
        <v>中Medium</v>
      </c>
      <c r="AI332" s="176" t="s">
        <v>87</v>
      </c>
      <c r="AJ332" s="176" t="str">
        <f t="shared" si="225"/>
        <v>降低
Reucing</v>
      </c>
      <c r="AK332" s="171" t="s">
        <v>525</v>
      </c>
      <c r="AL332" s="177" t="s">
        <v>526</v>
      </c>
      <c r="AM332" s="180" t="s">
        <v>125</v>
      </c>
      <c r="AN332" s="178" t="s">
        <v>126</v>
      </c>
      <c r="AO332" s="178" t="s">
        <v>127</v>
      </c>
    </row>
    <row r="333" s="116" customFormat="1" ht="17" customHeight="1" spans="1:41">
      <c r="A333" s="171">
        <v>329</v>
      </c>
      <c r="B333" s="179"/>
      <c r="C333" s="179"/>
      <c r="D333" s="179"/>
      <c r="E333" s="171"/>
      <c r="F333" s="171" t="s">
        <v>73</v>
      </c>
      <c r="G333" s="171"/>
      <c r="H333" s="171"/>
      <c r="I333" s="171"/>
      <c r="J333" s="171"/>
      <c r="K333" s="173" t="s">
        <v>527</v>
      </c>
      <c r="L333" s="173" t="s">
        <v>1088</v>
      </c>
      <c r="M333" s="173" t="s">
        <v>120</v>
      </c>
      <c r="N333" s="174" t="s">
        <v>96</v>
      </c>
      <c r="O333" s="174" t="s">
        <v>96</v>
      </c>
      <c r="P333" s="174" t="s">
        <v>78</v>
      </c>
      <c r="Q333" s="174" t="s">
        <v>77</v>
      </c>
      <c r="R333" s="174" t="str">
        <f t="shared" si="226"/>
        <v>主要Major</v>
      </c>
      <c r="S333" s="175" t="s">
        <v>78</v>
      </c>
      <c r="T333" s="175" t="s">
        <v>529</v>
      </c>
      <c r="U333" s="175" t="s">
        <v>1089</v>
      </c>
      <c r="V333" s="171" t="s">
        <v>1083</v>
      </c>
      <c r="W333" s="171" t="s">
        <v>111</v>
      </c>
      <c r="X333" s="176">
        <f t="shared" si="227"/>
        <v>1</v>
      </c>
      <c r="Y333" s="171" t="s">
        <v>83</v>
      </c>
      <c r="Z333" s="176">
        <f t="shared" si="228"/>
        <v>6</v>
      </c>
      <c r="AA333" s="171" t="s">
        <v>84</v>
      </c>
      <c r="AB333" s="176">
        <f t="shared" si="229"/>
        <v>3</v>
      </c>
      <c r="AC333" s="171" t="s">
        <v>85</v>
      </c>
      <c r="AD333" s="176">
        <f t="shared" si="230"/>
        <v>4</v>
      </c>
      <c r="AE333" s="171" t="s">
        <v>86</v>
      </c>
      <c r="AF333" s="176" cm="1">
        <f t="array" ref="AF333">IF(OR(AE333="/",AE333=""),"/",IF(ISNUMBER(SEARCH("普通",AE333)),0,IF(ISNUMBER(SEARCH("专用",AE333)),4,IF(ISNUMBER(SEARCH("定制",AE333)),7,IF(ISNUMBER(SEARCH("多个定制",AE333)),9,””)))))</f>
        <v>4</v>
      </c>
      <c r="AG333" s="176">
        <f t="shared" si="231"/>
        <v>18</v>
      </c>
      <c r="AH333" s="176" t="str">
        <f t="shared" si="232"/>
        <v>中Medium</v>
      </c>
      <c r="AI333" s="176" t="s">
        <v>87</v>
      </c>
      <c r="AJ333" s="176" t="str">
        <f t="shared" si="225"/>
        <v>降低
Reucing</v>
      </c>
      <c r="AK333" s="171" t="s">
        <v>531</v>
      </c>
      <c r="AL333" s="177" t="s">
        <v>532</v>
      </c>
      <c r="AM333" s="180" t="s">
        <v>134</v>
      </c>
      <c r="AN333" s="178" t="s">
        <v>135</v>
      </c>
      <c r="AO333" s="178" t="s">
        <v>136</v>
      </c>
    </row>
    <row r="334" s="116" customFormat="1" ht="17" customHeight="1" spans="1:41">
      <c r="A334" s="171">
        <v>330</v>
      </c>
      <c r="B334" s="179"/>
      <c r="C334" s="179"/>
      <c r="D334" s="179"/>
      <c r="E334" s="171"/>
      <c r="F334" s="171"/>
      <c r="G334" s="171" t="s">
        <v>73</v>
      </c>
      <c r="H334" s="171"/>
      <c r="I334" s="171"/>
      <c r="J334" s="171"/>
      <c r="K334" s="173" t="s">
        <v>533</v>
      </c>
      <c r="L334" s="173" t="s">
        <v>1090</v>
      </c>
      <c r="M334" s="173" t="s">
        <v>150</v>
      </c>
      <c r="N334" s="174" t="s">
        <v>96</v>
      </c>
      <c r="O334" s="174" t="s">
        <v>96</v>
      </c>
      <c r="P334" s="174" t="s">
        <v>96</v>
      </c>
      <c r="Q334" s="174" t="s">
        <v>77</v>
      </c>
      <c r="R334" s="174" t="str">
        <f t="shared" si="226"/>
        <v>中等Medium</v>
      </c>
      <c r="S334" s="175" t="s">
        <v>96</v>
      </c>
      <c r="T334" s="175" t="s">
        <v>535</v>
      </c>
      <c r="U334" s="175" t="s">
        <v>152</v>
      </c>
      <c r="V334" s="171" t="s">
        <v>1083</v>
      </c>
      <c r="W334" s="171" t="s">
        <v>82</v>
      </c>
      <c r="X334" s="176">
        <f t="shared" si="227"/>
        <v>0</v>
      </c>
      <c r="Y334" s="171" t="s">
        <v>83</v>
      </c>
      <c r="Z334" s="176">
        <f t="shared" si="228"/>
        <v>6</v>
      </c>
      <c r="AA334" s="171" t="s">
        <v>153</v>
      </c>
      <c r="AB334" s="176">
        <f t="shared" si="229"/>
        <v>0</v>
      </c>
      <c r="AC334" s="171" t="s">
        <v>85</v>
      </c>
      <c r="AD334" s="176">
        <f t="shared" si="230"/>
        <v>4</v>
      </c>
      <c r="AE334" s="171" t="s">
        <v>143</v>
      </c>
      <c r="AF334" s="176" cm="1">
        <f t="array" ref="AF334">IF(OR(AE334="/",AE334=""),"/",IF(ISNUMBER(SEARCH("普通",AE334)),0,IF(ISNUMBER(SEARCH("专用",AE334)),4,IF(ISNUMBER(SEARCH("定制",AE334)),7,IF(ISNUMBER(SEARCH("多个定制",AE334)),9,””)))))</f>
        <v>7</v>
      </c>
      <c r="AG334" s="176">
        <f t="shared" si="231"/>
        <v>17</v>
      </c>
      <c r="AH334" s="176" t="str">
        <f t="shared" si="232"/>
        <v>中Medium</v>
      </c>
      <c r="AI334" s="176" t="s">
        <v>144</v>
      </c>
      <c r="AJ334" s="176" t="str">
        <f t="shared" si="225"/>
        <v>保留
Retaining</v>
      </c>
      <c r="AK334" s="171" t="s">
        <v>145</v>
      </c>
      <c r="AL334" s="177" t="s">
        <v>145</v>
      </c>
      <c r="AM334" s="171" t="s">
        <v>145</v>
      </c>
      <c r="AN334" s="178" t="s">
        <v>280</v>
      </c>
      <c r="AO334" s="178" t="s">
        <v>281</v>
      </c>
    </row>
    <row r="335" s="116" customFormat="1" ht="17" customHeight="1" spans="1:41">
      <c r="A335" s="171">
        <v>331</v>
      </c>
      <c r="B335" s="179"/>
      <c r="C335" s="179"/>
      <c r="D335" s="179"/>
      <c r="E335" s="171"/>
      <c r="F335" s="171"/>
      <c r="G335" s="171"/>
      <c r="H335" s="171" t="s">
        <v>73</v>
      </c>
      <c r="I335" s="171"/>
      <c r="J335" s="171"/>
      <c r="K335" s="173" t="s">
        <v>536</v>
      </c>
      <c r="L335" s="173" t="s">
        <v>1091</v>
      </c>
      <c r="M335" s="173" t="s">
        <v>166</v>
      </c>
      <c r="N335" s="174" t="s">
        <v>96</v>
      </c>
      <c r="O335" s="174" t="s">
        <v>96</v>
      </c>
      <c r="P335" s="174" t="s">
        <v>96</v>
      </c>
      <c r="Q335" s="174" t="s">
        <v>77</v>
      </c>
      <c r="R335" s="174" t="str">
        <f t="shared" si="226"/>
        <v>中等Medium</v>
      </c>
      <c r="S335" s="171" t="s">
        <v>96</v>
      </c>
      <c r="T335" s="175" t="s">
        <v>538</v>
      </c>
      <c r="U335" s="175" t="s">
        <v>1092</v>
      </c>
      <c r="V335" s="171" t="s">
        <v>1083</v>
      </c>
      <c r="W335" s="171" t="s">
        <v>82</v>
      </c>
      <c r="X335" s="176">
        <f t="shared" si="227"/>
        <v>0</v>
      </c>
      <c r="Y335" s="171" t="s">
        <v>83</v>
      </c>
      <c r="Z335" s="176">
        <f t="shared" si="228"/>
        <v>6</v>
      </c>
      <c r="AA335" s="171" t="s">
        <v>84</v>
      </c>
      <c r="AB335" s="176">
        <f t="shared" si="229"/>
        <v>3</v>
      </c>
      <c r="AC335" s="171" t="s">
        <v>85</v>
      </c>
      <c r="AD335" s="176">
        <f t="shared" si="230"/>
        <v>4</v>
      </c>
      <c r="AE335" s="171" t="s">
        <v>86</v>
      </c>
      <c r="AF335" s="176" cm="1">
        <f t="array" ref="AF335">IF(OR(AE335="/",AE335=""),"/",IF(ISNUMBER(SEARCH("普通",AE335)),0,IF(ISNUMBER(SEARCH("专用",AE335)),4,IF(ISNUMBER(SEARCH("定制",AE335)),7,IF(ISNUMBER(SEARCH("多个定制",AE335)),9,””)))))</f>
        <v>4</v>
      </c>
      <c r="AG335" s="176">
        <f t="shared" si="231"/>
        <v>17</v>
      </c>
      <c r="AH335" s="176" t="str">
        <f t="shared" si="232"/>
        <v>中Medium</v>
      </c>
      <c r="AI335" s="176" t="s">
        <v>144</v>
      </c>
      <c r="AJ335" s="176" t="str">
        <f t="shared" si="225"/>
        <v>保留
Retaining</v>
      </c>
      <c r="AK335" s="171" t="s">
        <v>145</v>
      </c>
      <c r="AL335" s="177" t="s">
        <v>145</v>
      </c>
      <c r="AM335" s="180" t="s">
        <v>316</v>
      </c>
      <c r="AN335" s="178" t="s">
        <v>317</v>
      </c>
      <c r="AO335" s="178" t="s">
        <v>318</v>
      </c>
    </row>
    <row r="336" s="116" customFormat="1" ht="17" customHeight="1" spans="1:41">
      <c r="A336" s="171">
        <v>332</v>
      </c>
      <c r="B336" s="179"/>
      <c r="C336" s="179"/>
      <c r="D336" s="179"/>
      <c r="E336" s="171"/>
      <c r="F336" s="171"/>
      <c r="G336" s="171"/>
      <c r="H336" s="171"/>
      <c r="I336" s="171" t="s">
        <v>73</v>
      </c>
      <c r="J336" s="171"/>
      <c r="K336" s="173" t="s">
        <v>540</v>
      </c>
      <c r="L336" s="173" t="s">
        <v>1093</v>
      </c>
      <c r="M336" s="173" t="s">
        <v>174</v>
      </c>
      <c r="N336" s="174" t="s">
        <v>96</v>
      </c>
      <c r="O336" s="174" t="s">
        <v>96</v>
      </c>
      <c r="P336" s="174" t="s">
        <v>96</v>
      </c>
      <c r="Q336" s="174" t="s">
        <v>77</v>
      </c>
      <c r="R336" s="174" t="str">
        <f t="shared" si="226"/>
        <v>中等Medium</v>
      </c>
      <c r="S336" s="175" t="s">
        <v>96</v>
      </c>
      <c r="T336" s="175" t="s">
        <v>542</v>
      </c>
      <c r="U336" s="175" t="s">
        <v>176</v>
      </c>
      <c r="V336" s="171" t="s">
        <v>1083</v>
      </c>
      <c r="W336" s="171" t="s">
        <v>82</v>
      </c>
      <c r="X336" s="176">
        <f t="shared" si="227"/>
        <v>0</v>
      </c>
      <c r="Y336" s="171" t="s">
        <v>177</v>
      </c>
      <c r="Z336" s="176">
        <f t="shared" si="228"/>
        <v>3</v>
      </c>
      <c r="AA336" s="171" t="s">
        <v>153</v>
      </c>
      <c r="AB336" s="176">
        <f t="shared" si="229"/>
        <v>0</v>
      </c>
      <c r="AC336" s="171" t="s">
        <v>85</v>
      </c>
      <c r="AD336" s="176">
        <f t="shared" si="230"/>
        <v>4</v>
      </c>
      <c r="AE336" s="171" t="s">
        <v>86</v>
      </c>
      <c r="AF336" s="176" cm="1">
        <f t="array" ref="AF336">IF(OR(AE336="/",AE336=""),"/",IF(ISNUMBER(SEARCH("普通",AE336)),0,IF(ISNUMBER(SEARCH("专用",AE336)),4,IF(ISNUMBER(SEARCH("定制",AE336)),7,IF(ISNUMBER(SEARCH("多个定制",AE336)),9,””)))))</f>
        <v>4</v>
      </c>
      <c r="AG336" s="176">
        <f t="shared" si="231"/>
        <v>11</v>
      </c>
      <c r="AH336" s="176" t="str">
        <f t="shared" si="232"/>
        <v>高High</v>
      </c>
      <c r="AI336" s="176" t="s">
        <v>87</v>
      </c>
      <c r="AJ336" s="176" t="str">
        <f t="shared" si="225"/>
        <v>降低
Reucing</v>
      </c>
      <c r="AK336" s="171" t="s">
        <v>543</v>
      </c>
      <c r="AL336" s="177" t="s">
        <v>544</v>
      </c>
      <c r="AM336" s="180" t="s">
        <v>329</v>
      </c>
      <c r="AN336" s="178" t="s">
        <v>181</v>
      </c>
      <c r="AO336" s="178" t="s">
        <v>182</v>
      </c>
    </row>
    <row r="337" s="116" customFormat="1" ht="17" customHeight="1" spans="1:41">
      <c r="A337" s="171">
        <v>333</v>
      </c>
      <c r="B337" s="181"/>
      <c r="C337" s="181"/>
      <c r="D337" s="181"/>
      <c r="E337" s="171"/>
      <c r="F337" s="171"/>
      <c r="G337" s="171"/>
      <c r="H337" s="171"/>
      <c r="I337" s="171"/>
      <c r="J337" s="171" t="s">
        <v>183</v>
      </c>
      <c r="K337" s="173" t="s">
        <v>145</v>
      </c>
      <c r="L337" s="173" t="s">
        <v>145</v>
      </c>
      <c r="M337" s="173" t="s">
        <v>145</v>
      </c>
      <c r="N337" s="174" t="s">
        <v>145</v>
      </c>
      <c r="O337" s="174" t="s">
        <v>145</v>
      </c>
      <c r="P337" s="174" t="s">
        <v>145</v>
      </c>
      <c r="Q337" s="174" t="s">
        <v>145</v>
      </c>
      <c r="R337" s="174" t="s">
        <v>145</v>
      </c>
      <c r="S337" s="175" t="s">
        <v>145</v>
      </c>
      <c r="T337" s="175" t="s">
        <v>145</v>
      </c>
      <c r="U337" s="175" t="s">
        <v>145</v>
      </c>
      <c r="V337" s="171" t="s">
        <v>145</v>
      </c>
      <c r="W337" s="171" t="s">
        <v>145</v>
      </c>
      <c r="X337" s="176" t="s">
        <v>145</v>
      </c>
      <c r="Y337" s="171" t="s">
        <v>145</v>
      </c>
      <c r="Z337" s="176" t="s">
        <v>145</v>
      </c>
      <c r="AA337" s="171" t="s">
        <v>145</v>
      </c>
      <c r="AB337" s="176" t="s">
        <v>145</v>
      </c>
      <c r="AC337" s="171" t="s">
        <v>145</v>
      </c>
      <c r="AD337" s="176" t="s">
        <v>145</v>
      </c>
      <c r="AE337" s="171" t="s">
        <v>145</v>
      </c>
      <c r="AF337" s="176" t="str" cm="1">
        <f t="array" ref="AF337">IF(OR(AE337="/",AE337=""),"/",IF(ISNUMBER(SEARCH("普通",AE337)),0,IF(ISNUMBER(SEARCH("专用",AE337)),4,IF(ISNUMBER(SEARCH("定制",AE337)),7,IF(ISNUMBER(SEARCH("多个定制",AE337)),9,””)))))</f>
        <v>/</v>
      </c>
      <c r="AG337" s="176" t="s">
        <v>145</v>
      </c>
      <c r="AH337" s="176" t="s">
        <v>145</v>
      </c>
      <c r="AI337" s="176" t="s">
        <v>145</v>
      </c>
      <c r="AJ337" s="176" t="str">
        <f t="shared" si="225"/>
        <v>/</v>
      </c>
      <c r="AK337" s="171" t="s">
        <v>145</v>
      </c>
      <c r="AL337" s="177" t="s">
        <v>145</v>
      </c>
      <c r="AM337" s="177" t="s">
        <v>145</v>
      </c>
      <c r="AN337" s="177" t="s">
        <v>145</v>
      </c>
      <c r="AO337" s="177" t="s">
        <v>145</v>
      </c>
    </row>
    <row r="338" s="116" customFormat="1" ht="17" customHeight="1" spans="1:41">
      <c r="A338" s="171">
        <v>334</v>
      </c>
      <c r="B338" s="172" t="s">
        <v>1094</v>
      </c>
      <c r="C338" s="171" t="s">
        <v>71</v>
      </c>
      <c r="D338" s="173" t="s">
        <v>1095</v>
      </c>
      <c r="E338" s="171" t="s">
        <v>73</v>
      </c>
      <c r="F338" s="171"/>
      <c r="G338" s="171"/>
      <c r="H338" s="171"/>
      <c r="I338" s="171"/>
      <c r="J338" s="171"/>
      <c r="K338" s="173" t="s">
        <v>547</v>
      </c>
      <c r="L338" s="173" t="s">
        <v>1096</v>
      </c>
      <c r="M338" s="173" t="s">
        <v>106</v>
      </c>
      <c r="N338" s="174" t="s">
        <v>77</v>
      </c>
      <c r="O338" s="174" t="s">
        <v>77</v>
      </c>
      <c r="P338" s="174" t="s">
        <v>96</v>
      </c>
      <c r="Q338" s="174" t="s">
        <v>78</v>
      </c>
      <c r="R338" s="174" t="str">
        <f>IF(OR(N338="严重Severe",O338="严重Severe",P338="严重Severe",Q338="严重Severe"),"严重Severe",IF(OR(N338="主要Major",O338="主要Major",P338="主要Major",Q338="主要Major"),"主要Major",IF(OR(N338="中等Medium",O338="中等Medium",P338="中等Medium",Q338="中等Medium"),"中等Medium",IF(OR(N338="可忽略不计Negligible",O338="可忽略不计Negligible",P338="可忽略不计Negligible",Q338="可忽略不计Negligible"),"可忽略不计Negligible","/"))))</f>
        <v>主要Major</v>
      </c>
      <c r="S338" s="175" t="s">
        <v>78</v>
      </c>
      <c r="T338" s="175" t="s">
        <v>549</v>
      </c>
      <c r="U338" s="175" t="s">
        <v>109</v>
      </c>
      <c r="V338" s="171" t="s">
        <v>1097</v>
      </c>
      <c r="W338" s="171" t="s">
        <v>82</v>
      </c>
      <c r="X338" s="176">
        <f>IF(OR(W338="/",W338=""),"/",IF(ISNUMBER(SEARCH("1天",W338)),0,IF(ISNUMBER(SEARCH("一周",W338)),1,IF(ISNUMBER(SEARCH("1个月",W338)),4,IF(ISNUMBER(SEARCH("超过",W338)),19,IF(ISNUMBER(SEARCH("6个月",W338)),17,""))))))</f>
        <v>0</v>
      </c>
      <c r="Y338" s="171" t="s">
        <v>83</v>
      </c>
      <c r="Z338" s="176">
        <f>IF(OR(Y338="/",Y338=""),"/",IF(ISNUMBER(SEARCH("新手",Y338)),0,IF(ISNUMBER(SEARCH("熟练",Y338)),3,IF(ISNUMBER(SEARCH("多位",Y338)),17,IF(ISNUMBER(SEARCH("专家",Y338)),6,"")))))</f>
        <v>6</v>
      </c>
      <c r="AA338" s="171" t="s">
        <v>84</v>
      </c>
      <c r="AB338" s="176">
        <f>IF(OR(AA338="/",AA338=""),"/",IF(ISNUMBER(SEARCH("公开",AA338)),0,IF(ISNUMBER(SEARCH("限制性信息",AA338)),3,IF(ISNUMBER(SEARCH("机密信息",AA338)),7,IF(ISNUMBER(SEARCH("严格保密",AA338)),11,"")))))</f>
        <v>3</v>
      </c>
      <c r="AC338" s="171" t="s">
        <v>85</v>
      </c>
      <c r="AD338" s="176">
        <f>IF(OR(AC338="/",AC338=""),"/",IF(ISNUMBER(SEARCH("无限制",AC338)),0,IF(ISNUMBER(SEARCH("容易",AC338)),1,IF(ISNUMBER(SEARCH("一般",AC338)),4,IF(ISNUMBER(SEARCH("困难",AC338)),10,"")))))</f>
        <v>4</v>
      </c>
      <c r="AE338" s="171" t="s">
        <v>86</v>
      </c>
      <c r="AF338" s="176" cm="1">
        <f t="array" ref="AF338">IF(OR(AE338="/",AE338=""),"/",IF(ISNUMBER(SEARCH("普通",AE338)),0,IF(ISNUMBER(SEARCH("专用",AE338)),4,IF(ISNUMBER(SEARCH("定制",AE338)),7,IF(ISNUMBER(SEARCH("多个定制",AE338)),9,””)))))</f>
        <v>4</v>
      </c>
      <c r="AG338" s="176">
        <f>IF(OR(X338="/",Z338="/",AB338="/",AD338="/",AF338="/"),"/",X338+Z338+AB338+AD338+AF338)</f>
        <v>17</v>
      </c>
      <c r="AH338" s="176" t="str">
        <f>IF(AND(AG338&gt;=0,AG338&lt;14),"高High",IF(AND(AG338&gt;=14,AG338&lt;20),"中Medium",IF(AND(AG338&gt;=20,AG338&lt;25),"低Low",IF(AND(AG338&gt;=25,AG338&lt;57),"非常低Very low",""))))</f>
        <v>中Medium</v>
      </c>
      <c r="AI338" s="176" t="s">
        <v>934</v>
      </c>
      <c r="AJ338" s="176" t="str">
        <f t="shared" si="225"/>
        <v>保留
Retaining</v>
      </c>
      <c r="AK338" s="171" t="s">
        <v>145</v>
      </c>
      <c r="AL338" s="177" t="s">
        <v>145</v>
      </c>
      <c r="AM338" s="180" t="s">
        <v>115</v>
      </c>
      <c r="AN338" s="178" t="s">
        <v>116</v>
      </c>
      <c r="AO338" s="178" t="s">
        <v>117</v>
      </c>
    </row>
    <row r="339" s="116" customFormat="1" ht="17" customHeight="1" spans="1:41">
      <c r="A339" s="171">
        <v>335</v>
      </c>
      <c r="B339" s="179"/>
      <c r="C339" s="179"/>
      <c r="D339" s="179"/>
      <c r="E339" s="171"/>
      <c r="F339" s="171" t="s">
        <v>73</v>
      </c>
      <c r="G339" s="171"/>
      <c r="H339" s="171"/>
      <c r="I339" s="171"/>
      <c r="J339" s="171"/>
      <c r="K339" s="173" t="s">
        <v>551</v>
      </c>
      <c r="L339" s="173" t="s">
        <v>1098</v>
      </c>
      <c r="M339" s="173" t="s">
        <v>553</v>
      </c>
      <c r="N339" s="174" t="s">
        <v>77</v>
      </c>
      <c r="O339" s="174" t="s">
        <v>77</v>
      </c>
      <c r="P339" s="174" t="s">
        <v>96</v>
      </c>
      <c r="Q339" s="174" t="s">
        <v>77</v>
      </c>
      <c r="R339" s="174" t="str">
        <f>IF(OR(N339="严重Severe",O339="严重Severe",P339="严重Severe",Q339="严重Severe"),"严重Severe",IF(OR(N339="主要Major",O339="主要Major",P339="主要Major",Q339="主要Major"),"主要Major",IF(OR(N339="中等Medium",O339="中等Medium",P339="中等Medium",Q339="中等Medium"),"中等Medium",IF(OR(N339="可忽略不计Negligible",O339="可忽略不计Negligible",P339="可忽略不计Negligible",Q339="可忽略不计Negligible"),"可忽略不计Negligible","/"))))</f>
        <v>中等Medium</v>
      </c>
      <c r="S339" s="175" t="s">
        <v>96</v>
      </c>
      <c r="T339" s="175" t="s">
        <v>554</v>
      </c>
      <c r="U339" s="175" t="s">
        <v>555</v>
      </c>
      <c r="V339" s="171" t="s">
        <v>1099</v>
      </c>
      <c r="W339" s="171" t="s">
        <v>111</v>
      </c>
      <c r="X339" s="176">
        <f>IF(OR(W339="/",W339=""),"/",IF(ISNUMBER(SEARCH("1天",W339)),0,IF(ISNUMBER(SEARCH("一周",W339)),1,IF(ISNUMBER(SEARCH("1个月",W339)),4,IF(ISNUMBER(SEARCH("超过",W339)),19,IF(ISNUMBER(SEARCH("6个月",W339)),17,""))))))</f>
        <v>1</v>
      </c>
      <c r="Y339" s="171" t="s">
        <v>83</v>
      </c>
      <c r="Z339" s="176">
        <f>IF(OR(Y339="/",Y339=""),"/",IF(ISNUMBER(SEARCH("新手",Y339)),0,IF(ISNUMBER(SEARCH("熟练",Y339)),3,IF(ISNUMBER(SEARCH("多位",Y339)),17,IF(ISNUMBER(SEARCH("专家",Y339)),6,"")))))</f>
        <v>6</v>
      </c>
      <c r="AA339" s="171" t="s">
        <v>557</v>
      </c>
      <c r="AB339" s="176">
        <f>IF(OR(AA339="/",AA339=""),"/",IF(ISNUMBER(SEARCH("公开",AA339)),0,IF(ISNUMBER(SEARCH("限制性信息",AA339)),3,IF(ISNUMBER(SEARCH("机密信息",AA339)),7,IF(ISNUMBER(SEARCH("严格保密",AA339)),11,"")))))</f>
        <v>0</v>
      </c>
      <c r="AC339" s="171" t="s">
        <v>558</v>
      </c>
      <c r="AD339" s="176">
        <f>IF(OR(AC339="/",AC339=""),"/",IF(ISNUMBER(SEARCH("无限制",AC339)),0,IF(ISNUMBER(SEARCH("容易",AC339)),1,IF(ISNUMBER(SEARCH("一般",AC339)),4,IF(ISNUMBER(SEARCH("困难",AC339)),10,"")))))</f>
        <v>10</v>
      </c>
      <c r="AE339" s="171" t="s">
        <v>86</v>
      </c>
      <c r="AF339" s="176" cm="1">
        <f t="array" ref="AF339">IF(OR(AE339="/",AE339=""),"/",IF(ISNUMBER(SEARCH("普通",AE339)),0,IF(ISNUMBER(SEARCH("专用",AE339)),4,IF(ISNUMBER(SEARCH("定制",AE339)),7,IF(ISNUMBER(SEARCH("多个定制",AE339)),9,””)))))</f>
        <v>4</v>
      </c>
      <c r="AG339" s="176">
        <f>IF(OR(X339="/",Z339="/",AB339="/",AD339="/",AF339="/"),"/",X339+Z339+AB339+AD339+AF339)</f>
        <v>21</v>
      </c>
      <c r="AH339" s="176" t="str">
        <f>IF(AND(AG339&gt;=0,AG339&lt;14),"高High",IF(AND(AG339&gt;=14,AG339&lt;20),"中Medium",IF(AND(AG339&gt;=20,AG339&lt;25),"低Low",IF(AND(AG339&gt;=25,AG339&lt;57),"非常低Very low",""))))</f>
        <v>低Low</v>
      </c>
      <c r="AI339" s="176" t="s">
        <v>144</v>
      </c>
      <c r="AJ339" s="176" t="str">
        <f t="shared" si="225"/>
        <v>保留
Retaining</v>
      </c>
      <c r="AK339" s="171" t="s">
        <v>145</v>
      </c>
      <c r="AL339" s="177" t="s">
        <v>145</v>
      </c>
      <c r="AM339" s="171" t="s">
        <v>145</v>
      </c>
      <c r="AN339" s="178" t="s">
        <v>270</v>
      </c>
      <c r="AO339" s="178" t="s">
        <v>271</v>
      </c>
    </row>
    <row r="340" s="116" customFormat="1" ht="17" customHeight="1" spans="1:41">
      <c r="A340" s="171">
        <v>336</v>
      </c>
      <c r="B340" s="179"/>
      <c r="C340" s="179"/>
      <c r="D340" s="179"/>
      <c r="E340" s="171"/>
      <c r="F340" s="171" t="s">
        <v>73</v>
      </c>
      <c r="G340" s="171"/>
      <c r="H340" s="171"/>
      <c r="I340" s="171"/>
      <c r="J340" s="171"/>
      <c r="K340" s="173" t="s">
        <v>582</v>
      </c>
      <c r="L340" s="173" t="s">
        <v>1100</v>
      </c>
      <c r="M340" s="173" t="s">
        <v>120</v>
      </c>
      <c r="N340" s="174" t="s">
        <v>77</v>
      </c>
      <c r="O340" s="174" t="s">
        <v>77</v>
      </c>
      <c r="P340" s="174" t="s">
        <v>78</v>
      </c>
      <c r="Q340" s="174" t="s">
        <v>77</v>
      </c>
      <c r="R340" s="174" t="str">
        <f>IF(OR(N340="严重Severe",O340="严重Severe",P340="严重Severe",Q340="严重Severe"),"严重Severe",IF(OR(N340="主要Major",O340="主要Major",P340="主要Major",Q340="主要Major"),"主要Major",IF(OR(N340="中等Medium",O340="中等Medium",P340="中等Medium",Q340="中等Medium"),"中等Medium",IF(OR(N340="可忽略不计Negligible",O340="可忽略不计Negligible",P340="可忽略不计Negligible",Q340="可忽略不计Negligible"),"可忽略不计Negligible","/"))))</f>
        <v>主要Major</v>
      </c>
      <c r="S340" s="175" t="s">
        <v>78</v>
      </c>
      <c r="T340" s="175" t="s">
        <v>584</v>
      </c>
      <c r="U340" s="175" t="s">
        <v>1101</v>
      </c>
      <c r="V340" s="171" t="s">
        <v>1099</v>
      </c>
      <c r="W340" s="171" t="s">
        <v>111</v>
      </c>
      <c r="X340" s="176">
        <f>IF(OR(W340="/",W340=""),"/",IF(ISNUMBER(SEARCH("1天",W340)),0,IF(ISNUMBER(SEARCH("一周",W340)),1,IF(ISNUMBER(SEARCH("1个月",W340)),4,IF(ISNUMBER(SEARCH("超过",W340)),19,IF(ISNUMBER(SEARCH("6个月",W340)),17,""))))))</f>
        <v>1</v>
      </c>
      <c r="Y340" s="171" t="s">
        <v>83</v>
      </c>
      <c r="Z340" s="176">
        <f>IF(OR(Y340="/",Y340=""),"/",IF(ISNUMBER(SEARCH("新手",Y340)),0,IF(ISNUMBER(SEARCH("熟练",Y340)),3,IF(ISNUMBER(SEARCH("多位",Y340)),17,IF(ISNUMBER(SEARCH("专家",Y340)),6,"")))))</f>
        <v>6</v>
      </c>
      <c r="AA340" s="171" t="s">
        <v>84</v>
      </c>
      <c r="AB340" s="176">
        <f>IF(OR(AA340="/",AA340=""),"/",IF(ISNUMBER(SEARCH("公开",AA340)),0,IF(ISNUMBER(SEARCH("限制性信息",AA340)),3,IF(ISNUMBER(SEARCH("机密信息",AA340)),7,IF(ISNUMBER(SEARCH("严格保密",AA340)),11,"")))))</f>
        <v>3</v>
      </c>
      <c r="AC340" s="171" t="s">
        <v>85</v>
      </c>
      <c r="AD340" s="176">
        <f>IF(OR(AC340="/",AC340=""),"/",IF(ISNUMBER(SEARCH("无限制",AC340)),0,IF(ISNUMBER(SEARCH("容易",AC340)),1,IF(ISNUMBER(SEARCH("一般",AC340)),4,IF(ISNUMBER(SEARCH("困难",AC340)),10,"")))))</f>
        <v>4</v>
      </c>
      <c r="AE340" s="171" t="s">
        <v>86</v>
      </c>
      <c r="AF340" s="176" cm="1">
        <f t="array" ref="AF340">IF(OR(AE340="/",AE340=""),"/",IF(ISNUMBER(SEARCH("普通",AE340)),0,IF(ISNUMBER(SEARCH("专用",AE340)),4,IF(ISNUMBER(SEARCH("定制",AE340)),7,IF(ISNUMBER(SEARCH("多个定制",AE340)),9,””)))))</f>
        <v>4</v>
      </c>
      <c r="AG340" s="176">
        <f>IF(OR(X340="/",Z340="/",AB340="/",AD340="/",AF340="/"),"/",X340+Z340+AB340+AD340+AF340)</f>
        <v>18</v>
      </c>
      <c r="AH340" s="176" t="str">
        <f>IF(AND(AG340&gt;=0,AG340&lt;14),"高High",IF(AND(AG340&gt;=14,AG340&lt;20),"中Medium",IF(AND(AG340&gt;=20,AG340&lt;25),"低Low",IF(AND(AG340&gt;=25,AG340&lt;57),"非常低Very low",""))))</f>
        <v>中Medium</v>
      </c>
      <c r="AI340" s="176" t="s">
        <v>144</v>
      </c>
      <c r="AJ340" s="176" t="str">
        <f t="shared" si="225"/>
        <v>保留
Retaining</v>
      </c>
      <c r="AK340" s="171" t="s">
        <v>145</v>
      </c>
      <c r="AL340" s="177" t="s">
        <v>145</v>
      </c>
      <c r="AM340" s="180" t="s">
        <v>134</v>
      </c>
      <c r="AN340" s="178" t="s">
        <v>135</v>
      </c>
      <c r="AO340" s="178" t="s">
        <v>136</v>
      </c>
    </row>
    <row r="341" s="116" customFormat="1" ht="17" customHeight="1" spans="1:41">
      <c r="A341" s="171">
        <v>337</v>
      </c>
      <c r="B341" s="179"/>
      <c r="C341" s="179"/>
      <c r="D341" s="179"/>
      <c r="E341" s="171"/>
      <c r="F341" s="171"/>
      <c r="G341" s="171" t="s">
        <v>559</v>
      </c>
      <c r="H341" s="171"/>
      <c r="I341" s="171"/>
      <c r="J341" s="171"/>
      <c r="K341" s="173" t="s">
        <v>560</v>
      </c>
      <c r="L341" s="173" t="s">
        <v>1102</v>
      </c>
      <c r="M341" s="173" t="s">
        <v>145</v>
      </c>
      <c r="N341" s="174" t="s">
        <v>145</v>
      </c>
      <c r="O341" s="174" t="s">
        <v>145</v>
      </c>
      <c r="P341" s="174" t="s">
        <v>145</v>
      </c>
      <c r="Q341" s="174" t="s">
        <v>145</v>
      </c>
      <c r="R341" s="174" t="str">
        <f>IF(OR(N341="严重Severe",O341="严重Severe",P341="严重Severe",Q341="严重Severe"),"严重Severe",IF(OR(N341="主要Major",O341="主要Major",P341="主要Major",Q341="主要Major"),"主要Major",IF(OR(N341="中等Medium",O341="中等Medium",P341="中等Medium",Q341="中等Medium"),"中等Medium",IF(OR(N341="可忽略不计Negligible",O341="可忽略不计Negligible",P341="可忽略不计Negligible",Q341="可忽略不计Negligible"),"可忽略不计Negligible","/"))))</f>
        <v>/</v>
      </c>
      <c r="S341" s="175" t="s">
        <v>145</v>
      </c>
      <c r="T341" s="175" t="s">
        <v>145</v>
      </c>
      <c r="U341" s="175" t="s">
        <v>145</v>
      </c>
      <c r="V341" s="171" t="s">
        <v>145</v>
      </c>
      <c r="W341" s="171" t="s">
        <v>145</v>
      </c>
      <c r="X341" s="176" t="str">
        <f>IF(OR(W341="/",W341=""),"/",IF(ISNUMBER(SEARCH("1天",W341)),0,IF(ISNUMBER(SEARCH("一周",W341)),1,IF(ISNUMBER(SEARCH("1个月",W341)),4,IF(ISNUMBER(SEARCH("超过",W341)),19,IF(ISNUMBER(SEARCH("6个月",W341)),17,""))))))</f>
        <v>/</v>
      </c>
      <c r="Y341" s="171" t="s">
        <v>145</v>
      </c>
      <c r="Z341" s="176" t="str">
        <f>IF(OR(Y341="/",Y341=""),"/",IF(ISNUMBER(SEARCH("新手",Y341)),0,IF(ISNUMBER(SEARCH("熟练",Y341)),3,IF(ISNUMBER(SEARCH("多位",Y341)),17,IF(ISNUMBER(SEARCH("专家",Y341)),6,"")))))</f>
        <v>/</v>
      </c>
      <c r="AA341" s="171" t="s">
        <v>145</v>
      </c>
      <c r="AB341" s="176" t="str">
        <f>IF(OR(AA341="/",AA341=""),"/",IF(ISNUMBER(SEARCH("公开",AA341)),0,IF(ISNUMBER(SEARCH("限制性信息",AA341)),3,IF(ISNUMBER(SEARCH("机密信息",AA341)),7,IF(ISNUMBER(SEARCH("严格保密",AA341)),11,"")))))</f>
        <v>/</v>
      </c>
      <c r="AC341" s="171" t="s">
        <v>145</v>
      </c>
      <c r="AD341" s="176" t="str">
        <f>IF(OR(AC341="/",AC341=""),"/",IF(ISNUMBER(SEARCH("无限制",AC341)),0,IF(ISNUMBER(SEARCH("容易",AC341)),1,IF(ISNUMBER(SEARCH("一般",AC341)),4,IF(ISNUMBER(SEARCH("困难",AC341)),10,"")))))</f>
        <v>/</v>
      </c>
      <c r="AE341" s="171" t="s">
        <v>145</v>
      </c>
      <c r="AF341" s="176" t="str" cm="1">
        <f t="array" ref="AF341">IF(OR(AE341="/",AE341=""),"/",IF(ISNUMBER(SEARCH("普通",AE341)),0,IF(ISNUMBER(SEARCH("专用",AE341)),4,IF(ISNUMBER(SEARCH("定制",AE341)),7,IF(ISNUMBER(SEARCH("多个定制",AE341)),9,””)))))</f>
        <v>/</v>
      </c>
      <c r="AG341" s="176" t="str">
        <f>IF(OR(X341="/",Z341="/",AB341="/",AD341="/",AF341="/"),"/",X341+Z341+AB341+AD341+AF341)</f>
        <v>/</v>
      </c>
      <c r="AH341" s="176" t="str">
        <f>IF(AND(AG341&gt;=0,AG341&lt;14),"高High",IF(AND(AG341&gt;=14,AG341&lt;20),"中Medium",IF(AND(AG341&gt;=20,AG341&lt;25),"低Low",IF(AND(AG341&gt;=25,AG341&lt;57),"非常低Very low",""))))</f>
        <v/>
      </c>
      <c r="AI341" s="176" t="s">
        <v>145</v>
      </c>
      <c r="AJ341" s="176" t="str">
        <f t="shared" si="225"/>
        <v>/</v>
      </c>
      <c r="AK341" s="171" t="s">
        <v>145</v>
      </c>
      <c r="AL341" s="177" t="s">
        <v>145</v>
      </c>
      <c r="AM341" s="177" t="s">
        <v>145</v>
      </c>
      <c r="AN341" s="177" t="s">
        <v>145</v>
      </c>
      <c r="AO341" s="177" t="s">
        <v>145</v>
      </c>
    </row>
    <row r="342" s="116" customFormat="1" ht="17" customHeight="1" spans="1:41">
      <c r="A342" s="171">
        <v>339</v>
      </c>
      <c r="B342" s="179"/>
      <c r="C342" s="179"/>
      <c r="D342" s="179"/>
      <c r="E342" s="171"/>
      <c r="F342" s="171"/>
      <c r="G342" s="171"/>
      <c r="H342" s="171"/>
      <c r="I342" s="171" t="s">
        <v>183</v>
      </c>
      <c r="J342" s="171"/>
      <c r="K342" s="173" t="s">
        <v>145</v>
      </c>
      <c r="L342" s="173" t="s">
        <v>145</v>
      </c>
      <c r="M342" s="173" t="s">
        <v>145</v>
      </c>
      <c r="N342" s="174" t="s">
        <v>145</v>
      </c>
      <c r="O342" s="174" t="s">
        <v>145</v>
      </c>
      <c r="P342" s="174" t="s">
        <v>145</v>
      </c>
      <c r="Q342" s="174" t="s">
        <v>145</v>
      </c>
      <c r="R342" s="174" t="s">
        <v>145</v>
      </c>
      <c r="S342" s="175" t="s">
        <v>145</v>
      </c>
      <c r="T342" s="175" t="s">
        <v>145</v>
      </c>
      <c r="U342" s="175" t="s">
        <v>145</v>
      </c>
      <c r="V342" s="171" t="s">
        <v>145</v>
      </c>
      <c r="W342" s="171" t="s">
        <v>145</v>
      </c>
      <c r="X342" s="176" t="s">
        <v>145</v>
      </c>
      <c r="Y342" s="171" t="s">
        <v>145</v>
      </c>
      <c r="Z342" s="176" t="s">
        <v>145</v>
      </c>
      <c r="AA342" s="171" t="s">
        <v>145</v>
      </c>
      <c r="AB342" s="176" t="s">
        <v>145</v>
      </c>
      <c r="AC342" s="171" t="s">
        <v>145</v>
      </c>
      <c r="AD342" s="176" t="s">
        <v>145</v>
      </c>
      <c r="AE342" s="171" t="s">
        <v>145</v>
      </c>
      <c r="AF342" s="176" t="str" cm="1">
        <f t="array" ref="AF342">IF(OR(AE342="/",AE342=""),"/",IF(ISNUMBER(SEARCH("普通",AE342)),0,IF(ISNUMBER(SEARCH("专用",AE342)),4,IF(ISNUMBER(SEARCH("定制",AE342)),7,IF(ISNUMBER(SEARCH("多个定制",AE342)),9,””)))))</f>
        <v>/</v>
      </c>
      <c r="AG342" s="176" t="s">
        <v>145</v>
      </c>
      <c r="AH342" s="176" t="s">
        <v>145</v>
      </c>
      <c r="AI342" s="176" t="s">
        <v>145</v>
      </c>
      <c r="AJ342" s="176" t="str">
        <f t="shared" si="225"/>
        <v>/</v>
      </c>
      <c r="AK342" s="171" t="s">
        <v>145</v>
      </c>
      <c r="AL342" s="177" t="s">
        <v>145</v>
      </c>
      <c r="AM342" s="177" t="s">
        <v>145</v>
      </c>
      <c r="AN342" s="177" t="s">
        <v>145</v>
      </c>
      <c r="AO342" s="177" t="s">
        <v>145</v>
      </c>
    </row>
    <row r="343" s="116" customFormat="1" ht="17" customHeight="1" spans="1:41">
      <c r="A343" s="171">
        <v>340</v>
      </c>
      <c r="B343" s="181"/>
      <c r="C343" s="181"/>
      <c r="D343" s="181"/>
      <c r="E343" s="171"/>
      <c r="F343" s="171"/>
      <c r="G343" s="171"/>
      <c r="H343" s="171"/>
      <c r="I343" s="171"/>
      <c r="J343" s="171" t="s">
        <v>183</v>
      </c>
      <c r="K343" s="173" t="s">
        <v>145</v>
      </c>
      <c r="L343" s="173" t="s">
        <v>145</v>
      </c>
      <c r="M343" s="173" t="s">
        <v>145</v>
      </c>
      <c r="N343" s="174" t="s">
        <v>145</v>
      </c>
      <c r="O343" s="174" t="s">
        <v>145</v>
      </c>
      <c r="P343" s="174" t="s">
        <v>145</v>
      </c>
      <c r="Q343" s="174" t="s">
        <v>145</v>
      </c>
      <c r="R343" s="174" t="s">
        <v>145</v>
      </c>
      <c r="S343" s="175" t="s">
        <v>145</v>
      </c>
      <c r="T343" s="175" t="s">
        <v>145</v>
      </c>
      <c r="U343" s="175" t="s">
        <v>145</v>
      </c>
      <c r="V343" s="171" t="s">
        <v>145</v>
      </c>
      <c r="W343" s="171" t="s">
        <v>145</v>
      </c>
      <c r="X343" s="176" t="s">
        <v>145</v>
      </c>
      <c r="Y343" s="171" t="s">
        <v>145</v>
      </c>
      <c r="Z343" s="176" t="s">
        <v>145</v>
      </c>
      <c r="AA343" s="171" t="s">
        <v>145</v>
      </c>
      <c r="AB343" s="176" t="s">
        <v>145</v>
      </c>
      <c r="AC343" s="171" t="s">
        <v>145</v>
      </c>
      <c r="AD343" s="176" t="s">
        <v>145</v>
      </c>
      <c r="AE343" s="171" t="s">
        <v>145</v>
      </c>
      <c r="AF343" s="176" t="str" cm="1">
        <f t="array" ref="AF343">IF(OR(AE343="/",AE343=""),"/",IF(ISNUMBER(SEARCH("普通",AE343)),0,IF(ISNUMBER(SEARCH("专用",AE343)),4,IF(ISNUMBER(SEARCH("定制",AE343)),7,IF(ISNUMBER(SEARCH("多个定制",AE343)),9,””)))))</f>
        <v>/</v>
      </c>
      <c r="AG343" s="176" t="s">
        <v>145</v>
      </c>
      <c r="AH343" s="176" t="s">
        <v>145</v>
      </c>
      <c r="AI343" s="176" t="s">
        <v>145</v>
      </c>
      <c r="AJ343" s="176" t="str">
        <f t="shared" si="225"/>
        <v>/</v>
      </c>
      <c r="AK343" s="171" t="s">
        <v>145</v>
      </c>
      <c r="AL343" s="177" t="s">
        <v>145</v>
      </c>
      <c r="AM343" s="177" t="s">
        <v>145</v>
      </c>
      <c r="AN343" s="177" t="s">
        <v>145</v>
      </c>
      <c r="AO343" s="177" t="s">
        <v>145</v>
      </c>
    </row>
    <row r="344" s="116" customFormat="1" ht="17" customHeight="1" spans="1:41">
      <c r="A344" s="171">
        <v>341</v>
      </c>
      <c r="B344" s="172" t="s">
        <v>1103</v>
      </c>
      <c r="C344" s="171" t="s">
        <v>71</v>
      </c>
      <c r="D344" s="173" t="s">
        <v>1104</v>
      </c>
      <c r="E344" s="171" t="s">
        <v>73</v>
      </c>
      <c r="F344" s="171"/>
      <c r="G344" s="171"/>
      <c r="H344" s="171"/>
      <c r="I344" s="171"/>
      <c r="J344" s="171"/>
      <c r="K344" s="173" t="s">
        <v>509</v>
      </c>
      <c r="L344" s="173" t="s">
        <v>1105</v>
      </c>
      <c r="M344" s="173" t="s">
        <v>76</v>
      </c>
      <c r="N344" s="174" t="s">
        <v>77</v>
      </c>
      <c r="O344" s="174" t="s">
        <v>77</v>
      </c>
      <c r="P344" s="174" t="s">
        <v>78</v>
      </c>
      <c r="Q344" s="174" t="s">
        <v>77</v>
      </c>
      <c r="R344" s="174" t="str">
        <f t="shared" ref="R344:R350" si="233">IF(OR(N344="严重Severe",O344="严重Severe",P344="严重Severe",Q344="严重Severe"),"严重Severe",IF(OR(N344="主要Major",O344="主要Major",P344="主要Major",Q344="主要Major"),"主要Major",IF(OR(N344="中等Medium",O344="中等Medium",P344="中等Medium",Q344="中等Medium"),"中等Medium",IF(OR(N344="可忽略不计Negligible",O344="可忽略不计Negligible",P344="可忽略不计Negligible",Q344="可忽略不计Negligible"),"可忽略不计Negligible","/"))))</f>
        <v>主要Major</v>
      </c>
      <c r="S344" s="175" t="s">
        <v>78</v>
      </c>
      <c r="T344" s="175" t="s">
        <v>511</v>
      </c>
      <c r="U344" s="175" t="s">
        <v>80</v>
      </c>
      <c r="V344" s="171" t="s">
        <v>1106</v>
      </c>
      <c r="W344" s="171" t="s">
        <v>82</v>
      </c>
      <c r="X344" s="176">
        <f t="shared" ref="X344:X350" si="234">IF(OR(W344="/",W344=""),"/",IF(ISNUMBER(SEARCH("1天",W344)),0,IF(ISNUMBER(SEARCH("一周",W344)),1,IF(ISNUMBER(SEARCH("1个月",W344)),4,IF(ISNUMBER(SEARCH("超过",W344)),19,IF(ISNUMBER(SEARCH("6个月",W344)),17,""))))))</f>
        <v>0</v>
      </c>
      <c r="Y344" s="171" t="s">
        <v>83</v>
      </c>
      <c r="Z344" s="176">
        <f t="shared" ref="Z344:Z350" si="235">IF(OR(Y344="/",Y344=""),"/",IF(ISNUMBER(SEARCH("新手",Y344)),0,IF(ISNUMBER(SEARCH("熟练",Y344)),3,IF(ISNUMBER(SEARCH("多位",Y344)),17,IF(ISNUMBER(SEARCH("专家",Y344)),6,"")))))</f>
        <v>6</v>
      </c>
      <c r="AA344" s="171" t="s">
        <v>84</v>
      </c>
      <c r="AB344" s="176">
        <f t="shared" ref="AB344:AB350" si="236">IF(OR(AA344="/",AA344=""),"/",IF(ISNUMBER(SEARCH("公开",AA344)),0,IF(ISNUMBER(SEARCH("限制性信息",AA344)),3,IF(ISNUMBER(SEARCH("机密信息",AA344)),7,IF(ISNUMBER(SEARCH("严格保密",AA344)),11,"")))))</f>
        <v>3</v>
      </c>
      <c r="AC344" s="171" t="s">
        <v>85</v>
      </c>
      <c r="AD344" s="176">
        <f t="shared" ref="AD344:AD350" si="237">IF(OR(AC344="/",AC344=""),"/",IF(ISNUMBER(SEARCH("无限制",AC344)),0,IF(ISNUMBER(SEARCH("容易",AC344)),1,IF(ISNUMBER(SEARCH("一般",AC344)),4,IF(ISNUMBER(SEARCH("困难",AC344)),10,"")))))</f>
        <v>4</v>
      </c>
      <c r="AE344" s="171" t="s">
        <v>86</v>
      </c>
      <c r="AF344" s="176" cm="1">
        <f t="array" ref="AF344">IF(OR(AE344="/",AE344=""),"/",IF(ISNUMBER(SEARCH("普通",AE344)),0,IF(ISNUMBER(SEARCH("专用",AE344)),4,IF(ISNUMBER(SEARCH("定制",AE344)),7,IF(ISNUMBER(SEARCH("多个定制",AE344)),9,””)))))</f>
        <v>4</v>
      </c>
      <c r="AG344" s="176">
        <f t="shared" ref="AG344:AG350" si="238">IF(OR(X344="/",Z344="/",AB344="/",AD344="/",AF344="/"),"/",X344+Z344+AB344+AD344+AF344)</f>
        <v>17</v>
      </c>
      <c r="AH344" s="176" t="str">
        <f t="shared" ref="AH344:AH350" si="239">IF(AND(AG344&gt;=0,AG344&lt;14),"高High",IF(AND(AG344&gt;=14,AG344&lt;20),"中Medium",IF(AND(AG344&gt;=20,AG344&lt;25),"低Low",IF(AND(AG344&gt;=25,AG344&lt;57),"非常低Very low",""))))</f>
        <v>中Medium</v>
      </c>
      <c r="AI344" s="176" t="s">
        <v>87</v>
      </c>
      <c r="AJ344" s="176" t="str">
        <f t="shared" si="225"/>
        <v>降低
Reucing</v>
      </c>
      <c r="AK344" s="171" t="s">
        <v>513</v>
      </c>
      <c r="AL344" s="177" t="s">
        <v>514</v>
      </c>
      <c r="AM344" s="180" t="s">
        <v>90</v>
      </c>
      <c r="AN344" s="178" t="s">
        <v>91</v>
      </c>
      <c r="AO344" s="178" t="s">
        <v>92</v>
      </c>
    </row>
    <row r="345" s="116" customFormat="1" ht="17" customHeight="1" spans="1:41">
      <c r="A345" s="171">
        <v>342</v>
      </c>
      <c r="B345" s="179"/>
      <c r="C345" s="179"/>
      <c r="D345" s="179"/>
      <c r="E345" s="171" t="s">
        <v>73</v>
      </c>
      <c r="F345" s="171"/>
      <c r="G345" s="171"/>
      <c r="H345" s="171"/>
      <c r="I345" s="171"/>
      <c r="J345" s="171"/>
      <c r="K345" s="173" t="s">
        <v>515</v>
      </c>
      <c r="L345" s="173" t="s">
        <v>1107</v>
      </c>
      <c r="M345" s="173" t="s">
        <v>106</v>
      </c>
      <c r="N345" s="174" t="s">
        <v>77</v>
      </c>
      <c r="O345" s="174" t="s">
        <v>77</v>
      </c>
      <c r="P345" s="174" t="s">
        <v>96</v>
      </c>
      <c r="Q345" s="174" t="s">
        <v>78</v>
      </c>
      <c r="R345" s="174" t="str">
        <f t="shared" si="233"/>
        <v>主要Major</v>
      </c>
      <c r="S345" s="175" t="s">
        <v>107</v>
      </c>
      <c r="T345" s="175" t="s">
        <v>517</v>
      </c>
      <c r="U345" s="175" t="s">
        <v>109</v>
      </c>
      <c r="V345" s="171" t="s">
        <v>1108</v>
      </c>
      <c r="W345" s="171" t="s">
        <v>111</v>
      </c>
      <c r="X345" s="176">
        <f t="shared" si="234"/>
        <v>1</v>
      </c>
      <c r="Y345" s="171" t="s">
        <v>83</v>
      </c>
      <c r="Z345" s="176">
        <f t="shared" si="235"/>
        <v>6</v>
      </c>
      <c r="AA345" s="171" t="s">
        <v>84</v>
      </c>
      <c r="AB345" s="176">
        <f t="shared" si="236"/>
        <v>3</v>
      </c>
      <c r="AC345" s="171" t="s">
        <v>85</v>
      </c>
      <c r="AD345" s="176">
        <f t="shared" si="237"/>
        <v>4</v>
      </c>
      <c r="AE345" s="171" t="s">
        <v>143</v>
      </c>
      <c r="AF345" s="176" cm="1">
        <f t="array" ref="AF345">IF(OR(AE345="/",AE345=""),"/",IF(ISNUMBER(SEARCH("普通",AE345)),0,IF(ISNUMBER(SEARCH("专用",AE345)),4,IF(ISNUMBER(SEARCH("定制",AE345)),7,IF(ISNUMBER(SEARCH("多个定制",AE345)),9,””)))))</f>
        <v>7</v>
      </c>
      <c r="AG345" s="176">
        <f t="shared" si="238"/>
        <v>21</v>
      </c>
      <c r="AH345" s="176" t="str">
        <f t="shared" si="239"/>
        <v>低Low</v>
      </c>
      <c r="AI345" s="176" t="s">
        <v>112</v>
      </c>
      <c r="AJ345" s="176" t="str">
        <f t="shared" si="225"/>
        <v>消除
Avoiding</v>
      </c>
      <c r="AK345" s="171" t="s">
        <v>519</v>
      </c>
      <c r="AL345" s="177" t="s">
        <v>520</v>
      </c>
      <c r="AM345" s="180" t="s">
        <v>115</v>
      </c>
      <c r="AN345" s="178" t="s">
        <v>116</v>
      </c>
      <c r="AO345" s="178" t="s">
        <v>117</v>
      </c>
    </row>
    <row r="346" s="116" customFormat="1" ht="17" customHeight="1" spans="1:41">
      <c r="A346" s="171">
        <v>343</v>
      </c>
      <c r="B346" s="179"/>
      <c r="C346" s="179"/>
      <c r="D346" s="179"/>
      <c r="E346" s="171"/>
      <c r="F346" s="171" t="s">
        <v>73</v>
      </c>
      <c r="G346" s="171"/>
      <c r="H346" s="171"/>
      <c r="I346" s="171"/>
      <c r="J346" s="171"/>
      <c r="K346" s="173" t="s">
        <v>521</v>
      </c>
      <c r="L346" s="173" t="s">
        <v>1109</v>
      </c>
      <c r="M346" s="173" t="s">
        <v>120</v>
      </c>
      <c r="N346" s="174" t="s">
        <v>77</v>
      </c>
      <c r="O346" s="174" t="s">
        <v>96</v>
      </c>
      <c r="P346" s="174" t="s">
        <v>78</v>
      </c>
      <c r="Q346" s="174" t="s">
        <v>77</v>
      </c>
      <c r="R346" s="174" t="str">
        <f t="shared" si="233"/>
        <v>主要Major</v>
      </c>
      <c r="S346" s="175" t="s">
        <v>78</v>
      </c>
      <c r="T346" s="175" t="s">
        <v>523</v>
      </c>
      <c r="U346" s="175" t="s">
        <v>1110</v>
      </c>
      <c r="V346" s="171" t="s">
        <v>1106</v>
      </c>
      <c r="W346" s="171" t="s">
        <v>82</v>
      </c>
      <c r="X346" s="176">
        <f t="shared" si="234"/>
        <v>0</v>
      </c>
      <c r="Y346" s="171" t="s">
        <v>83</v>
      </c>
      <c r="Z346" s="176">
        <f t="shared" si="235"/>
        <v>6</v>
      </c>
      <c r="AA346" s="171" t="s">
        <v>84</v>
      </c>
      <c r="AB346" s="176">
        <f t="shared" si="236"/>
        <v>3</v>
      </c>
      <c r="AC346" s="171" t="s">
        <v>85</v>
      </c>
      <c r="AD346" s="176">
        <f t="shared" si="237"/>
        <v>4</v>
      </c>
      <c r="AE346" s="171" t="s">
        <v>86</v>
      </c>
      <c r="AF346" s="176" cm="1">
        <f t="array" ref="AF346">IF(OR(AE346="/",AE346=""),"/",IF(ISNUMBER(SEARCH("普通",AE346)),0,IF(ISNUMBER(SEARCH("专用",AE346)),4,IF(ISNUMBER(SEARCH("定制",AE346)),7,IF(ISNUMBER(SEARCH("多个定制",AE346)),9,””)))))</f>
        <v>4</v>
      </c>
      <c r="AG346" s="176">
        <f t="shared" si="238"/>
        <v>17</v>
      </c>
      <c r="AH346" s="176" t="str">
        <f t="shared" si="239"/>
        <v>中Medium</v>
      </c>
      <c r="AI346" s="176" t="s">
        <v>87</v>
      </c>
      <c r="AJ346" s="176" t="str">
        <f t="shared" si="225"/>
        <v>降低
Reucing</v>
      </c>
      <c r="AK346" s="171" t="s">
        <v>525</v>
      </c>
      <c r="AL346" s="177" t="s">
        <v>526</v>
      </c>
      <c r="AM346" s="180" t="s">
        <v>125</v>
      </c>
      <c r="AN346" s="178" t="s">
        <v>126</v>
      </c>
      <c r="AO346" s="178" t="s">
        <v>127</v>
      </c>
    </row>
    <row r="347" s="116" customFormat="1" ht="17" customHeight="1" spans="1:41">
      <c r="A347" s="171">
        <v>344</v>
      </c>
      <c r="B347" s="179"/>
      <c r="C347" s="179"/>
      <c r="D347" s="179"/>
      <c r="E347" s="171"/>
      <c r="F347" s="171" t="s">
        <v>73</v>
      </c>
      <c r="G347" s="171"/>
      <c r="H347" s="171"/>
      <c r="I347" s="171"/>
      <c r="J347" s="171"/>
      <c r="K347" s="173" t="s">
        <v>527</v>
      </c>
      <c r="L347" s="173" t="s">
        <v>1111</v>
      </c>
      <c r="M347" s="173" t="s">
        <v>120</v>
      </c>
      <c r="N347" s="174" t="s">
        <v>96</v>
      </c>
      <c r="O347" s="174" t="s">
        <v>96</v>
      </c>
      <c r="P347" s="174" t="s">
        <v>78</v>
      </c>
      <c r="Q347" s="174" t="s">
        <v>77</v>
      </c>
      <c r="R347" s="174" t="str">
        <f t="shared" si="233"/>
        <v>主要Major</v>
      </c>
      <c r="S347" s="175" t="s">
        <v>78</v>
      </c>
      <c r="T347" s="175" t="s">
        <v>529</v>
      </c>
      <c r="U347" s="175" t="s">
        <v>1112</v>
      </c>
      <c r="V347" s="171" t="s">
        <v>1106</v>
      </c>
      <c r="W347" s="171" t="s">
        <v>111</v>
      </c>
      <c r="X347" s="176">
        <f t="shared" si="234"/>
        <v>1</v>
      </c>
      <c r="Y347" s="171" t="s">
        <v>83</v>
      </c>
      <c r="Z347" s="176">
        <f t="shared" si="235"/>
        <v>6</v>
      </c>
      <c r="AA347" s="171" t="s">
        <v>84</v>
      </c>
      <c r="AB347" s="176">
        <f t="shared" si="236"/>
        <v>3</v>
      </c>
      <c r="AC347" s="171" t="s">
        <v>85</v>
      </c>
      <c r="AD347" s="176">
        <f t="shared" si="237"/>
        <v>4</v>
      </c>
      <c r="AE347" s="171" t="s">
        <v>86</v>
      </c>
      <c r="AF347" s="176" cm="1">
        <f t="array" ref="AF347">IF(OR(AE347="/",AE347=""),"/",IF(ISNUMBER(SEARCH("普通",AE347)),0,IF(ISNUMBER(SEARCH("专用",AE347)),4,IF(ISNUMBER(SEARCH("定制",AE347)),7,IF(ISNUMBER(SEARCH("多个定制",AE347)),9,””)))))</f>
        <v>4</v>
      </c>
      <c r="AG347" s="176">
        <f t="shared" si="238"/>
        <v>18</v>
      </c>
      <c r="AH347" s="176" t="str">
        <f t="shared" si="239"/>
        <v>中Medium</v>
      </c>
      <c r="AI347" s="176" t="s">
        <v>87</v>
      </c>
      <c r="AJ347" s="176" t="str">
        <f t="shared" si="225"/>
        <v>降低
Reucing</v>
      </c>
      <c r="AK347" s="171" t="s">
        <v>531</v>
      </c>
      <c r="AL347" s="177" t="s">
        <v>532</v>
      </c>
      <c r="AM347" s="180" t="s">
        <v>134</v>
      </c>
      <c r="AN347" s="178" t="s">
        <v>135</v>
      </c>
      <c r="AO347" s="178" t="s">
        <v>136</v>
      </c>
    </row>
    <row r="348" s="116" customFormat="1" ht="17" customHeight="1" spans="1:41">
      <c r="A348" s="171">
        <v>345</v>
      </c>
      <c r="B348" s="179"/>
      <c r="C348" s="179"/>
      <c r="D348" s="179"/>
      <c r="E348" s="171"/>
      <c r="F348" s="171"/>
      <c r="G348" s="171" t="s">
        <v>73</v>
      </c>
      <c r="H348" s="171"/>
      <c r="I348" s="171"/>
      <c r="J348" s="171"/>
      <c r="K348" s="173" t="s">
        <v>533</v>
      </c>
      <c r="L348" s="173" t="s">
        <v>1113</v>
      </c>
      <c r="M348" s="173" t="s">
        <v>150</v>
      </c>
      <c r="N348" s="174" t="s">
        <v>96</v>
      </c>
      <c r="O348" s="174" t="s">
        <v>96</v>
      </c>
      <c r="P348" s="174" t="s">
        <v>96</v>
      </c>
      <c r="Q348" s="174" t="s">
        <v>77</v>
      </c>
      <c r="R348" s="174" t="str">
        <f t="shared" si="233"/>
        <v>中等Medium</v>
      </c>
      <c r="S348" s="175" t="s">
        <v>96</v>
      </c>
      <c r="T348" s="175" t="s">
        <v>535</v>
      </c>
      <c r="U348" s="175" t="s">
        <v>152</v>
      </c>
      <c r="V348" s="171" t="s">
        <v>1106</v>
      </c>
      <c r="W348" s="171" t="s">
        <v>82</v>
      </c>
      <c r="X348" s="176">
        <f t="shared" si="234"/>
        <v>0</v>
      </c>
      <c r="Y348" s="171" t="s">
        <v>83</v>
      </c>
      <c r="Z348" s="176">
        <f t="shared" si="235"/>
        <v>6</v>
      </c>
      <c r="AA348" s="171" t="s">
        <v>153</v>
      </c>
      <c r="AB348" s="176">
        <f t="shared" si="236"/>
        <v>0</v>
      </c>
      <c r="AC348" s="171" t="s">
        <v>85</v>
      </c>
      <c r="AD348" s="176">
        <f t="shared" si="237"/>
        <v>4</v>
      </c>
      <c r="AE348" s="171" t="s">
        <v>143</v>
      </c>
      <c r="AF348" s="176" cm="1">
        <f t="array" ref="AF348">IF(OR(AE348="/",AE348=""),"/",IF(ISNUMBER(SEARCH("普通",AE348)),0,IF(ISNUMBER(SEARCH("专用",AE348)),4,IF(ISNUMBER(SEARCH("定制",AE348)),7,IF(ISNUMBER(SEARCH("多个定制",AE348)),9,””)))))</f>
        <v>7</v>
      </c>
      <c r="AG348" s="176">
        <f t="shared" si="238"/>
        <v>17</v>
      </c>
      <c r="AH348" s="176" t="str">
        <f t="shared" si="239"/>
        <v>中Medium</v>
      </c>
      <c r="AI348" s="176" t="s">
        <v>144</v>
      </c>
      <c r="AJ348" s="176" t="str">
        <f t="shared" si="225"/>
        <v>保留
Retaining</v>
      </c>
      <c r="AK348" s="171" t="s">
        <v>145</v>
      </c>
      <c r="AL348" s="177" t="s">
        <v>145</v>
      </c>
      <c r="AM348" s="171" t="s">
        <v>145</v>
      </c>
      <c r="AN348" s="178" t="s">
        <v>280</v>
      </c>
      <c r="AO348" s="178" t="s">
        <v>281</v>
      </c>
    </row>
    <row r="349" s="116" customFormat="1" ht="17" customHeight="1" spans="1:41">
      <c r="A349" s="171">
        <v>346</v>
      </c>
      <c r="B349" s="179"/>
      <c r="C349" s="179"/>
      <c r="D349" s="179"/>
      <c r="E349" s="171"/>
      <c r="F349" s="171"/>
      <c r="G349" s="171"/>
      <c r="H349" s="171" t="s">
        <v>73</v>
      </c>
      <c r="I349" s="171"/>
      <c r="J349" s="171"/>
      <c r="K349" s="173" t="s">
        <v>536</v>
      </c>
      <c r="L349" s="173" t="s">
        <v>1114</v>
      </c>
      <c r="M349" s="173" t="s">
        <v>166</v>
      </c>
      <c r="N349" s="174" t="s">
        <v>96</v>
      </c>
      <c r="O349" s="174" t="s">
        <v>96</v>
      </c>
      <c r="P349" s="174" t="s">
        <v>96</v>
      </c>
      <c r="Q349" s="174" t="s">
        <v>77</v>
      </c>
      <c r="R349" s="174" t="str">
        <f t="shared" si="233"/>
        <v>中等Medium</v>
      </c>
      <c r="S349" s="171" t="s">
        <v>96</v>
      </c>
      <c r="T349" s="175" t="s">
        <v>538</v>
      </c>
      <c r="U349" s="175" t="s">
        <v>1115</v>
      </c>
      <c r="V349" s="171" t="s">
        <v>1106</v>
      </c>
      <c r="W349" s="171" t="s">
        <v>82</v>
      </c>
      <c r="X349" s="176">
        <f t="shared" si="234"/>
        <v>0</v>
      </c>
      <c r="Y349" s="171" t="s">
        <v>83</v>
      </c>
      <c r="Z349" s="176">
        <f t="shared" si="235"/>
        <v>6</v>
      </c>
      <c r="AA349" s="171" t="s">
        <v>84</v>
      </c>
      <c r="AB349" s="176">
        <f t="shared" si="236"/>
        <v>3</v>
      </c>
      <c r="AC349" s="171" t="s">
        <v>85</v>
      </c>
      <c r="AD349" s="176">
        <f t="shared" si="237"/>
        <v>4</v>
      </c>
      <c r="AE349" s="171" t="s">
        <v>86</v>
      </c>
      <c r="AF349" s="176" cm="1">
        <f t="array" ref="AF349">IF(OR(AE349="/",AE349=""),"/",IF(ISNUMBER(SEARCH("普通",AE349)),0,IF(ISNUMBER(SEARCH("专用",AE349)),4,IF(ISNUMBER(SEARCH("定制",AE349)),7,IF(ISNUMBER(SEARCH("多个定制",AE349)),9,””)))))</f>
        <v>4</v>
      </c>
      <c r="AG349" s="176">
        <f t="shared" si="238"/>
        <v>17</v>
      </c>
      <c r="AH349" s="176" t="str">
        <f t="shared" si="239"/>
        <v>中Medium</v>
      </c>
      <c r="AI349" s="176" t="s">
        <v>144</v>
      </c>
      <c r="AJ349" s="176" t="str">
        <f t="shared" si="225"/>
        <v>保留
Retaining</v>
      </c>
      <c r="AK349" s="171" t="s">
        <v>145</v>
      </c>
      <c r="AL349" s="177" t="s">
        <v>145</v>
      </c>
      <c r="AM349" s="180" t="s">
        <v>316</v>
      </c>
      <c r="AN349" s="178" t="s">
        <v>317</v>
      </c>
      <c r="AO349" s="178" t="s">
        <v>318</v>
      </c>
    </row>
    <row r="350" s="116" customFormat="1" ht="17" customHeight="1" spans="1:41">
      <c r="A350" s="171">
        <v>347</v>
      </c>
      <c r="B350" s="179"/>
      <c r="C350" s="179"/>
      <c r="D350" s="179"/>
      <c r="E350" s="171"/>
      <c r="F350" s="171"/>
      <c r="G350" s="171"/>
      <c r="H350" s="171"/>
      <c r="I350" s="171" t="s">
        <v>73</v>
      </c>
      <c r="J350" s="171"/>
      <c r="K350" s="173" t="s">
        <v>540</v>
      </c>
      <c r="L350" s="173" t="s">
        <v>1116</v>
      </c>
      <c r="M350" s="173" t="s">
        <v>174</v>
      </c>
      <c r="N350" s="174" t="s">
        <v>96</v>
      </c>
      <c r="O350" s="174" t="s">
        <v>96</v>
      </c>
      <c r="P350" s="174" t="s">
        <v>96</v>
      </c>
      <c r="Q350" s="174" t="s">
        <v>77</v>
      </c>
      <c r="R350" s="174" t="str">
        <f t="shared" si="233"/>
        <v>中等Medium</v>
      </c>
      <c r="S350" s="175" t="s">
        <v>96</v>
      </c>
      <c r="T350" s="175" t="s">
        <v>542</v>
      </c>
      <c r="U350" s="175" t="s">
        <v>176</v>
      </c>
      <c r="V350" s="171" t="s">
        <v>1106</v>
      </c>
      <c r="W350" s="171" t="s">
        <v>82</v>
      </c>
      <c r="X350" s="176">
        <f t="shared" si="234"/>
        <v>0</v>
      </c>
      <c r="Y350" s="171" t="s">
        <v>177</v>
      </c>
      <c r="Z350" s="176">
        <f t="shared" si="235"/>
        <v>3</v>
      </c>
      <c r="AA350" s="171" t="s">
        <v>153</v>
      </c>
      <c r="AB350" s="176">
        <f t="shared" si="236"/>
        <v>0</v>
      </c>
      <c r="AC350" s="171" t="s">
        <v>85</v>
      </c>
      <c r="AD350" s="176">
        <f t="shared" si="237"/>
        <v>4</v>
      </c>
      <c r="AE350" s="171" t="s">
        <v>86</v>
      </c>
      <c r="AF350" s="176" cm="1">
        <f t="array" ref="AF350">IF(OR(AE350="/",AE350=""),"/",IF(ISNUMBER(SEARCH("普通",AE350)),0,IF(ISNUMBER(SEARCH("专用",AE350)),4,IF(ISNUMBER(SEARCH("定制",AE350)),7,IF(ISNUMBER(SEARCH("多个定制",AE350)),9,””)))))</f>
        <v>4</v>
      </c>
      <c r="AG350" s="176">
        <f t="shared" si="238"/>
        <v>11</v>
      </c>
      <c r="AH350" s="176" t="str">
        <f t="shared" si="239"/>
        <v>高High</v>
      </c>
      <c r="AI350" s="176" t="s">
        <v>87</v>
      </c>
      <c r="AJ350" s="176" t="str">
        <f t="shared" si="225"/>
        <v>降低
Reucing</v>
      </c>
      <c r="AK350" s="171" t="s">
        <v>543</v>
      </c>
      <c r="AL350" s="177" t="s">
        <v>544</v>
      </c>
      <c r="AM350" s="180" t="s">
        <v>329</v>
      </c>
      <c r="AN350" s="178" t="s">
        <v>181</v>
      </c>
      <c r="AO350" s="178" t="s">
        <v>182</v>
      </c>
    </row>
    <row r="351" s="116" customFormat="1" ht="17" customHeight="1" spans="1:41">
      <c r="A351" s="171">
        <v>348</v>
      </c>
      <c r="B351" s="181"/>
      <c r="C351" s="181"/>
      <c r="D351" s="181"/>
      <c r="E351" s="171"/>
      <c r="F351" s="171"/>
      <c r="G351" s="171"/>
      <c r="H351" s="171"/>
      <c r="I351" s="171"/>
      <c r="J351" s="171" t="s">
        <v>183</v>
      </c>
      <c r="K351" s="173" t="s">
        <v>145</v>
      </c>
      <c r="L351" s="173" t="s">
        <v>145</v>
      </c>
      <c r="M351" s="173" t="s">
        <v>145</v>
      </c>
      <c r="N351" s="174" t="s">
        <v>145</v>
      </c>
      <c r="O351" s="174" t="s">
        <v>145</v>
      </c>
      <c r="P351" s="174" t="s">
        <v>145</v>
      </c>
      <c r="Q351" s="174" t="s">
        <v>145</v>
      </c>
      <c r="R351" s="174" t="s">
        <v>145</v>
      </c>
      <c r="S351" s="175" t="s">
        <v>145</v>
      </c>
      <c r="T351" s="175" t="s">
        <v>145</v>
      </c>
      <c r="U351" s="175" t="s">
        <v>145</v>
      </c>
      <c r="V351" s="171" t="s">
        <v>145</v>
      </c>
      <c r="W351" s="171" t="s">
        <v>145</v>
      </c>
      <c r="X351" s="176" t="s">
        <v>145</v>
      </c>
      <c r="Y351" s="171" t="s">
        <v>145</v>
      </c>
      <c r="Z351" s="176" t="s">
        <v>145</v>
      </c>
      <c r="AA351" s="171" t="s">
        <v>145</v>
      </c>
      <c r="AB351" s="176" t="s">
        <v>145</v>
      </c>
      <c r="AC351" s="171" t="s">
        <v>145</v>
      </c>
      <c r="AD351" s="176" t="s">
        <v>145</v>
      </c>
      <c r="AE351" s="171" t="s">
        <v>145</v>
      </c>
      <c r="AF351" s="176" t="str" cm="1">
        <f t="array" ref="AF351">IF(OR(AE351="/",AE351=""),"/",IF(ISNUMBER(SEARCH("普通",AE351)),0,IF(ISNUMBER(SEARCH("专用",AE351)),4,IF(ISNUMBER(SEARCH("定制",AE351)),7,IF(ISNUMBER(SEARCH("多个定制",AE351)),9,””)))))</f>
        <v>/</v>
      </c>
      <c r="AG351" s="176" t="s">
        <v>145</v>
      </c>
      <c r="AH351" s="176" t="s">
        <v>145</v>
      </c>
      <c r="AI351" s="176" t="s">
        <v>145</v>
      </c>
      <c r="AJ351" s="176" t="str">
        <f t="shared" si="225"/>
        <v>/</v>
      </c>
      <c r="AK351" s="171" t="s">
        <v>145</v>
      </c>
      <c r="AL351" s="177" t="s">
        <v>145</v>
      </c>
      <c r="AM351" s="177" t="s">
        <v>145</v>
      </c>
      <c r="AN351" s="177" t="s">
        <v>145</v>
      </c>
      <c r="AO351" s="177" t="s">
        <v>145</v>
      </c>
    </row>
    <row r="352" s="116" customFormat="1" ht="17" customHeight="1" spans="1:41">
      <c r="A352" s="171">
        <v>349</v>
      </c>
      <c r="B352" s="172" t="s">
        <v>1117</v>
      </c>
      <c r="C352" s="171" t="s">
        <v>71</v>
      </c>
      <c r="D352" s="173" t="s">
        <v>1118</v>
      </c>
      <c r="E352" s="171" t="s">
        <v>73</v>
      </c>
      <c r="F352" s="171"/>
      <c r="G352" s="171"/>
      <c r="H352" s="171"/>
      <c r="I352" s="171"/>
      <c r="J352" s="171"/>
      <c r="K352" s="173" t="s">
        <v>509</v>
      </c>
      <c r="L352" s="173" t="s">
        <v>1119</v>
      </c>
      <c r="M352" s="173" t="s">
        <v>76</v>
      </c>
      <c r="N352" s="174" t="s">
        <v>77</v>
      </c>
      <c r="O352" s="174" t="s">
        <v>77</v>
      </c>
      <c r="P352" s="174" t="s">
        <v>78</v>
      </c>
      <c r="Q352" s="174" t="s">
        <v>77</v>
      </c>
      <c r="R352" s="174" t="str">
        <f t="shared" ref="R352:R358" si="240">IF(OR(N352="严重Severe",O352="严重Severe",P352="严重Severe",Q352="严重Severe"),"严重Severe",IF(OR(N352="主要Major",O352="主要Major",P352="主要Major",Q352="主要Major"),"主要Major",IF(OR(N352="中等Medium",O352="中等Medium",P352="中等Medium",Q352="中等Medium"),"中等Medium",IF(OR(N352="可忽略不计Negligible",O352="可忽略不计Negligible",P352="可忽略不计Negligible",Q352="可忽略不计Negligible"),"可忽略不计Negligible","/"))))</f>
        <v>主要Major</v>
      </c>
      <c r="S352" s="175" t="s">
        <v>78</v>
      </c>
      <c r="T352" s="175" t="s">
        <v>511</v>
      </c>
      <c r="U352" s="175" t="s">
        <v>80</v>
      </c>
      <c r="V352" s="171" t="s">
        <v>1120</v>
      </c>
      <c r="W352" s="171" t="s">
        <v>82</v>
      </c>
      <c r="X352" s="176">
        <f t="shared" ref="X352:X358" si="241">IF(OR(W352="/",W352=""),"/",IF(ISNUMBER(SEARCH("1天",W352)),0,IF(ISNUMBER(SEARCH("一周",W352)),1,IF(ISNUMBER(SEARCH("1个月",W352)),4,IF(ISNUMBER(SEARCH("超过",W352)),19,IF(ISNUMBER(SEARCH("6个月",W352)),17,""))))))</f>
        <v>0</v>
      </c>
      <c r="Y352" s="171" t="s">
        <v>83</v>
      </c>
      <c r="Z352" s="176">
        <f t="shared" ref="Z352:Z358" si="242">IF(OR(Y352="/",Y352=""),"/",IF(ISNUMBER(SEARCH("新手",Y352)),0,IF(ISNUMBER(SEARCH("熟练",Y352)),3,IF(ISNUMBER(SEARCH("多位",Y352)),17,IF(ISNUMBER(SEARCH("专家",Y352)),6,"")))))</f>
        <v>6</v>
      </c>
      <c r="AA352" s="171" t="s">
        <v>84</v>
      </c>
      <c r="AB352" s="176">
        <f t="shared" ref="AB352:AB358" si="243">IF(OR(AA352="/",AA352=""),"/",IF(ISNUMBER(SEARCH("公开",AA352)),0,IF(ISNUMBER(SEARCH("限制性信息",AA352)),3,IF(ISNUMBER(SEARCH("机密信息",AA352)),7,IF(ISNUMBER(SEARCH("严格保密",AA352)),11,"")))))</f>
        <v>3</v>
      </c>
      <c r="AC352" s="171" t="s">
        <v>85</v>
      </c>
      <c r="AD352" s="176">
        <f t="shared" ref="AD352:AD358" si="244">IF(OR(AC352="/",AC352=""),"/",IF(ISNUMBER(SEARCH("无限制",AC352)),0,IF(ISNUMBER(SEARCH("容易",AC352)),1,IF(ISNUMBER(SEARCH("一般",AC352)),4,IF(ISNUMBER(SEARCH("困难",AC352)),10,"")))))</f>
        <v>4</v>
      </c>
      <c r="AE352" s="171" t="s">
        <v>86</v>
      </c>
      <c r="AF352" s="176" cm="1">
        <f t="array" ref="AF352">IF(OR(AE352="/",AE352=""),"/",IF(ISNUMBER(SEARCH("普通",AE352)),0,IF(ISNUMBER(SEARCH("专用",AE352)),4,IF(ISNUMBER(SEARCH("定制",AE352)),7,IF(ISNUMBER(SEARCH("多个定制",AE352)),9,””)))))</f>
        <v>4</v>
      </c>
      <c r="AG352" s="176">
        <f t="shared" ref="AG352:AG358" si="245">IF(OR(X352="/",Z352="/",AB352="/",AD352="/",AF352="/"),"/",X352+Z352+AB352+AD352+AF352)</f>
        <v>17</v>
      </c>
      <c r="AH352" s="176" t="str">
        <f t="shared" ref="AH352:AH358" si="246">IF(AND(AG352&gt;=0,AG352&lt;14),"高High",IF(AND(AG352&gt;=14,AG352&lt;20),"中Medium",IF(AND(AG352&gt;=20,AG352&lt;25),"低Low",IF(AND(AG352&gt;=25,AG352&lt;57),"非常低Very low",""))))</f>
        <v>中Medium</v>
      </c>
      <c r="AI352" s="176" t="s">
        <v>87</v>
      </c>
      <c r="AJ352" s="176" t="str">
        <f t="shared" si="225"/>
        <v>降低
Reucing</v>
      </c>
      <c r="AK352" s="171" t="s">
        <v>513</v>
      </c>
      <c r="AL352" s="177" t="s">
        <v>514</v>
      </c>
      <c r="AM352" s="180" t="s">
        <v>90</v>
      </c>
      <c r="AN352" s="200" t="s">
        <v>91</v>
      </c>
      <c r="AO352" s="200" t="s">
        <v>92</v>
      </c>
    </row>
    <row r="353" s="116" customFormat="1" ht="17" customHeight="1" spans="1:41">
      <c r="A353" s="171">
        <v>350</v>
      </c>
      <c r="B353" s="179"/>
      <c r="C353" s="179"/>
      <c r="D353" s="179"/>
      <c r="E353" s="171" t="s">
        <v>73</v>
      </c>
      <c r="F353" s="171"/>
      <c r="G353" s="171"/>
      <c r="H353" s="171"/>
      <c r="I353" s="171"/>
      <c r="J353" s="171"/>
      <c r="K353" s="173" t="s">
        <v>515</v>
      </c>
      <c r="L353" s="173" t="s">
        <v>1121</v>
      </c>
      <c r="M353" s="173" t="s">
        <v>106</v>
      </c>
      <c r="N353" s="174" t="s">
        <v>77</v>
      </c>
      <c r="O353" s="174" t="s">
        <v>77</v>
      </c>
      <c r="P353" s="174" t="s">
        <v>96</v>
      </c>
      <c r="Q353" s="174" t="s">
        <v>78</v>
      </c>
      <c r="R353" s="174" t="str">
        <f t="shared" si="240"/>
        <v>主要Major</v>
      </c>
      <c r="S353" s="175" t="s">
        <v>107</v>
      </c>
      <c r="T353" s="175" t="s">
        <v>517</v>
      </c>
      <c r="U353" s="175" t="s">
        <v>109</v>
      </c>
      <c r="V353" s="171" t="s">
        <v>1122</v>
      </c>
      <c r="W353" s="171" t="s">
        <v>111</v>
      </c>
      <c r="X353" s="176">
        <f t="shared" si="241"/>
        <v>1</v>
      </c>
      <c r="Y353" s="171" t="s">
        <v>83</v>
      </c>
      <c r="Z353" s="176">
        <f t="shared" si="242"/>
        <v>6</v>
      </c>
      <c r="AA353" s="171" t="s">
        <v>84</v>
      </c>
      <c r="AB353" s="176">
        <f t="shared" si="243"/>
        <v>3</v>
      </c>
      <c r="AC353" s="171" t="s">
        <v>85</v>
      </c>
      <c r="AD353" s="176">
        <f t="shared" si="244"/>
        <v>4</v>
      </c>
      <c r="AE353" s="171" t="s">
        <v>143</v>
      </c>
      <c r="AF353" s="176" cm="1">
        <f t="array" ref="AF353">IF(OR(AE353="/",AE353=""),"/",IF(ISNUMBER(SEARCH("普通",AE353)),0,IF(ISNUMBER(SEARCH("专用",AE353)),4,IF(ISNUMBER(SEARCH("定制",AE353)),7,IF(ISNUMBER(SEARCH("多个定制",AE353)),9,””)))))</f>
        <v>7</v>
      </c>
      <c r="AG353" s="176">
        <f t="shared" si="245"/>
        <v>21</v>
      </c>
      <c r="AH353" s="176" t="str">
        <f t="shared" si="246"/>
        <v>低Low</v>
      </c>
      <c r="AI353" s="176" t="s">
        <v>112</v>
      </c>
      <c r="AJ353" s="176" t="str">
        <f t="shared" si="225"/>
        <v>消除
Avoiding</v>
      </c>
      <c r="AK353" s="171" t="s">
        <v>519</v>
      </c>
      <c r="AL353" s="177" t="s">
        <v>520</v>
      </c>
      <c r="AM353" s="180" t="s">
        <v>115</v>
      </c>
      <c r="AN353" s="200" t="s">
        <v>116</v>
      </c>
      <c r="AO353" s="200" t="s">
        <v>117</v>
      </c>
    </row>
    <row r="354" s="116" customFormat="1" ht="17" customHeight="1" spans="1:41">
      <c r="A354" s="171">
        <v>351</v>
      </c>
      <c r="B354" s="179"/>
      <c r="C354" s="179"/>
      <c r="D354" s="179"/>
      <c r="E354" s="171"/>
      <c r="F354" s="171" t="s">
        <v>73</v>
      </c>
      <c r="G354" s="171"/>
      <c r="H354" s="171"/>
      <c r="I354" s="171"/>
      <c r="J354" s="171"/>
      <c r="K354" s="173" t="s">
        <v>521</v>
      </c>
      <c r="L354" s="173" t="s">
        <v>1123</v>
      </c>
      <c r="M354" s="173" t="s">
        <v>120</v>
      </c>
      <c r="N354" s="174" t="s">
        <v>77</v>
      </c>
      <c r="O354" s="174" t="s">
        <v>96</v>
      </c>
      <c r="P354" s="174" t="s">
        <v>78</v>
      </c>
      <c r="Q354" s="174" t="s">
        <v>77</v>
      </c>
      <c r="R354" s="174" t="str">
        <f t="shared" si="240"/>
        <v>主要Major</v>
      </c>
      <c r="S354" s="175" t="s">
        <v>78</v>
      </c>
      <c r="T354" s="175" t="s">
        <v>523</v>
      </c>
      <c r="U354" s="175" t="s">
        <v>1124</v>
      </c>
      <c r="V354" s="171" t="s">
        <v>1120</v>
      </c>
      <c r="W354" s="171" t="s">
        <v>82</v>
      </c>
      <c r="X354" s="176">
        <f t="shared" si="241"/>
        <v>0</v>
      </c>
      <c r="Y354" s="171" t="s">
        <v>83</v>
      </c>
      <c r="Z354" s="176">
        <f t="shared" si="242"/>
        <v>6</v>
      </c>
      <c r="AA354" s="171" t="s">
        <v>84</v>
      </c>
      <c r="AB354" s="176">
        <f t="shared" si="243"/>
        <v>3</v>
      </c>
      <c r="AC354" s="171" t="s">
        <v>85</v>
      </c>
      <c r="AD354" s="176">
        <f t="shared" si="244"/>
        <v>4</v>
      </c>
      <c r="AE354" s="171" t="s">
        <v>86</v>
      </c>
      <c r="AF354" s="176" cm="1">
        <f t="array" ref="AF354">IF(OR(AE354="/",AE354=""),"/",IF(ISNUMBER(SEARCH("普通",AE354)),0,IF(ISNUMBER(SEARCH("专用",AE354)),4,IF(ISNUMBER(SEARCH("定制",AE354)),7,IF(ISNUMBER(SEARCH("多个定制",AE354)),9,””)))))</f>
        <v>4</v>
      </c>
      <c r="AG354" s="176">
        <f t="shared" si="245"/>
        <v>17</v>
      </c>
      <c r="AH354" s="176" t="str">
        <f t="shared" si="246"/>
        <v>中Medium</v>
      </c>
      <c r="AI354" s="176" t="s">
        <v>87</v>
      </c>
      <c r="AJ354" s="176" t="str">
        <f t="shared" si="225"/>
        <v>降低
Reucing</v>
      </c>
      <c r="AK354" s="171" t="s">
        <v>525</v>
      </c>
      <c r="AL354" s="177" t="s">
        <v>526</v>
      </c>
      <c r="AM354" s="180" t="s">
        <v>125</v>
      </c>
      <c r="AN354" s="200" t="s">
        <v>126</v>
      </c>
      <c r="AO354" s="200" t="s">
        <v>127</v>
      </c>
    </row>
    <row r="355" s="116" customFormat="1" ht="17" customHeight="1" spans="1:41">
      <c r="A355" s="171">
        <v>352</v>
      </c>
      <c r="B355" s="179"/>
      <c r="C355" s="179"/>
      <c r="D355" s="179"/>
      <c r="E355" s="171"/>
      <c r="F355" s="171" t="s">
        <v>73</v>
      </c>
      <c r="G355" s="171"/>
      <c r="H355" s="171"/>
      <c r="I355" s="171"/>
      <c r="J355" s="171"/>
      <c r="K355" s="173" t="s">
        <v>527</v>
      </c>
      <c r="L355" s="173" t="s">
        <v>1125</v>
      </c>
      <c r="M355" s="173" t="s">
        <v>120</v>
      </c>
      <c r="N355" s="174" t="s">
        <v>96</v>
      </c>
      <c r="O355" s="174" t="s">
        <v>96</v>
      </c>
      <c r="P355" s="174" t="s">
        <v>78</v>
      </c>
      <c r="Q355" s="174" t="s">
        <v>77</v>
      </c>
      <c r="R355" s="174" t="str">
        <f t="shared" si="240"/>
        <v>主要Major</v>
      </c>
      <c r="S355" s="175" t="s">
        <v>78</v>
      </c>
      <c r="T355" s="175" t="s">
        <v>529</v>
      </c>
      <c r="U355" s="175" t="s">
        <v>1126</v>
      </c>
      <c r="V355" s="171" t="s">
        <v>1120</v>
      </c>
      <c r="W355" s="171" t="s">
        <v>111</v>
      </c>
      <c r="X355" s="176">
        <f t="shared" si="241"/>
        <v>1</v>
      </c>
      <c r="Y355" s="171" t="s">
        <v>83</v>
      </c>
      <c r="Z355" s="176">
        <f t="shared" si="242"/>
        <v>6</v>
      </c>
      <c r="AA355" s="171" t="s">
        <v>84</v>
      </c>
      <c r="AB355" s="176">
        <f t="shared" si="243"/>
        <v>3</v>
      </c>
      <c r="AC355" s="171" t="s">
        <v>85</v>
      </c>
      <c r="AD355" s="176">
        <f t="shared" si="244"/>
        <v>4</v>
      </c>
      <c r="AE355" s="171" t="s">
        <v>86</v>
      </c>
      <c r="AF355" s="176" cm="1">
        <f t="array" ref="AF355">IF(OR(AE355="/",AE355=""),"/",IF(ISNUMBER(SEARCH("普通",AE355)),0,IF(ISNUMBER(SEARCH("专用",AE355)),4,IF(ISNUMBER(SEARCH("定制",AE355)),7,IF(ISNUMBER(SEARCH("多个定制",AE355)),9,””)))))</f>
        <v>4</v>
      </c>
      <c r="AG355" s="176">
        <f t="shared" si="245"/>
        <v>18</v>
      </c>
      <c r="AH355" s="176" t="str">
        <f t="shared" si="246"/>
        <v>中Medium</v>
      </c>
      <c r="AI355" s="176" t="s">
        <v>87</v>
      </c>
      <c r="AJ355" s="176" t="str">
        <f t="shared" si="225"/>
        <v>降低
Reucing</v>
      </c>
      <c r="AK355" s="171" t="s">
        <v>531</v>
      </c>
      <c r="AL355" s="177" t="s">
        <v>532</v>
      </c>
      <c r="AM355" s="180" t="s">
        <v>134</v>
      </c>
      <c r="AN355" s="200" t="s">
        <v>135</v>
      </c>
      <c r="AO355" s="200" t="s">
        <v>136</v>
      </c>
    </row>
    <row r="356" s="116" customFormat="1" ht="17" customHeight="1" spans="1:41">
      <c r="A356" s="171">
        <v>353</v>
      </c>
      <c r="B356" s="179"/>
      <c r="C356" s="179"/>
      <c r="D356" s="179"/>
      <c r="E356" s="171"/>
      <c r="F356" s="171"/>
      <c r="G356" s="171" t="s">
        <v>73</v>
      </c>
      <c r="H356" s="171"/>
      <c r="I356" s="171"/>
      <c r="J356" s="171"/>
      <c r="K356" s="173" t="s">
        <v>533</v>
      </c>
      <c r="L356" s="173" t="s">
        <v>1127</v>
      </c>
      <c r="M356" s="173" t="s">
        <v>150</v>
      </c>
      <c r="N356" s="174" t="s">
        <v>96</v>
      </c>
      <c r="O356" s="174" t="s">
        <v>96</v>
      </c>
      <c r="P356" s="174" t="s">
        <v>96</v>
      </c>
      <c r="Q356" s="174" t="s">
        <v>77</v>
      </c>
      <c r="R356" s="174" t="str">
        <f t="shared" si="240"/>
        <v>中等Medium</v>
      </c>
      <c r="S356" s="175" t="s">
        <v>96</v>
      </c>
      <c r="T356" s="175" t="s">
        <v>535</v>
      </c>
      <c r="U356" s="175" t="s">
        <v>152</v>
      </c>
      <c r="V356" s="171" t="s">
        <v>1120</v>
      </c>
      <c r="W356" s="171" t="s">
        <v>82</v>
      </c>
      <c r="X356" s="176">
        <f t="shared" si="241"/>
        <v>0</v>
      </c>
      <c r="Y356" s="171" t="s">
        <v>83</v>
      </c>
      <c r="Z356" s="176">
        <f t="shared" si="242"/>
        <v>6</v>
      </c>
      <c r="AA356" s="171" t="s">
        <v>153</v>
      </c>
      <c r="AB356" s="176">
        <f t="shared" si="243"/>
        <v>0</v>
      </c>
      <c r="AC356" s="171" t="s">
        <v>85</v>
      </c>
      <c r="AD356" s="176">
        <f t="shared" si="244"/>
        <v>4</v>
      </c>
      <c r="AE356" s="171" t="s">
        <v>143</v>
      </c>
      <c r="AF356" s="176" cm="1">
        <f t="array" ref="AF356">IF(OR(AE356="/",AE356=""),"/",IF(ISNUMBER(SEARCH("普通",AE356)),0,IF(ISNUMBER(SEARCH("专用",AE356)),4,IF(ISNUMBER(SEARCH("定制",AE356)),7,IF(ISNUMBER(SEARCH("多个定制",AE356)),9,””)))))</f>
        <v>7</v>
      </c>
      <c r="AG356" s="176">
        <f t="shared" si="245"/>
        <v>17</v>
      </c>
      <c r="AH356" s="176" t="str">
        <f t="shared" si="246"/>
        <v>中Medium</v>
      </c>
      <c r="AI356" s="176" t="s">
        <v>144</v>
      </c>
      <c r="AJ356" s="176" t="str">
        <f t="shared" si="225"/>
        <v>保留
Retaining</v>
      </c>
      <c r="AK356" s="171" t="s">
        <v>145</v>
      </c>
      <c r="AL356" s="177" t="s">
        <v>145</v>
      </c>
      <c r="AM356" s="171" t="s">
        <v>145</v>
      </c>
      <c r="AN356" s="200" t="s">
        <v>280</v>
      </c>
      <c r="AO356" s="200" t="s">
        <v>281</v>
      </c>
    </row>
    <row r="357" s="116" customFormat="1" ht="17" customHeight="1" spans="1:41">
      <c r="A357" s="171">
        <v>354</v>
      </c>
      <c r="B357" s="179"/>
      <c r="C357" s="179"/>
      <c r="D357" s="179"/>
      <c r="E357" s="171"/>
      <c r="F357" s="171"/>
      <c r="G357" s="171"/>
      <c r="H357" s="171" t="s">
        <v>73</v>
      </c>
      <c r="I357" s="171"/>
      <c r="J357" s="171"/>
      <c r="K357" s="173" t="s">
        <v>536</v>
      </c>
      <c r="L357" s="173" t="s">
        <v>1128</v>
      </c>
      <c r="M357" s="173" t="s">
        <v>166</v>
      </c>
      <c r="N357" s="174" t="s">
        <v>96</v>
      </c>
      <c r="O357" s="174" t="s">
        <v>96</v>
      </c>
      <c r="P357" s="174" t="s">
        <v>96</v>
      </c>
      <c r="Q357" s="174" t="s">
        <v>77</v>
      </c>
      <c r="R357" s="174" t="str">
        <f t="shared" si="240"/>
        <v>中等Medium</v>
      </c>
      <c r="S357" s="175" t="s">
        <v>96</v>
      </c>
      <c r="T357" s="175" t="s">
        <v>538</v>
      </c>
      <c r="U357" s="175" t="s">
        <v>1129</v>
      </c>
      <c r="V357" s="171" t="s">
        <v>1120</v>
      </c>
      <c r="W357" s="171" t="s">
        <v>82</v>
      </c>
      <c r="X357" s="176">
        <f t="shared" si="241"/>
        <v>0</v>
      </c>
      <c r="Y357" s="171" t="s">
        <v>83</v>
      </c>
      <c r="Z357" s="176">
        <f t="shared" si="242"/>
        <v>6</v>
      </c>
      <c r="AA357" s="171" t="s">
        <v>84</v>
      </c>
      <c r="AB357" s="176">
        <f t="shared" si="243"/>
        <v>3</v>
      </c>
      <c r="AC357" s="171" t="s">
        <v>85</v>
      </c>
      <c r="AD357" s="176">
        <f t="shared" si="244"/>
        <v>4</v>
      </c>
      <c r="AE357" s="171" t="s">
        <v>86</v>
      </c>
      <c r="AF357" s="176" cm="1">
        <f t="array" ref="AF357">IF(OR(AE357="/",AE357=""),"/",IF(ISNUMBER(SEARCH("普通",AE357)),0,IF(ISNUMBER(SEARCH("专用",AE357)),4,IF(ISNUMBER(SEARCH("定制",AE357)),7,IF(ISNUMBER(SEARCH("多个定制",AE357)),9,””)))))</f>
        <v>4</v>
      </c>
      <c r="AG357" s="176">
        <f t="shared" si="245"/>
        <v>17</v>
      </c>
      <c r="AH357" s="176" t="str">
        <f t="shared" si="246"/>
        <v>中Medium</v>
      </c>
      <c r="AI357" s="176" t="s">
        <v>144</v>
      </c>
      <c r="AJ357" s="176" t="str">
        <f t="shared" si="225"/>
        <v>保留
Retaining</v>
      </c>
      <c r="AK357" s="171" t="s">
        <v>145</v>
      </c>
      <c r="AL357" s="177" t="s">
        <v>145</v>
      </c>
      <c r="AM357" s="180" t="s">
        <v>316</v>
      </c>
      <c r="AN357" s="200" t="s">
        <v>317</v>
      </c>
      <c r="AO357" s="200" t="s">
        <v>318</v>
      </c>
    </row>
    <row r="358" s="116" customFormat="1" ht="17" customHeight="1" spans="1:41">
      <c r="A358" s="171">
        <v>355</v>
      </c>
      <c r="B358" s="179"/>
      <c r="C358" s="179"/>
      <c r="D358" s="179"/>
      <c r="E358" s="171"/>
      <c r="F358" s="171"/>
      <c r="G358" s="171"/>
      <c r="H358" s="171"/>
      <c r="I358" s="171" t="s">
        <v>73</v>
      </c>
      <c r="J358" s="171"/>
      <c r="K358" s="173" t="s">
        <v>540</v>
      </c>
      <c r="L358" s="173" t="s">
        <v>1130</v>
      </c>
      <c r="M358" s="173" t="s">
        <v>174</v>
      </c>
      <c r="N358" s="174" t="s">
        <v>96</v>
      </c>
      <c r="O358" s="174" t="s">
        <v>96</v>
      </c>
      <c r="P358" s="174" t="s">
        <v>96</v>
      </c>
      <c r="Q358" s="174" t="s">
        <v>77</v>
      </c>
      <c r="R358" s="174" t="str">
        <f t="shared" si="240"/>
        <v>中等Medium</v>
      </c>
      <c r="S358" s="175" t="s">
        <v>96</v>
      </c>
      <c r="T358" s="175" t="s">
        <v>542</v>
      </c>
      <c r="U358" s="175" t="s">
        <v>176</v>
      </c>
      <c r="V358" s="171" t="s">
        <v>1120</v>
      </c>
      <c r="W358" s="171" t="s">
        <v>82</v>
      </c>
      <c r="X358" s="176">
        <f t="shared" si="241"/>
        <v>0</v>
      </c>
      <c r="Y358" s="171" t="s">
        <v>177</v>
      </c>
      <c r="Z358" s="176">
        <f t="shared" si="242"/>
        <v>3</v>
      </c>
      <c r="AA358" s="171" t="s">
        <v>153</v>
      </c>
      <c r="AB358" s="176">
        <f t="shared" si="243"/>
        <v>0</v>
      </c>
      <c r="AC358" s="171" t="s">
        <v>85</v>
      </c>
      <c r="AD358" s="176">
        <f t="shared" si="244"/>
        <v>4</v>
      </c>
      <c r="AE358" s="171" t="s">
        <v>86</v>
      </c>
      <c r="AF358" s="176" cm="1">
        <f t="array" ref="AF358">IF(OR(AE358="/",AE358=""),"/",IF(ISNUMBER(SEARCH("普通",AE358)),0,IF(ISNUMBER(SEARCH("专用",AE358)),4,IF(ISNUMBER(SEARCH("定制",AE358)),7,IF(ISNUMBER(SEARCH("多个定制",AE358)),9,””)))))</f>
        <v>4</v>
      </c>
      <c r="AG358" s="176">
        <f t="shared" si="245"/>
        <v>11</v>
      </c>
      <c r="AH358" s="176" t="str">
        <f t="shared" si="246"/>
        <v>高High</v>
      </c>
      <c r="AI358" s="176" t="s">
        <v>87</v>
      </c>
      <c r="AJ358" s="176" t="str">
        <f t="shared" si="225"/>
        <v>降低
Reucing</v>
      </c>
      <c r="AK358" s="171" t="s">
        <v>543</v>
      </c>
      <c r="AL358" s="177" t="s">
        <v>544</v>
      </c>
      <c r="AM358" s="180" t="s">
        <v>329</v>
      </c>
      <c r="AN358" s="200" t="s">
        <v>181</v>
      </c>
      <c r="AO358" s="200" t="s">
        <v>182</v>
      </c>
    </row>
    <row r="359" s="116" customFormat="1" ht="17" customHeight="1" spans="1:41">
      <c r="A359" s="171">
        <v>356</v>
      </c>
      <c r="B359" s="181"/>
      <c r="C359" s="181"/>
      <c r="D359" s="181"/>
      <c r="E359" s="171"/>
      <c r="F359" s="171"/>
      <c r="G359" s="171"/>
      <c r="H359" s="171"/>
      <c r="I359" s="171"/>
      <c r="J359" s="171" t="s">
        <v>183</v>
      </c>
      <c r="K359" s="173" t="s">
        <v>145</v>
      </c>
      <c r="L359" s="173" t="s">
        <v>145</v>
      </c>
      <c r="M359" s="173" t="s">
        <v>145</v>
      </c>
      <c r="N359" s="174" t="s">
        <v>145</v>
      </c>
      <c r="O359" s="174" t="s">
        <v>145</v>
      </c>
      <c r="P359" s="174" t="s">
        <v>145</v>
      </c>
      <c r="Q359" s="174" t="s">
        <v>145</v>
      </c>
      <c r="R359" s="174" t="s">
        <v>145</v>
      </c>
      <c r="S359" s="175" t="s">
        <v>145</v>
      </c>
      <c r="T359" s="175" t="s">
        <v>145</v>
      </c>
      <c r="U359" s="175" t="s">
        <v>145</v>
      </c>
      <c r="V359" s="171" t="s">
        <v>145</v>
      </c>
      <c r="W359" s="171" t="s">
        <v>145</v>
      </c>
      <c r="X359" s="176" t="s">
        <v>145</v>
      </c>
      <c r="Y359" s="171" t="s">
        <v>145</v>
      </c>
      <c r="Z359" s="176" t="s">
        <v>145</v>
      </c>
      <c r="AA359" s="171" t="s">
        <v>145</v>
      </c>
      <c r="AB359" s="176" t="s">
        <v>145</v>
      </c>
      <c r="AC359" s="171" t="s">
        <v>145</v>
      </c>
      <c r="AD359" s="176" t="s">
        <v>145</v>
      </c>
      <c r="AE359" s="171" t="s">
        <v>145</v>
      </c>
      <c r="AF359" s="176" t="str" cm="1">
        <f t="array" ref="AF359">IF(OR(AE359="/",AE359=""),"/",IF(ISNUMBER(SEARCH("普通",AE359)),0,IF(ISNUMBER(SEARCH("专用",AE359)),4,IF(ISNUMBER(SEARCH("定制",AE359)),7,IF(ISNUMBER(SEARCH("多个定制",AE359)),9,””)))))</f>
        <v>/</v>
      </c>
      <c r="AG359" s="176" t="s">
        <v>145</v>
      </c>
      <c r="AH359" s="176" t="s">
        <v>145</v>
      </c>
      <c r="AI359" s="176" t="s">
        <v>145</v>
      </c>
      <c r="AJ359" s="176" t="str">
        <f t="shared" si="225"/>
        <v>/</v>
      </c>
      <c r="AK359" s="171" t="s">
        <v>145</v>
      </c>
      <c r="AL359" s="177" t="s">
        <v>145</v>
      </c>
      <c r="AM359" s="177" t="s">
        <v>145</v>
      </c>
      <c r="AN359" s="177" t="s">
        <v>145</v>
      </c>
      <c r="AO359" s="177" t="s">
        <v>145</v>
      </c>
    </row>
    <row r="360" s="116" customFormat="1" ht="17" customHeight="1" spans="1:41">
      <c r="A360" s="171">
        <v>357</v>
      </c>
      <c r="B360" s="172" t="s">
        <v>1131</v>
      </c>
      <c r="C360" s="171" t="s">
        <v>71</v>
      </c>
      <c r="D360" s="173" t="s">
        <v>1132</v>
      </c>
      <c r="E360" s="171" t="s">
        <v>73</v>
      </c>
      <c r="F360" s="171"/>
      <c r="G360" s="171"/>
      <c r="H360" s="171"/>
      <c r="I360" s="171"/>
      <c r="J360" s="171"/>
      <c r="K360" s="173" t="s">
        <v>509</v>
      </c>
      <c r="L360" s="173" t="s">
        <v>1133</v>
      </c>
      <c r="M360" s="173" t="s">
        <v>76</v>
      </c>
      <c r="N360" s="174" t="s">
        <v>77</v>
      </c>
      <c r="O360" s="174" t="s">
        <v>77</v>
      </c>
      <c r="P360" s="174" t="s">
        <v>78</v>
      </c>
      <c r="Q360" s="174" t="s">
        <v>77</v>
      </c>
      <c r="R360" s="174" t="str">
        <f t="shared" ref="R360:R366" si="247">IF(OR(N360="严重Severe",O360="严重Severe",P360="严重Severe",Q360="严重Severe"),"严重Severe",IF(OR(N360="主要Major",O360="主要Major",P360="主要Major",Q360="主要Major"),"主要Major",IF(OR(N360="中等Medium",O360="中等Medium",P360="中等Medium",Q360="中等Medium"),"中等Medium",IF(OR(N360="可忽略不计Negligible",O360="可忽略不计Negligible",P360="可忽略不计Negligible",Q360="可忽略不计Negligible"),"可忽略不计Negligible","/"))))</f>
        <v>主要Major</v>
      </c>
      <c r="S360" s="175" t="s">
        <v>78</v>
      </c>
      <c r="T360" s="175" t="s">
        <v>511</v>
      </c>
      <c r="U360" s="175" t="s">
        <v>80</v>
      </c>
      <c r="V360" s="171" t="s">
        <v>1134</v>
      </c>
      <c r="W360" s="171" t="s">
        <v>82</v>
      </c>
      <c r="X360" s="176">
        <f t="shared" ref="X360:X366" si="248">IF(OR(W360="/",W360=""),"/",IF(ISNUMBER(SEARCH("1天",W360)),0,IF(ISNUMBER(SEARCH("一周",W360)),1,IF(ISNUMBER(SEARCH("1个月",W360)),4,IF(ISNUMBER(SEARCH("超过",W360)),19,IF(ISNUMBER(SEARCH("6个月",W360)),17,""))))))</f>
        <v>0</v>
      </c>
      <c r="Y360" s="171" t="s">
        <v>83</v>
      </c>
      <c r="Z360" s="176">
        <f t="shared" ref="Z360:Z366" si="249">IF(OR(Y360="/",Y360=""),"/",IF(ISNUMBER(SEARCH("新手",Y360)),0,IF(ISNUMBER(SEARCH("熟练",Y360)),3,IF(ISNUMBER(SEARCH("多位",Y360)),17,IF(ISNUMBER(SEARCH("专家",Y360)),6,"")))))</f>
        <v>6</v>
      </c>
      <c r="AA360" s="171" t="s">
        <v>84</v>
      </c>
      <c r="AB360" s="176">
        <f t="shared" ref="AB360:AB366" si="250">IF(OR(AA360="/",AA360=""),"/",IF(ISNUMBER(SEARCH("公开",AA360)),0,IF(ISNUMBER(SEARCH("限制性信息",AA360)),3,IF(ISNUMBER(SEARCH("机密信息",AA360)),7,IF(ISNUMBER(SEARCH("严格保密",AA360)),11,"")))))</f>
        <v>3</v>
      </c>
      <c r="AC360" s="171" t="s">
        <v>85</v>
      </c>
      <c r="AD360" s="176">
        <f t="shared" ref="AD360:AD366" si="251">IF(OR(AC360="/",AC360=""),"/",IF(ISNUMBER(SEARCH("无限制",AC360)),0,IF(ISNUMBER(SEARCH("容易",AC360)),1,IF(ISNUMBER(SEARCH("一般",AC360)),4,IF(ISNUMBER(SEARCH("困难",AC360)),10,"")))))</f>
        <v>4</v>
      </c>
      <c r="AE360" s="171" t="s">
        <v>86</v>
      </c>
      <c r="AF360" s="176" cm="1">
        <f t="array" ref="AF360">IF(OR(AE360="/",AE360=""),"/",IF(ISNUMBER(SEARCH("普通",AE360)),0,IF(ISNUMBER(SEARCH("专用",AE360)),4,IF(ISNUMBER(SEARCH("定制",AE360)),7,IF(ISNUMBER(SEARCH("多个定制",AE360)),9,””)))))</f>
        <v>4</v>
      </c>
      <c r="AG360" s="176">
        <f t="shared" ref="AG360:AG366" si="252">IF(OR(X360="/",Z360="/",AB360="/",AD360="/",AF360="/"),"/",X360+Z360+AB360+AD360+AF360)</f>
        <v>17</v>
      </c>
      <c r="AH360" s="176" t="str">
        <f t="shared" ref="AH360:AH366" si="253">IF(AND(AG360&gt;=0,AG360&lt;14),"高High",IF(AND(AG360&gt;=14,AG360&lt;20),"中Medium",IF(AND(AG360&gt;=20,AG360&lt;25),"低Low",IF(AND(AG360&gt;=25,AG360&lt;57),"非常低Very low",""))))</f>
        <v>中Medium</v>
      </c>
      <c r="AI360" s="176" t="s">
        <v>87</v>
      </c>
      <c r="AJ360" s="176" t="str">
        <f t="shared" si="225"/>
        <v>降低
Reucing</v>
      </c>
      <c r="AK360" s="171" t="s">
        <v>513</v>
      </c>
      <c r="AL360" s="177" t="s">
        <v>514</v>
      </c>
      <c r="AM360" s="180" t="s">
        <v>90</v>
      </c>
      <c r="AN360" s="178" t="s">
        <v>91</v>
      </c>
      <c r="AO360" s="178" t="s">
        <v>92</v>
      </c>
    </row>
    <row r="361" s="116" customFormat="1" ht="17" customHeight="1" spans="1:41">
      <c r="A361" s="171">
        <v>358</v>
      </c>
      <c r="B361" s="179"/>
      <c r="C361" s="179"/>
      <c r="D361" s="179"/>
      <c r="E361" s="171" t="s">
        <v>73</v>
      </c>
      <c r="F361" s="171"/>
      <c r="G361" s="171"/>
      <c r="H361" s="171"/>
      <c r="I361" s="171"/>
      <c r="J361" s="171"/>
      <c r="K361" s="173" t="s">
        <v>515</v>
      </c>
      <c r="L361" s="173" t="s">
        <v>1135</v>
      </c>
      <c r="M361" s="173" t="s">
        <v>106</v>
      </c>
      <c r="N361" s="174" t="s">
        <v>77</v>
      </c>
      <c r="O361" s="174" t="s">
        <v>77</v>
      </c>
      <c r="P361" s="174" t="s">
        <v>96</v>
      </c>
      <c r="Q361" s="174" t="s">
        <v>78</v>
      </c>
      <c r="R361" s="174" t="str">
        <f t="shared" si="247"/>
        <v>主要Major</v>
      </c>
      <c r="S361" s="175" t="s">
        <v>107</v>
      </c>
      <c r="T361" s="175" t="s">
        <v>517</v>
      </c>
      <c r="U361" s="175" t="s">
        <v>109</v>
      </c>
      <c r="V361" s="171" t="s">
        <v>1136</v>
      </c>
      <c r="W361" s="171" t="s">
        <v>111</v>
      </c>
      <c r="X361" s="176">
        <f t="shared" si="248"/>
        <v>1</v>
      </c>
      <c r="Y361" s="171" t="s">
        <v>83</v>
      </c>
      <c r="Z361" s="176">
        <f t="shared" si="249"/>
        <v>6</v>
      </c>
      <c r="AA361" s="171" t="s">
        <v>84</v>
      </c>
      <c r="AB361" s="176">
        <f t="shared" si="250"/>
        <v>3</v>
      </c>
      <c r="AC361" s="171" t="s">
        <v>85</v>
      </c>
      <c r="AD361" s="176">
        <f t="shared" si="251"/>
        <v>4</v>
      </c>
      <c r="AE361" s="171" t="s">
        <v>143</v>
      </c>
      <c r="AF361" s="176" cm="1">
        <f t="array" ref="AF361">IF(OR(AE361="/",AE361=""),"/",IF(ISNUMBER(SEARCH("普通",AE361)),0,IF(ISNUMBER(SEARCH("专用",AE361)),4,IF(ISNUMBER(SEARCH("定制",AE361)),7,IF(ISNUMBER(SEARCH("多个定制",AE361)),9,””)))))</f>
        <v>7</v>
      </c>
      <c r="AG361" s="176">
        <f t="shared" si="252"/>
        <v>21</v>
      </c>
      <c r="AH361" s="176" t="str">
        <f t="shared" si="253"/>
        <v>低Low</v>
      </c>
      <c r="AI361" s="176" t="s">
        <v>112</v>
      </c>
      <c r="AJ361" s="176" t="str">
        <f t="shared" si="225"/>
        <v>消除
Avoiding</v>
      </c>
      <c r="AK361" s="171" t="s">
        <v>519</v>
      </c>
      <c r="AL361" s="177" t="s">
        <v>520</v>
      </c>
      <c r="AM361" s="180" t="s">
        <v>115</v>
      </c>
      <c r="AN361" s="178" t="s">
        <v>116</v>
      </c>
      <c r="AO361" s="178" t="s">
        <v>117</v>
      </c>
    </row>
    <row r="362" s="116" customFormat="1" ht="17" customHeight="1" spans="1:41">
      <c r="A362" s="171">
        <v>359</v>
      </c>
      <c r="B362" s="179"/>
      <c r="C362" s="179"/>
      <c r="D362" s="179"/>
      <c r="E362" s="171"/>
      <c r="F362" s="171" t="s">
        <v>73</v>
      </c>
      <c r="G362" s="171"/>
      <c r="H362" s="171"/>
      <c r="I362" s="171"/>
      <c r="J362" s="171"/>
      <c r="K362" s="173" t="s">
        <v>521</v>
      </c>
      <c r="L362" s="173" t="s">
        <v>1137</v>
      </c>
      <c r="M362" s="173" t="s">
        <v>120</v>
      </c>
      <c r="N362" s="174" t="s">
        <v>77</v>
      </c>
      <c r="O362" s="174" t="s">
        <v>96</v>
      </c>
      <c r="P362" s="174" t="s">
        <v>78</v>
      </c>
      <c r="Q362" s="174" t="s">
        <v>77</v>
      </c>
      <c r="R362" s="174" t="str">
        <f t="shared" si="247"/>
        <v>主要Major</v>
      </c>
      <c r="S362" s="175" t="s">
        <v>78</v>
      </c>
      <c r="T362" s="175" t="s">
        <v>523</v>
      </c>
      <c r="U362" s="175" t="s">
        <v>1138</v>
      </c>
      <c r="V362" s="171" t="s">
        <v>1134</v>
      </c>
      <c r="W362" s="171" t="s">
        <v>82</v>
      </c>
      <c r="X362" s="176">
        <f t="shared" si="248"/>
        <v>0</v>
      </c>
      <c r="Y362" s="171" t="s">
        <v>83</v>
      </c>
      <c r="Z362" s="176">
        <f t="shared" si="249"/>
        <v>6</v>
      </c>
      <c r="AA362" s="171" t="s">
        <v>84</v>
      </c>
      <c r="AB362" s="176">
        <f t="shared" si="250"/>
        <v>3</v>
      </c>
      <c r="AC362" s="171" t="s">
        <v>85</v>
      </c>
      <c r="AD362" s="176">
        <f t="shared" si="251"/>
        <v>4</v>
      </c>
      <c r="AE362" s="171" t="s">
        <v>86</v>
      </c>
      <c r="AF362" s="176" cm="1">
        <f t="array" ref="AF362">IF(OR(AE362="/",AE362=""),"/",IF(ISNUMBER(SEARCH("普通",AE362)),0,IF(ISNUMBER(SEARCH("专用",AE362)),4,IF(ISNUMBER(SEARCH("定制",AE362)),7,IF(ISNUMBER(SEARCH("多个定制",AE362)),9,””)))))</f>
        <v>4</v>
      </c>
      <c r="AG362" s="176">
        <f t="shared" si="252"/>
        <v>17</v>
      </c>
      <c r="AH362" s="176" t="str">
        <f t="shared" si="253"/>
        <v>中Medium</v>
      </c>
      <c r="AI362" s="176" t="s">
        <v>87</v>
      </c>
      <c r="AJ362" s="176" t="str">
        <f t="shared" si="225"/>
        <v>降低
Reucing</v>
      </c>
      <c r="AK362" s="171" t="s">
        <v>525</v>
      </c>
      <c r="AL362" s="177" t="s">
        <v>526</v>
      </c>
      <c r="AM362" s="180" t="s">
        <v>125</v>
      </c>
      <c r="AN362" s="178" t="s">
        <v>126</v>
      </c>
      <c r="AO362" s="178" t="s">
        <v>127</v>
      </c>
    </row>
    <row r="363" s="116" customFormat="1" ht="17" customHeight="1" spans="1:41">
      <c r="A363" s="171">
        <v>360</v>
      </c>
      <c r="B363" s="179"/>
      <c r="C363" s="179"/>
      <c r="D363" s="179"/>
      <c r="E363" s="171"/>
      <c r="F363" s="171" t="s">
        <v>73</v>
      </c>
      <c r="G363" s="171"/>
      <c r="H363" s="171"/>
      <c r="I363" s="171"/>
      <c r="J363" s="171"/>
      <c r="K363" s="173" t="s">
        <v>527</v>
      </c>
      <c r="L363" s="173" t="s">
        <v>1139</v>
      </c>
      <c r="M363" s="173" t="s">
        <v>120</v>
      </c>
      <c r="N363" s="174" t="s">
        <v>96</v>
      </c>
      <c r="O363" s="174" t="s">
        <v>96</v>
      </c>
      <c r="P363" s="174" t="s">
        <v>78</v>
      </c>
      <c r="Q363" s="174" t="s">
        <v>77</v>
      </c>
      <c r="R363" s="174" t="str">
        <f t="shared" si="247"/>
        <v>主要Major</v>
      </c>
      <c r="S363" s="175" t="s">
        <v>78</v>
      </c>
      <c r="T363" s="175" t="s">
        <v>529</v>
      </c>
      <c r="U363" s="175" t="s">
        <v>1140</v>
      </c>
      <c r="V363" s="171" t="s">
        <v>1134</v>
      </c>
      <c r="W363" s="171" t="s">
        <v>111</v>
      </c>
      <c r="X363" s="176">
        <f t="shared" si="248"/>
        <v>1</v>
      </c>
      <c r="Y363" s="171" t="s">
        <v>83</v>
      </c>
      <c r="Z363" s="176">
        <f t="shared" si="249"/>
        <v>6</v>
      </c>
      <c r="AA363" s="171" t="s">
        <v>84</v>
      </c>
      <c r="AB363" s="176">
        <f t="shared" si="250"/>
        <v>3</v>
      </c>
      <c r="AC363" s="171" t="s">
        <v>85</v>
      </c>
      <c r="AD363" s="176">
        <f t="shared" si="251"/>
        <v>4</v>
      </c>
      <c r="AE363" s="171" t="s">
        <v>86</v>
      </c>
      <c r="AF363" s="176" cm="1">
        <f t="array" ref="AF363">IF(OR(AE363="/",AE363=""),"/",IF(ISNUMBER(SEARCH("普通",AE363)),0,IF(ISNUMBER(SEARCH("专用",AE363)),4,IF(ISNUMBER(SEARCH("定制",AE363)),7,IF(ISNUMBER(SEARCH("多个定制",AE363)),9,””)))))</f>
        <v>4</v>
      </c>
      <c r="AG363" s="176">
        <f t="shared" si="252"/>
        <v>18</v>
      </c>
      <c r="AH363" s="176" t="str">
        <f t="shared" si="253"/>
        <v>中Medium</v>
      </c>
      <c r="AI363" s="176" t="s">
        <v>87</v>
      </c>
      <c r="AJ363" s="176" t="str">
        <f t="shared" si="225"/>
        <v>降低
Reucing</v>
      </c>
      <c r="AK363" s="171" t="s">
        <v>531</v>
      </c>
      <c r="AL363" s="177" t="s">
        <v>532</v>
      </c>
      <c r="AM363" s="180" t="s">
        <v>134</v>
      </c>
      <c r="AN363" s="178" t="s">
        <v>135</v>
      </c>
      <c r="AO363" s="178" t="s">
        <v>136</v>
      </c>
    </row>
    <row r="364" s="116" customFormat="1" ht="17" customHeight="1" spans="1:41">
      <c r="A364" s="171">
        <v>361</v>
      </c>
      <c r="B364" s="179"/>
      <c r="C364" s="179"/>
      <c r="D364" s="179"/>
      <c r="E364" s="171"/>
      <c r="F364" s="171"/>
      <c r="G364" s="171" t="s">
        <v>73</v>
      </c>
      <c r="H364" s="171"/>
      <c r="I364" s="171"/>
      <c r="J364" s="171"/>
      <c r="K364" s="173" t="s">
        <v>533</v>
      </c>
      <c r="L364" s="173" t="s">
        <v>1141</v>
      </c>
      <c r="M364" s="173" t="s">
        <v>150</v>
      </c>
      <c r="N364" s="174" t="s">
        <v>96</v>
      </c>
      <c r="O364" s="174" t="s">
        <v>96</v>
      </c>
      <c r="P364" s="174" t="s">
        <v>96</v>
      </c>
      <c r="Q364" s="174" t="s">
        <v>77</v>
      </c>
      <c r="R364" s="174" t="str">
        <f t="shared" si="247"/>
        <v>中等Medium</v>
      </c>
      <c r="S364" s="175" t="s">
        <v>96</v>
      </c>
      <c r="T364" s="175" t="s">
        <v>535</v>
      </c>
      <c r="U364" s="175" t="s">
        <v>152</v>
      </c>
      <c r="V364" s="171" t="s">
        <v>1134</v>
      </c>
      <c r="W364" s="171" t="s">
        <v>82</v>
      </c>
      <c r="X364" s="176">
        <f t="shared" si="248"/>
        <v>0</v>
      </c>
      <c r="Y364" s="171" t="s">
        <v>83</v>
      </c>
      <c r="Z364" s="176">
        <f t="shared" si="249"/>
        <v>6</v>
      </c>
      <c r="AA364" s="171" t="s">
        <v>153</v>
      </c>
      <c r="AB364" s="176">
        <f t="shared" si="250"/>
        <v>0</v>
      </c>
      <c r="AC364" s="171" t="s">
        <v>85</v>
      </c>
      <c r="AD364" s="176">
        <f t="shared" si="251"/>
        <v>4</v>
      </c>
      <c r="AE364" s="171" t="s">
        <v>143</v>
      </c>
      <c r="AF364" s="176" cm="1">
        <f t="array" ref="AF364">IF(OR(AE364="/",AE364=""),"/",IF(ISNUMBER(SEARCH("普通",AE364)),0,IF(ISNUMBER(SEARCH("专用",AE364)),4,IF(ISNUMBER(SEARCH("定制",AE364)),7,IF(ISNUMBER(SEARCH("多个定制",AE364)),9,””)))))</f>
        <v>7</v>
      </c>
      <c r="AG364" s="176">
        <f t="shared" si="252"/>
        <v>17</v>
      </c>
      <c r="AH364" s="176" t="str">
        <f t="shared" si="253"/>
        <v>中Medium</v>
      </c>
      <c r="AI364" s="176" t="s">
        <v>144</v>
      </c>
      <c r="AJ364" s="176" t="str">
        <f t="shared" si="225"/>
        <v>保留
Retaining</v>
      </c>
      <c r="AK364" s="171" t="s">
        <v>145</v>
      </c>
      <c r="AL364" s="177" t="s">
        <v>145</v>
      </c>
      <c r="AM364" s="171" t="s">
        <v>145</v>
      </c>
      <c r="AN364" s="178" t="s">
        <v>280</v>
      </c>
      <c r="AO364" s="178" t="s">
        <v>281</v>
      </c>
    </row>
    <row r="365" s="116" customFormat="1" ht="17" customHeight="1" spans="1:41">
      <c r="A365" s="171">
        <v>362</v>
      </c>
      <c r="B365" s="179"/>
      <c r="C365" s="179"/>
      <c r="D365" s="179"/>
      <c r="E365" s="171"/>
      <c r="F365" s="171"/>
      <c r="G365" s="171"/>
      <c r="H365" s="171" t="s">
        <v>73</v>
      </c>
      <c r="I365" s="171"/>
      <c r="J365" s="171"/>
      <c r="K365" s="173" t="s">
        <v>536</v>
      </c>
      <c r="L365" s="173" t="s">
        <v>1142</v>
      </c>
      <c r="M365" s="173" t="s">
        <v>166</v>
      </c>
      <c r="N365" s="174" t="s">
        <v>96</v>
      </c>
      <c r="O365" s="174" t="s">
        <v>96</v>
      </c>
      <c r="P365" s="174" t="s">
        <v>96</v>
      </c>
      <c r="Q365" s="174" t="s">
        <v>77</v>
      </c>
      <c r="R365" s="174" t="str">
        <f t="shared" si="247"/>
        <v>中等Medium</v>
      </c>
      <c r="S365" s="171" t="s">
        <v>96</v>
      </c>
      <c r="T365" s="175" t="s">
        <v>538</v>
      </c>
      <c r="U365" s="175" t="s">
        <v>1143</v>
      </c>
      <c r="V365" s="171" t="s">
        <v>1134</v>
      </c>
      <c r="W365" s="171" t="s">
        <v>82</v>
      </c>
      <c r="X365" s="176">
        <f t="shared" si="248"/>
        <v>0</v>
      </c>
      <c r="Y365" s="171" t="s">
        <v>83</v>
      </c>
      <c r="Z365" s="176">
        <f t="shared" si="249"/>
        <v>6</v>
      </c>
      <c r="AA365" s="171" t="s">
        <v>84</v>
      </c>
      <c r="AB365" s="176">
        <f t="shared" si="250"/>
        <v>3</v>
      </c>
      <c r="AC365" s="171" t="s">
        <v>85</v>
      </c>
      <c r="AD365" s="176">
        <f t="shared" si="251"/>
        <v>4</v>
      </c>
      <c r="AE365" s="171" t="s">
        <v>86</v>
      </c>
      <c r="AF365" s="176" cm="1">
        <f t="array" ref="AF365">IF(OR(AE365="/",AE365=""),"/",IF(ISNUMBER(SEARCH("普通",AE365)),0,IF(ISNUMBER(SEARCH("专用",AE365)),4,IF(ISNUMBER(SEARCH("定制",AE365)),7,IF(ISNUMBER(SEARCH("多个定制",AE365)),9,””)))))</f>
        <v>4</v>
      </c>
      <c r="AG365" s="176">
        <f t="shared" si="252"/>
        <v>17</v>
      </c>
      <c r="AH365" s="176" t="str">
        <f t="shared" si="253"/>
        <v>中Medium</v>
      </c>
      <c r="AI365" s="176" t="s">
        <v>144</v>
      </c>
      <c r="AJ365" s="176" t="str">
        <f t="shared" si="225"/>
        <v>保留
Retaining</v>
      </c>
      <c r="AK365" s="171" t="s">
        <v>145</v>
      </c>
      <c r="AL365" s="177" t="s">
        <v>145</v>
      </c>
      <c r="AM365" s="180" t="s">
        <v>316</v>
      </c>
      <c r="AN365" s="178" t="s">
        <v>317</v>
      </c>
      <c r="AO365" s="178" t="s">
        <v>318</v>
      </c>
    </row>
    <row r="366" s="116" customFormat="1" ht="17" customHeight="1" spans="1:41">
      <c r="A366" s="171">
        <v>363</v>
      </c>
      <c r="B366" s="179"/>
      <c r="C366" s="179"/>
      <c r="D366" s="179"/>
      <c r="E366" s="171"/>
      <c r="F366" s="171"/>
      <c r="G366" s="171"/>
      <c r="H366" s="171"/>
      <c r="I366" s="171" t="s">
        <v>73</v>
      </c>
      <c r="J366" s="171"/>
      <c r="K366" s="173" t="s">
        <v>540</v>
      </c>
      <c r="L366" s="173" t="s">
        <v>1144</v>
      </c>
      <c r="M366" s="173" t="s">
        <v>174</v>
      </c>
      <c r="N366" s="174" t="s">
        <v>96</v>
      </c>
      <c r="O366" s="174" t="s">
        <v>96</v>
      </c>
      <c r="P366" s="174" t="s">
        <v>96</v>
      </c>
      <c r="Q366" s="174" t="s">
        <v>77</v>
      </c>
      <c r="R366" s="174" t="str">
        <f t="shared" si="247"/>
        <v>中等Medium</v>
      </c>
      <c r="S366" s="175" t="s">
        <v>96</v>
      </c>
      <c r="T366" s="175" t="s">
        <v>542</v>
      </c>
      <c r="U366" s="175" t="s">
        <v>176</v>
      </c>
      <c r="V366" s="171" t="s">
        <v>1134</v>
      </c>
      <c r="W366" s="171" t="s">
        <v>82</v>
      </c>
      <c r="X366" s="176">
        <f t="shared" si="248"/>
        <v>0</v>
      </c>
      <c r="Y366" s="171" t="s">
        <v>177</v>
      </c>
      <c r="Z366" s="176">
        <f t="shared" si="249"/>
        <v>3</v>
      </c>
      <c r="AA366" s="171" t="s">
        <v>153</v>
      </c>
      <c r="AB366" s="176">
        <f t="shared" si="250"/>
        <v>0</v>
      </c>
      <c r="AC366" s="171" t="s">
        <v>85</v>
      </c>
      <c r="AD366" s="176">
        <f t="shared" si="251"/>
        <v>4</v>
      </c>
      <c r="AE366" s="171" t="s">
        <v>86</v>
      </c>
      <c r="AF366" s="176" cm="1">
        <f t="array" ref="AF366">IF(OR(AE366="/",AE366=""),"/",IF(ISNUMBER(SEARCH("普通",AE366)),0,IF(ISNUMBER(SEARCH("专用",AE366)),4,IF(ISNUMBER(SEARCH("定制",AE366)),7,IF(ISNUMBER(SEARCH("多个定制",AE366)),9,””)))))</f>
        <v>4</v>
      </c>
      <c r="AG366" s="176">
        <f t="shared" si="252"/>
        <v>11</v>
      </c>
      <c r="AH366" s="176" t="str">
        <f t="shared" si="253"/>
        <v>高High</v>
      </c>
      <c r="AI366" s="176" t="s">
        <v>87</v>
      </c>
      <c r="AJ366" s="176" t="str">
        <f t="shared" si="225"/>
        <v>降低
Reucing</v>
      </c>
      <c r="AK366" s="171" t="s">
        <v>543</v>
      </c>
      <c r="AL366" s="177" t="s">
        <v>544</v>
      </c>
      <c r="AM366" s="180" t="s">
        <v>329</v>
      </c>
      <c r="AN366" s="178" t="s">
        <v>181</v>
      </c>
      <c r="AO366" s="178" t="s">
        <v>182</v>
      </c>
    </row>
    <row r="367" s="116" customFormat="1" ht="17" customHeight="1" spans="1:41">
      <c r="A367" s="171">
        <v>364</v>
      </c>
      <c r="B367" s="181"/>
      <c r="C367" s="181"/>
      <c r="D367" s="181"/>
      <c r="E367" s="171"/>
      <c r="F367" s="171"/>
      <c r="G367" s="171"/>
      <c r="H367" s="171"/>
      <c r="I367" s="171"/>
      <c r="J367" s="171" t="s">
        <v>183</v>
      </c>
      <c r="K367" s="173" t="s">
        <v>145</v>
      </c>
      <c r="L367" s="173" t="s">
        <v>145</v>
      </c>
      <c r="M367" s="173" t="s">
        <v>145</v>
      </c>
      <c r="N367" s="174" t="s">
        <v>145</v>
      </c>
      <c r="O367" s="174" t="s">
        <v>145</v>
      </c>
      <c r="P367" s="174" t="s">
        <v>145</v>
      </c>
      <c r="Q367" s="174" t="s">
        <v>145</v>
      </c>
      <c r="R367" s="174" t="s">
        <v>145</v>
      </c>
      <c r="S367" s="175" t="s">
        <v>145</v>
      </c>
      <c r="T367" s="175" t="s">
        <v>145</v>
      </c>
      <c r="U367" s="175" t="s">
        <v>145</v>
      </c>
      <c r="V367" s="171" t="s">
        <v>145</v>
      </c>
      <c r="W367" s="171" t="s">
        <v>145</v>
      </c>
      <c r="X367" s="176" t="s">
        <v>145</v>
      </c>
      <c r="Y367" s="171" t="s">
        <v>145</v>
      </c>
      <c r="Z367" s="176" t="s">
        <v>145</v>
      </c>
      <c r="AA367" s="171" t="s">
        <v>145</v>
      </c>
      <c r="AB367" s="176" t="s">
        <v>145</v>
      </c>
      <c r="AC367" s="171" t="s">
        <v>145</v>
      </c>
      <c r="AD367" s="176" t="s">
        <v>145</v>
      </c>
      <c r="AE367" s="171" t="s">
        <v>145</v>
      </c>
      <c r="AF367" s="176" t="str" cm="1">
        <f t="array" ref="AF367">IF(OR(AE367="/",AE367=""),"/",IF(ISNUMBER(SEARCH("普通",AE367)),0,IF(ISNUMBER(SEARCH("专用",AE367)),4,IF(ISNUMBER(SEARCH("定制",AE367)),7,IF(ISNUMBER(SEARCH("多个定制",AE367)),9,””)))))</f>
        <v>/</v>
      </c>
      <c r="AG367" s="176" t="s">
        <v>145</v>
      </c>
      <c r="AH367" s="176" t="s">
        <v>145</v>
      </c>
      <c r="AI367" s="176" t="s">
        <v>145</v>
      </c>
      <c r="AJ367" s="176" t="str">
        <f t="shared" si="225"/>
        <v>/</v>
      </c>
      <c r="AK367" s="171" t="s">
        <v>145</v>
      </c>
      <c r="AL367" s="177" t="s">
        <v>145</v>
      </c>
      <c r="AM367" s="177" t="s">
        <v>145</v>
      </c>
      <c r="AN367" s="177" t="s">
        <v>145</v>
      </c>
      <c r="AO367" s="177" t="s">
        <v>145</v>
      </c>
    </row>
    <row r="368" s="116" customFormat="1" ht="17" customHeight="1" spans="1:41">
      <c r="A368" s="171">
        <v>365</v>
      </c>
      <c r="B368" s="172" t="s">
        <v>1145</v>
      </c>
      <c r="C368" s="171" t="s">
        <v>71</v>
      </c>
      <c r="D368" s="173" t="s">
        <v>1146</v>
      </c>
      <c r="E368" s="171" t="s">
        <v>73</v>
      </c>
      <c r="F368" s="171"/>
      <c r="G368" s="171"/>
      <c r="H368" s="171"/>
      <c r="I368" s="171"/>
      <c r="J368" s="171"/>
      <c r="K368" s="173" t="s">
        <v>509</v>
      </c>
      <c r="L368" s="173" t="s">
        <v>1147</v>
      </c>
      <c r="M368" s="173" t="s">
        <v>76</v>
      </c>
      <c r="N368" s="174" t="s">
        <v>77</v>
      </c>
      <c r="O368" s="174" t="s">
        <v>77</v>
      </c>
      <c r="P368" s="174" t="s">
        <v>78</v>
      </c>
      <c r="Q368" s="174" t="s">
        <v>77</v>
      </c>
      <c r="R368" s="174" t="str">
        <f t="shared" ref="R368:R374" si="254">IF(OR(N368="严重Severe",O368="严重Severe",P368="严重Severe",Q368="严重Severe"),"严重Severe",IF(OR(N368="主要Major",O368="主要Major",P368="主要Major",Q368="主要Major"),"主要Major",IF(OR(N368="中等Medium",O368="中等Medium",P368="中等Medium",Q368="中等Medium"),"中等Medium",IF(OR(N368="可忽略不计Negligible",O368="可忽略不计Negligible",P368="可忽略不计Negligible",Q368="可忽略不计Negligible"),"可忽略不计Negligible","/"))))</f>
        <v>主要Major</v>
      </c>
      <c r="S368" s="175" t="s">
        <v>78</v>
      </c>
      <c r="T368" s="175" t="s">
        <v>511</v>
      </c>
      <c r="U368" s="175" t="s">
        <v>80</v>
      </c>
      <c r="V368" s="171" t="s">
        <v>1148</v>
      </c>
      <c r="W368" s="171" t="s">
        <v>82</v>
      </c>
      <c r="X368" s="176">
        <f t="shared" ref="X368:X374" si="255">IF(OR(W368="/",W368=""),"/",IF(ISNUMBER(SEARCH("1天",W368)),0,IF(ISNUMBER(SEARCH("一周",W368)),1,IF(ISNUMBER(SEARCH("1个月",W368)),4,IF(ISNUMBER(SEARCH("超过",W368)),19,IF(ISNUMBER(SEARCH("6个月",W368)),17,""))))))</f>
        <v>0</v>
      </c>
      <c r="Y368" s="171" t="s">
        <v>83</v>
      </c>
      <c r="Z368" s="176">
        <f t="shared" ref="Z368:Z374" si="256">IF(OR(Y368="/",Y368=""),"/",IF(ISNUMBER(SEARCH("新手",Y368)),0,IF(ISNUMBER(SEARCH("熟练",Y368)),3,IF(ISNUMBER(SEARCH("多位",Y368)),17,IF(ISNUMBER(SEARCH("专家",Y368)),6,"")))))</f>
        <v>6</v>
      </c>
      <c r="AA368" s="171" t="s">
        <v>84</v>
      </c>
      <c r="AB368" s="176">
        <f t="shared" ref="AB368:AB374" si="257">IF(OR(AA368="/",AA368=""),"/",IF(ISNUMBER(SEARCH("公开",AA368)),0,IF(ISNUMBER(SEARCH("限制性信息",AA368)),3,IF(ISNUMBER(SEARCH("机密信息",AA368)),7,IF(ISNUMBER(SEARCH("严格保密",AA368)),11,"")))))</f>
        <v>3</v>
      </c>
      <c r="AC368" s="171" t="s">
        <v>85</v>
      </c>
      <c r="AD368" s="176">
        <f t="shared" ref="AD368:AD374" si="258">IF(OR(AC368="/",AC368=""),"/",IF(ISNUMBER(SEARCH("无限制",AC368)),0,IF(ISNUMBER(SEARCH("容易",AC368)),1,IF(ISNUMBER(SEARCH("一般",AC368)),4,IF(ISNUMBER(SEARCH("困难",AC368)),10,"")))))</f>
        <v>4</v>
      </c>
      <c r="AE368" s="171" t="s">
        <v>86</v>
      </c>
      <c r="AF368" s="176" cm="1">
        <f t="array" ref="AF368">IF(OR(AE368="/",AE368=""),"/",IF(ISNUMBER(SEARCH("普通",AE368)),0,IF(ISNUMBER(SEARCH("专用",AE368)),4,IF(ISNUMBER(SEARCH("定制",AE368)),7,IF(ISNUMBER(SEARCH("多个定制",AE368)),9,””)))))</f>
        <v>4</v>
      </c>
      <c r="AG368" s="176">
        <f t="shared" ref="AG368:AG374" si="259">IF(OR(X368="/",Z368="/",AB368="/",AD368="/",AF368="/"),"/",X368+Z368+AB368+AD368+AF368)</f>
        <v>17</v>
      </c>
      <c r="AH368" s="176" t="str">
        <f t="shared" ref="AH368:AH374" si="260">IF(AND(AG368&gt;=0,AG368&lt;14),"高High",IF(AND(AG368&gt;=14,AG368&lt;20),"中Medium",IF(AND(AG368&gt;=20,AG368&lt;25),"低Low",IF(AND(AG368&gt;=25,AG368&lt;57),"非常低Very low",""))))</f>
        <v>中Medium</v>
      </c>
      <c r="AI368" s="176" t="s">
        <v>87</v>
      </c>
      <c r="AJ368" s="176" t="str">
        <f t="shared" si="225"/>
        <v>降低
Reucing</v>
      </c>
      <c r="AK368" s="171" t="s">
        <v>513</v>
      </c>
      <c r="AL368" s="177" t="s">
        <v>514</v>
      </c>
      <c r="AM368" s="180" t="s">
        <v>90</v>
      </c>
      <c r="AN368" s="178" t="s">
        <v>91</v>
      </c>
      <c r="AO368" s="178" t="s">
        <v>92</v>
      </c>
    </row>
    <row r="369" s="116" customFormat="1" ht="17" customHeight="1" spans="1:41">
      <c r="A369" s="171">
        <v>366</v>
      </c>
      <c r="B369" s="179"/>
      <c r="C369" s="179"/>
      <c r="D369" s="179"/>
      <c r="E369" s="171" t="s">
        <v>73</v>
      </c>
      <c r="F369" s="171"/>
      <c r="G369" s="171"/>
      <c r="H369" s="171"/>
      <c r="I369" s="171"/>
      <c r="J369" s="171"/>
      <c r="K369" s="173" t="s">
        <v>515</v>
      </c>
      <c r="L369" s="173" t="s">
        <v>1149</v>
      </c>
      <c r="M369" s="173" t="s">
        <v>106</v>
      </c>
      <c r="N369" s="174" t="s">
        <v>77</v>
      </c>
      <c r="O369" s="174" t="s">
        <v>77</v>
      </c>
      <c r="P369" s="174" t="s">
        <v>96</v>
      </c>
      <c r="Q369" s="174" t="s">
        <v>78</v>
      </c>
      <c r="R369" s="174" t="str">
        <f t="shared" si="254"/>
        <v>主要Major</v>
      </c>
      <c r="S369" s="175" t="s">
        <v>107</v>
      </c>
      <c r="T369" s="175" t="s">
        <v>517</v>
      </c>
      <c r="U369" s="175" t="s">
        <v>109</v>
      </c>
      <c r="V369" s="171" t="s">
        <v>1150</v>
      </c>
      <c r="W369" s="171" t="s">
        <v>111</v>
      </c>
      <c r="X369" s="176">
        <f t="shared" si="255"/>
        <v>1</v>
      </c>
      <c r="Y369" s="171" t="s">
        <v>83</v>
      </c>
      <c r="Z369" s="176">
        <f t="shared" si="256"/>
        <v>6</v>
      </c>
      <c r="AA369" s="171" t="s">
        <v>84</v>
      </c>
      <c r="AB369" s="176">
        <f t="shared" si="257"/>
        <v>3</v>
      </c>
      <c r="AC369" s="171" t="s">
        <v>85</v>
      </c>
      <c r="AD369" s="176">
        <f t="shared" si="258"/>
        <v>4</v>
      </c>
      <c r="AE369" s="171" t="s">
        <v>143</v>
      </c>
      <c r="AF369" s="176" cm="1">
        <f t="array" ref="AF369">IF(OR(AE369="/",AE369=""),"/",IF(ISNUMBER(SEARCH("普通",AE369)),0,IF(ISNUMBER(SEARCH("专用",AE369)),4,IF(ISNUMBER(SEARCH("定制",AE369)),7,IF(ISNUMBER(SEARCH("多个定制",AE369)),9,””)))))</f>
        <v>7</v>
      </c>
      <c r="AG369" s="176">
        <f t="shared" si="259"/>
        <v>21</v>
      </c>
      <c r="AH369" s="176" t="str">
        <f t="shared" si="260"/>
        <v>低Low</v>
      </c>
      <c r="AI369" s="176" t="s">
        <v>112</v>
      </c>
      <c r="AJ369" s="176" t="str">
        <f t="shared" si="225"/>
        <v>消除
Avoiding</v>
      </c>
      <c r="AK369" s="171" t="s">
        <v>519</v>
      </c>
      <c r="AL369" s="177" t="s">
        <v>520</v>
      </c>
      <c r="AM369" s="180" t="s">
        <v>115</v>
      </c>
      <c r="AN369" s="178" t="s">
        <v>116</v>
      </c>
      <c r="AO369" s="178" t="s">
        <v>117</v>
      </c>
    </row>
    <row r="370" s="116" customFormat="1" ht="17" customHeight="1" spans="1:41">
      <c r="A370" s="171">
        <v>367</v>
      </c>
      <c r="B370" s="179"/>
      <c r="C370" s="179"/>
      <c r="D370" s="179"/>
      <c r="E370" s="171"/>
      <c r="F370" s="171" t="s">
        <v>73</v>
      </c>
      <c r="G370" s="171"/>
      <c r="H370" s="171"/>
      <c r="I370" s="171"/>
      <c r="J370" s="171"/>
      <c r="K370" s="173" t="s">
        <v>521</v>
      </c>
      <c r="L370" s="173" t="s">
        <v>1151</v>
      </c>
      <c r="M370" s="173" t="s">
        <v>120</v>
      </c>
      <c r="N370" s="174" t="s">
        <v>77</v>
      </c>
      <c r="O370" s="174" t="s">
        <v>96</v>
      </c>
      <c r="P370" s="174" t="s">
        <v>78</v>
      </c>
      <c r="Q370" s="174" t="s">
        <v>77</v>
      </c>
      <c r="R370" s="174" t="str">
        <f t="shared" si="254"/>
        <v>主要Major</v>
      </c>
      <c r="S370" s="175" t="s">
        <v>78</v>
      </c>
      <c r="T370" s="175" t="s">
        <v>523</v>
      </c>
      <c r="U370" s="175" t="s">
        <v>1152</v>
      </c>
      <c r="V370" s="171" t="s">
        <v>1148</v>
      </c>
      <c r="W370" s="171" t="s">
        <v>82</v>
      </c>
      <c r="X370" s="176">
        <f t="shared" si="255"/>
        <v>0</v>
      </c>
      <c r="Y370" s="171" t="s">
        <v>83</v>
      </c>
      <c r="Z370" s="176">
        <f t="shared" si="256"/>
        <v>6</v>
      </c>
      <c r="AA370" s="171" t="s">
        <v>84</v>
      </c>
      <c r="AB370" s="176">
        <f t="shared" si="257"/>
        <v>3</v>
      </c>
      <c r="AC370" s="171" t="s">
        <v>85</v>
      </c>
      <c r="AD370" s="176">
        <f t="shared" si="258"/>
        <v>4</v>
      </c>
      <c r="AE370" s="171" t="s">
        <v>86</v>
      </c>
      <c r="AF370" s="176" cm="1">
        <f t="array" ref="AF370">IF(OR(AE370="/",AE370=""),"/",IF(ISNUMBER(SEARCH("普通",AE370)),0,IF(ISNUMBER(SEARCH("专用",AE370)),4,IF(ISNUMBER(SEARCH("定制",AE370)),7,IF(ISNUMBER(SEARCH("多个定制",AE370)),9,””)))))</f>
        <v>4</v>
      </c>
      <c r="AG370" s="176">
        <f t="shared" si="259"/>
        <v>17</v>
      </c>
      <c r="AH370" s="176" t="str">
        <f t="shared" si="260"/>
        <v>中Medium</v>
      </c>
      <c r="AI370" s="176" t="s">
        <v>87</v>
      </c>
      <c r="AJ370" s="176" t="str">
        <f t="shared" si="225"/>
        <v>降低
Reucing</v>
      </c>
      <c r="AK370" s="171" t="s">
        <v>525</v>
      </c>
      <c r="AL370" s="177" t="s">
        <v>526</v>
      </c>
      <c r="AM370" s="180" t="s">
        <v>125</v>
      </c>
      <c r="AN370" s="178" t="s">
        <v>126</v>
      </c>
      <c r="AO370" s="178" t="s">
        <v>127</v>
      </c>
    </row>
    <row r="371" s="116" customFormat="1" ht="17" customHeight="1" spans="1:41">
      <c r="A371" s="171">
        <v>368</v>
      </c>
      <c r="B371" s="179"/>
      <c r="C371" s="179"/>
      <c r="D371" s="179"/>
      <c r="E371" s="171"/>
      <c r="F371" s="171" t="s">
        <v>73</v>
      </c>
      <c r="G371" s="171"/>
      <c r="H371" s="171"/>
      <c r="I371" s="171"/>
      <c r="J371" s="171"/>
      <c r="K371" s="173" t="s">
        <v>527</v>
      </c>
      <c r="L371" s="173" t="s">
        <v>1153</v>
      </c>
      <c r="M371" s="173" t="s">
        <v>120</v>
      </c>
      <c r="N371" s="174" t="s">
        <v>96</v>
      </c>
      <c r="O371" s="174" t="s">
        <v>96</v>
      </c>
      <c r="P371" s="174" t="s">
        <v>78</v>
      </c>
      <c r="Q371" s="174" t="s">
        <v>77</v>
      </c>
      <c r="R371" s="174" t="str">
        <f t="shared" si="254"/>
        <v>主要Major</v>
      </c>
      <c r="S371" s="175" t="s">
        <v>78</v>
      </c>
      <c r="T371" s="175" t="s">
        <v>529</v>
      </c>
      <c r="U371" s="175" t="s">
        <v>1154</v>
      </c>
      <c r="V371" s="171" t="s">
        <v>1148</v>
      </c>
      <c r="W371" s="171" t="s">
        <v>111</v>
      </c>
      <c r="X371" s="176">
        <f t="shared" si="255"/>
        <v>1</v>
      </c>
      <c r="Y371" s="171" t="s">
        <v>83</v>
      </c>
      <c r="Z371" s="176">
        <f t="shared" si="256"/>
        <v>6</v>
      </c>
      <c r="AA371" s="171" t="s">
        <v>84</v>
      </c>
      <c r="AB371" s="176">
        <f t="shared" si="257"/>
        <v>3</v>
      </c>
      <c r="AC371" s="171" t="s">
        <v>85</v>
      </c>
      <c r="AD371" s="176">
        <f t="shared" si="258"/>
        <v>4</v>
      </c>
      <c r="AE371" s="171" t="s">
        <v>86</v>
      </c>
      <c r="AF371" s="176" cm="1">
        <f t="array" ref="AF371">IF(OR(AE371="/",AE371=""),"/",IF(ISNUMBER(SEARCH("普通",AE371)),0,IF(ISNUMBER(SEARCH("专用",AE371)),4,IF(ISNUMBER(SEARCH("定制",AE371)),7,IF(ISNUMBER(SEARCH("多个定制",AE371)),9,””)))))</f>
        <v>4</v>
      </c>
      <c r="AG371" s="176">
        <f t="shared" si="259"/>
        <v>18</v>
      </c>
      <c r="AH371" s="176" t="str">
        <f t="shared" si="260"/>
        <v>中Medium</v>
      </c>
      <c r="AI371" s="176" t="s">
        <v>87</v>
      </c>
      <c r="AJ371" s="176" t="str">
        <f t="shared" si="225"/>
        <v>降低
Reucing</v>
      </c>
      <c r="AK371" s="171" t="s">
        <v>531</v>
      </c>
      <c r="AL371" s="177" t="s">
        <v>532</v>
      </c>
      <c r="AM371" s="180" t="s">
        <v>134</v>
      </c>
      <c r="AN371" s="178" t="s">
        <v>135</v>
      </c>
      <c r="AO371" s="178" t="s">
        <v>136</v>
      </c>
    </row>
    <row r="372" s="116" customFormat="1" ht="17" customHeight="1" spans="1:41">
      <c r="A372" s="171">
        <v>369</v>
      </c>
      <c r="B372" s="179"/>
      <c r="C372" s="179"/>
      <c r="D372" s="179"/>
      <c r="E372" s="171"/>
      <c r="F372" s="171"/>
      <c r="G372" s="171" t="s">
        <v>73</v>
      </c>
      <c r="H372" s="171"/>
      <c r="I372" s="171"/>
      <c r="J372" s="171"/>
      <c r="K372" s="173" t="s">
        <v>533</v>
      </c>
      <c r="L372" s="173" t="s">
        <v>1155</v>
      </c>
      <c r="M372" s="173" t="s">
        <v>150</v>
      </c>
      <c r="N372" s="174" t="s">
        <v>96</v>
      </c>
      <c r="O372" s="174" t="s">
        <v>96</v>
      </c>
      <c r="P372" s="174" t="s">
        <v>96</v>
      </c>
      <c r="Q372" s="174" t="s">
        <v>77</v>
      </c>
      <c r="R372" s="174" t="str">
        <f t="shared" si="254"/>
        <v>中等Medium</v>
      </c>
      <c r="S372" s="175" t="s">
        <v>96</v>
      </c>
      <c r="T372" s="175" t="s">
        <v>535</v>
      </c>
      <c r="U372" s="175" t="s">
        <v>152</v>
      </c>
      <c r="V372" s="171" t="s">
        <v>1148</v>
      </c>
      <c r="W372" s="171" t="s">
        <v>82</v>
      </c>
      <c r="X372" s="176">
        <f t="shared" si="255"/>
        <v>0</v>
      </c>
      <c r="Y372" s="171" t="s">
        <v>83</v>
      </c>
      <c r="Z372" s="176">
        <f t="shared" si="256"/>
        <v>6</v>
      </c>
      <c r="AA372" s="171" t="s">
        <v>153</v>
      </c>
      <c r="AB372" s="176">
        <f t="shared" si="257"/>
        <v>0</v>
      </c>
      <c r="AC372" s="171" t="s">
        <v>85</v>
      </c>
      <c r="AD372" s="176">
        <f t="shared" si="258"/>
        <v>4</v>
      </c>
      <c r="AE372" s="171" t="s">
        <v>143</v>
      </c>
      <c r="AF372" s="176" cm="1">
        <f t="array" ref="AF372">IF(OR(AE372="/",AE372=""),"/",IF(ISNUMBER(SEARCH("普通",AE372)),0,IF(ISNUMBER(SEARCH("专用",AE372)),4,IF(ISNUMBER(SEARCH("定制",AE372)),7,IF(ISNUMBER(SEARCH("多个定制",AE372)),9,””)))))</f>
        <v>7</v>
      </c>
      <c r="AG372" s="176">
        <f t="shared" si="259"/>
        <v>17</v>
      </c>
      <c r="AH372" s="176" t="str">
        <f t="shared" si="260"/>
        <v>中Medium</v>
      </c>
      <c r="AI372" s="176" t="s">
        <v>144</v>
      </c>
      <c r="AJ372" s="176" t="str">
        <f t="shared" si="225"/>
        <v>保留
Retaining</v>
      </c>
      <c r="AK372" s="171" t="s">
        <v>145</v>
      </c>
      <c r="AL372" s="177" t="s">
        <v>145</v>
      </c>
      <c r="AM372" s="171" t="s">
        <v>145</v>
      </c>
      <c r="AN372" s="178" t="s">
        <v>280</v>
      </c>
      <c r="AO372" s="178" t="s">
        <v>281</v>
      </c>
    </row>
    <row r="373" s="116" customFormat="1" ht="17" customHeight="1" spans="1:41">
      <c r="A373" s="171">
        <v>370</v>
      </c>
      <c r="B373" s="179"/>
      <c r="C373" s="179"/>
      <c r="D373" s="179"/>
      <c r="E373" s="171"/>
      <c r="F373" s="171"/>
      <c r="G373" s="171"/>
      <c r="H373" s="171" t="s">
        <v>73</v>
      </c>
      <c r="I373" s="171"/>
      <c r="J373" s="171"/>
      <c r="K373" s="173" t="s">
        <v>536</v>
      </c>
      <c r="L373" s="173" t="s">
        <v>1156</v>
      </c>
      <c r="M373" s="173" t="s">
        <v>166</v>
      </c>
      <c r="N373" s="174" t="s">
        <v>96</v>
      </c>
      <c r="O373" s="174" t="s">
        <v>96</v>
      </c>
      <c r="P373" s="174" t="s">
        <v>96</v>
      </c>
      <c r="Q373" s="174" t="s">
        <v>77</v>
      </c>
      <c r="R373" s="174" t="str">
        <f t="shared" si="254"/>
        <v>中等Medium</v>
      </c>
      <c r="S373" s="171" t="s">
        <v>96</v>
      </c>
      <c r="T373" s="175" t="s">
        <v>538</v>
      </c>
      <c r="U373" s="175" t="s">
        <v>1157</v>
      </c>
      <c r="V373" s="171" t="s">
        <v>1148</v>
      </c>
      <c r="W373" s="171" t="s">
        <v>82</v>
      </c>
      <c r="X373" s="176">
        <f t="shared" si="255"/>
        <v>0</v>
      </c>
      <c r="Y373" s="171" t="s">
        <v>83</v>
      </c>
      <c r="Z373" s="176">
        <f t="shared" si="256"/>
        <v>6</v>
      </c>
      <c r="AA373" s="171" t="s">
        <v>84</v>
      </c>
      <c r="AB373" s="176">
        <f t="shared" si="257"/>
        <v>3</v>
      </c>
      <c r="AC373" s="171" t="s">
        <v>85</v>
      </c>
      <c r="AD373" s="176">
        <f t="shared" si="258"/>
        <v>4</v>
      </c>
      <c r="AE373" s="171" t="s">
        <v>86</v>
      </c>
      <c r="AF373" s="176" cm="1">
        <f t="array" ref="AF373">IF(OR(AE373="/",AE373=""),"/",IF(ISNUMBER(SEARCH("普通",AE373)),0,IF(ISNUMBER(SEARCH("专用",AE373)),4,IF(ISNUMBER(SEARCH("定制",AE373)),7,IF(ISNUMBER(SEARCH("多个定制",AE373)),9,””)))))</f>
        <v>4</v>
      </c>
      <c r="AG373" s="176">
        <f t="shared" si="259"/>
        <v>17</v>
      </c>
      <c r="AH373" s="176" t="str">
        <f t="shared" si="260"/>
        <v>中Medium</v>
      </c>
      <c r="AI373" s="176" t="s">
        <v>144</v>
      </c>
      <c r="AJ373" s="176" t="str">
        <f t="shared" si="225"/>
        <v>保留
Retaining</v>
      </c>
      <c r="AK373" s="171" t="s">
        <v>145</v>
      </c>
      <c r="AL373" s="177" t="s">
        <v>145</v>
      </c>
      <c r="AM373" s="180" t="s">
        <v>316</v>
      </c>
      <c r="AN373" s="178" t="s">
        <v>317</v>
      </c>
      <c r="AO373" s="178" t="s">
        <v>318</v>
      </c>
    </row>
    <row r="374" s="116" customFormat="1" ht="17" customHeight="1" spans="1:41">
      <c r="A374" s="171">
        <v>371</v>
      </c>
      <c r="B374" s="179"/>
      <c r="C374" s="179"/>
      <c r="D374" s="179"/>
      <c r="E374" s="171"/>
      <c r="F374" s="171"/>
      <c r="G374" s="171"/>
      <c r="H374" s="171"/>
      <c r="I374" s="171" t="s">
        <v>73</v>
      </c>
      <c r="J374" s="171"/>
      <c r="K374" s="173" t="s">
        <v>540</v>
      </c>
      <c r="L374" s="173" t="s">
        <v>1158</v>
      </c>
      <c r="M374" s="173" t="s">
        <v>174</v>
      </c>
      <c r="N374" s="174" t="s">
        <v>96</v>
      </c>
      <c r="O374" s="174" t="s">
        <v>96</v>
      </c>
      <c r="P374" s="174" t="s">
        <v>96</v>
      </c>
      <c r="Q374" s="174" t="s">
        <v>77</v>
      </c>
      <c r="R374" s="174" t="str">
        <f t="shared" si="254"/>
        <v>中等Medium</v>
      </c>
      <c r="S374" s="175" t="s">
        <v>96</v>
      </c>
      <c r="T374" s="175" t="s">
        <v>542</v>
      </c>
      <c r="U374" s="175" t="s">
        <v>176</v>
      </c>
      <c r="V374" s="171" t="s">
        <v>1148</v>
      </c>
      <c r="W374" s="171" t="s">
        <v>82</v>
      </c>
      <c r="X374" s="176">
        <f t="shared" si="255"/>
        <v>0</v>
      </c>
      <c r="Y374" s="171" t="s">
        <v>177</v>
      </c>
      <c r="Z374" s="176">
        <f t="shared" si="256"/>
        <v>3</v>
      </c>
      <c r="AA374" s="171" t="s">
        <v>153</v>
      </c>
      <c r="AB374" s="176">
        <f t="shared" si="257"/>
        <v>0</v>
      </c>
      <c r="AC374" s="171" t="s">
        <v>85</v>
      </c>
      <c r="AD374" s="176">
        <f t="shared" si="258"/>
        <v>4</v>
      </c>
      <c r="AE374" s="171" t="s">
        <v>86</v>
      </c>
      <c r="AF374" s="176" cm="1">
        <f t="array" ref="AF374">IF(OR(AE374="/",AE374=""),"/",IF(ISNUMBER(SEARCH("普通",AE374)),0,IF(ISNUMBER(SEARCH("专用",AE374)),4,IF(ISNUMBER(SEARCH("定制",AE374)),7,IF(ISNUMBER(SEARCH("多个定制",AE374)),9,””)))))</f>
        <v>4</v>
      </c>
      <c r="AG374" s="176">
        <f t="shared" si="259"/>
        <v>11</v>
      </c>
      <c r="AH374" s="176" t="str">
        <f t="shared" si="260"/>
        <v>高High</v>
      </c>
      <c r="AI374" s="176" t="s">
        <v>87</v>
      </c>
      <c r="AJ374" s="176" t="str">
        <f t="shared" si="225"/>
        <v>降低
Reucing</v>
      </c>
      <c r="AK374" s="171" t="s">
        <v>543</v>
      </c>
      <c r="AL374" s="177" t="s">
        <v>544</v>
      </c>
      <c r="AM374" s="180" t="s">
        <v>329</v>
      </c>
      <c r="AN374" s="178" t="s">
        <v>181</v>
      </c>
      <c r="AO374" s="178" t="s">
        <v>182</v>
      </c>
    </row>
    <row r="375" s="116" customFormat="1" ht="17" customHeight="1" spans="1:41">
      <c r="A375" s="171">
        <v>372</v>
      </c>
      <c r="B375" s="181"/>
      <c r="C375" s="181"/>
      <c r="D375" s="181"/>
      <c r="E375" s="171"/>
      <c r="F375" s="171"/>
      <c r="G375" s="171"/>
      <c r="H375" s="171"/>
      <c r="I375" s="171"/>
      <c r="J375" s="171" t="s">
        <v>183</v>
      </c>
      <c r="K375" s="173" t="s">
        <v>145</v>
      </c>
      <c r="L375" s="173" t="s">
        <v>145</v>
      </c>
      <c r="M375" s="173" t="s">
        <v>145</v>
      </c>
      <c r="N375" s="174" t="s">
        <v>145</v>
      </c>
      <c r="O375" s="174" t="s">
        <v>145</v>
      </c>
      <c r="P375" s="174" t="s">
        <v>145</v>
      </c>
      <c r="Q375" s="174" t="s">
        <v>145</v>
      </c>
      <c r="R375" s="174" t="s">
        <v>145</v>
      </c>
      <c r="S375" s="175" t="s">
        <v>145</v>
      </c>
      <c r="T375" s="175" t="s">
        <v>145</v>
      </c>
      <c r="U375" s="175" t="s">
        <v>145</v>
      </c>
      <c r="V375" s="171" t="s">
        <v>145</v>
      </c>
      <c r="W375" s="171" t="s">
        <v>145</v>
      </c>
      <c r="X375" s="176" t="s">
        <v>145</v>
      </c>
      <c r="Y375" s="171" t="s">
        <v>145</v>
      </c>
      <c r="Z375" s="176" t="s">
        <v>145</v>
      </c>
      <c r="AA375" s="171" t="s">
        <v>145</v>
      </c>
      <c r="AB375" s="176" t="s">
        <v>145</v>
      </c>
      <c r="AC375" s="171" t="s">
        <v>145</v>
      </c>
      <c r="AD375" s="176" t="s">
        <v>145</v>
      </c>
      <c r="AE375" s="171" t="s">
        <v>145</v>
      </c>
      <c r="AF375" s="176" t="str" cm="1">
        <f t="array" ref="AF375">IF(OR(AE375="/",AE375=""),"/",IF(ISNUMBER(SEARCH("普通",AE375)),0,IF(ISNUMBER(SEARCH("专用",AE375)),4,IF(ISNUMBER(SEARCH("定制",AE375)),7,IF(ISNUMBER(SEARCH("多个定制",AE375)),9,””)))))</f>
        <v>/</v>
      </c>
      <c r="AG375" s="176" t="s">
        <v>145</v>
      </c>
      <c r="AH375" s="176" t="s">
        <v>145</v>
      </c>
      <c r="AI375" s="176" t="s">
        <v>145</v>
      </c>
      <c r="AJ375" s="176" t="str">
        <f t="shared" si="225"/>
        <v>/</v>
      </c>
      <c r="AK375" s="171" t="s">
        <v>145</v>
      </c>
      <c r="AL375" s="177" t="s">
        <v>145</v>
      </c>
      <c r="AM375" s="177" t="s">
        <v>145</v>
      </c>
      <c r="AN375" s="177" t="s">
        <v>145</v>
      </c>
      <c r="AO375" s="177" t="s">
        <v>145</v>
      </c>
    </row>
    <row r="376" s="116" customFormat="1" ht="17" customHeight="1" spans="1:41">
      <c r="A376" s="171">
        <v>373</v>
      </c>
      <c r="B376" s="172" t="s">
        <v>1159</v>
      </c>
      <c r="C376" s="171" t="s">
        <v>71</v>
      </c>
      <c r="D376" s="173" t="s">
        <v>1160</v>
      </c>
      <c r="E376" s="171" t="s">
        <v>73</v>
      </c>
      <c r="F376" s="171"/>
      <c r="G376" s="171"/>
      <c r="H376" s="171"/>
      <c r="I376" s="171"/>
      <c r="J376" s="171"/>
      <c r="K376" s="173" t="s">
        <v>509</v>
      </c>
      <c r="L376" s="173" t="s">
        <v>1161</v>
      </c>
      <c r="M376" s="173" t="s">
        <v>76</v>
      </c>
      <c r="N376" s="174" t="s">
        <v>77</v>
      </c>
      <c r="O376" s="174" t="s">
        <v>77</v>
      </c>
      <c r="P376" s="174" t="s">
        <v>78</v>
      </c>
      <c r="Q376" s="174" t="s">
        <v>77</v>
      </c>
      <c r="R376" s="174" t="str">
        <f t="shared" ref="R376:R382" si="261">IF(OR(N376="严重Severe",O376="严重Severe",P376="严重Severe",Q376="严重Severe"),"严重Severe",IF(OR(N376="主要Major",O376="主要Major",P376="主要Major",Q376="主要Major"),"主要Major",IF(OR(N376="中等Medium",O376="中等Medium",P376="中等Medium",Q376="中等Medium"),"中等Medium",IF(OR(N376="可忽略不计Negligible",O376="可忽略不计Negligible",P376="可忽略不计Negligible",Q376="可忽略不计Negligible"),"可忽略不计Negligible","/"))))</f>
        <v>主要Major</v>
      </c>
      <c r="S376" s="175" t="s">
        <v>78</v>
      </c>
      <c r="T376" s="175" t="s">
        <v>511</v>
      </c>
      <c r="U376" s="175" t="s">
        <v>80</v>
      </c>
      <c r="V376" s="171" t="s">
        <v>1162</v>
      </c>
      <c r="W376" s="171" t="s">
        <v>82</v>
      </c>
      <c r="X376" s="176">
        <f t="shared" ref="X376:X382" si="262">IF(OR(W376="/",W376=""),"/",IF(ISNUMBER(SEARCH("1天",W376)),0,IF(ISNUMBER(SEARCH("一周",W376)),1,IF(ISNUMBER(SEARCH("1个月",W376)),4,IF(ISNUMBER(SEARCH("超过",W376)),19,IF(ISNUMBER(SEARCH("6个月",W376)),17,""))))))</f>
        <v>0</v>
      </c>
      <c r="Y376" s="171" t="s">
        <v>83</v>
      </c>
      <c r="Z376" s="176">
        <f t="shared" ref="Z376:Z382" si="263">IF(OR(Y376="/",Y376=""),"/",IF(ISNUMBER(SEARCH("新手",Y376)),0,IF(ISNUMBER(SEARCH("熟练",Y376)),3,IF(ISNUMBER(SEARCH("多位",Y376)),17,IF(ISNUMBER(SEARCH("专家",Y376)),6,"")))))</f>
        <v>6</v>
      </c>
      <c r="AA376" s="171" t="s">
        <v>84</v>
      </c>
      <c r="AB376" s="176">
        <f t="shared" ref="AB376:AB382" si="264">IF(OR(AA376="/",AA376=""),"/",IF(ISNUMBER(SEARCH("公开",AA376)),0,IF(ISNUMBER(SEARCH("限制性信息",AA376)),3,IF(ISNUMBER(SEARCH("机密信息",AA376)),7,IF(ISNUMBER(SEARCH("严格保密",AA376)),11,"")))))</f>
        <v>3</v>
      </c>
      <c r="AC376" s="171" t="s">
        <v>85</v>
      </c>
      <c r="AD376" s="176">
        <f t="shared" ref="AD376:AD382" si="265">IF(OR(AC376="/",AC376=""),"/",IF(ISNUMBER(SEARCH("无限制",AC376)),0,IF(ISNUMBER(SEARCH("容易",AC376)),1,IF(ISNUMBER(SEARCH("一般",AC376)),4,IF(ISNUMBER(SEARCH("困难",AC376)),10,"")))))</f>
        <v>4</v>
      </c>
      <c r="AE376" s="171" t="s">
        <v>86</v>
      </c>
      <c r="AF376" s="176" cm="1">
        <f t="array" ref="AF376">IF(OR(AE376="/",AE376=""),"/",IF(ISNUMBER(SEARCH("普通",AE376)),0,IF(ISNUMBER(SEARCH("专用",AE376)),4,IF(ISNUMBER(SEARCH("定制",AE376)),7,IF(ISNUMBER(SEARCH("多个定制",AE376)),9,””)))))</f>
        <v>4</v>
      </c>
      <c r="AG376" s="176">
        <f t="shared" ref="AG376:AG382" si="266">IF(OR(X376="/",Z376="/",AB376="/",AD376="/",AF376="/"),"/",X376+Z376+AB376+AD376+AF376)</f>
        <v>17</v>
      </c>
      <c r="AH376" s="176" t="str">
        <f t="shared" ref="AH376:AH382" si="267">IF(AND(AG376&gt;=0,AG376&lt;14),"高High",IF(AND(AG376&gt;=14,AG376&lt;20),"中Medium",IF(AND(AG376&gt;=20,AG376&lt;25),"低Low",IF(AND(AG376&gt;=25,AG376&lt;57),"非常低Very low",""))))</f>
        <v>中Medium</v>
      </c>
      <c r="AI376" s="176" t="s">
        <v>87</v>
      </c>
      <c r="AJ376" s="176" t="str">
        <f t="shared" si="225"/>
        <v>降低
Reucing</v>
      </c>
      <c r="AK376" s="171" t="s">
        <v>513</v>
      </c>
      <c r="AL376" s="177" t="s">
        <v>514</v>
      </c>
      <c r="AM376" s="180" t="s">
        <v>90</v>
      </c>
      <c r="AN376" s="178" t="s">
        <v>91</v>
      </c>
      <c r="AO376" s="178" t="s">
        <v>92</v>
      </c>
    </row>
    <row r="377" s="116" customFormat="1" ht="17" customHeight="1" spans="1:41">
      <c r="A377" s="171">
        <v>374</v>
      </c>
      <c r="B377" s="179"/>
      <c r="C377" s="179"/>
      <c r="D377" s="179"/>
      <c r="E377" s="171" t="s">
        <v>73</v>
      </c>
      <c r="F377" s="171"/>
      <c r="G377" s="171"/>
      <c r="H377" s="171"/>
      <c r="I377" s="171"/>
      <c r="J377" s="171"/>
      <c r="K377" s="173" t="s">
        <v>515</v>
      </c>
      <c r="L377" s="173" t="s">
        <v>1163</v>
      </c>
      <c r="M377" s="173" t="s">
        <v>106</v>
      </c>
      <c r="N377" s="174" t="s">
        <v>77</v>
      </c>
      <c r="O377" s="174" t="s">
        <v>77</v>
      </c>
      <c r="P377" s="174" t="s">
        <v>96</v>
      </c>
      <c r="Q377" s="174" t="s">
        <v>78</v>
      </c>
      <c r="R377" s="174" t="str">
        <f t="shared" si="261"/>
        <v>主要Major</v>
      </c>
      <c r="S377" s="175" t="s">
        <v>107</v>
      </c>
      <c r="T377" s="175" t="s">
        <v>517</v>
      </c>
      <c r="U377" s="175" t="s">
        <v>109</v>
      </c>
      <c r="V377" s="171" t="s">
        <v>1164</v>
      </c>
      <c r="W377" s="171" t="s">
        <v>111</v>
      </c>
      <c r="X377" s="176">
        <f t="shared" si="262"/>
        <v>1</v>
      </c>
      <c r="Y377" s="171" t="s">
        <v>83</v>
      </c>
      <c r="Z377" s="176">
        <f t="shared" si="263"/>
        <v>6</v>
      </c>
      <c r="AA377" s="171" t="s">
        <v>84</v>
      </c>
      <c r="AB377" s="176">
        <f t="shared" si="264"/>
        <v>3</v>
      </c>
      <c r="AC377" s="171" t="s">
        <v>85</v>
      </c>
      <c r="AD377" s="176">
        <f t="shared" si="265"/>
        <v>4</v>
      </c>
      <c r="AE377" s="171" t="s">
        <v>143</v>
      </c>
      <c r="AF377" s="176" cm="1">
        <f t="array" ref="AF377">IF(OR(AE377="/",AE377=""),"/",IF(ISNUMBER(SEARCH("普通",AE377)),0,IF(ISNUMBER(SEARCH("专用",AE377)),4,IF(ISNUMBER(SEARCH("定制",AE377)),7,IF(ISNUMBER(SEARCH("多个定制",AE377)),9,””)))))</f>
        <v>7</v>
      </c>
      <c r="AG377" s="176">
        <f t="shared" si="266"/>
        <v>21</v>
      </c>
      <c r="AH377" s="176" t="str">
        <f t="shared" si="267"/>
        <v>低Low</v>
      </c>
      <c r="AI377" s="176" t="s">
        <v>112</v>
      </c>
      <c r="AJ377" s="176" t="str">
        <f t="shared" si="225"/>
        <v>消除
Avoiding</v>
      </c>
      <c r="AK377" s="171" t="s">
        <v>519</v>
      </c>
      <c r="AL377" s="177" t="s">
        <v>520</v>
      </c>
      <c r="AM377" s="180" t="s">
        <v>115</v>
      </c>
      <c r="AN377" s="178" t="s">
        <v>116</v>
      </c>
      <c r="AO377" s="178" t="s">
        <v>117</v>
      </c>
    </row>
    <row r="378" s="116" customFormat="1" ht="17" customHeight="1" spans="1:41">
      <c r="A378" s="171">
        <v>375</v>
      </c>
      <c r="B378" s="179"/>
      <c r="C378" s="179"/>
      <c r="D378" s="179"/>
      <c r="E378" s="171"/>
      <c r="F378" s="171" t="s">
        <v>73</v>
      </c>
      <c r="G378" s="171"/>
      <c r="H378" s="171"/>
      <c r="I378" s="171"/>
      <c r="J378" s="171"/>
      <c r="K378" s="173" t="s">
        <v>521</v>
      </c>
      <c r="L378" s="173" t="s">
        <v>1165</v>
      </c>
      <c r="M378" s="173" t="s">
        <v>120</v>
      </c>
      <c r="N378" s="174" t="s">
        <v>77</v>
      </c>
      <c r="O378" s="174" t="s">
        <v>96</v>
      </c>
      <c r="P378" s="174" t="s">
        <v>78</v>
      </c>
      <c r="Q378" s="174" t="s">
        <v>77</v>
      </c>
      <c r="R378" s="174" t="str">
        <f t="shared" si="261"/>
        <v>主要Major</v>
      </c>
      <c r="S378" s="175" t="s">
        <v>78</v>
      </c>
      <c r="T378" s="175" t="s">
        <v>523</v>
      </c>
      <c r="U378" s="175" t="s">
        <v>1166</v>
      </c>
      <c r="V378" s="171" t="s">
        <v>1162</v>
      </c>
      <c r="W378" s="171" t="s">
        <v>82</v>
      </c>
      <c r="X378" s="176">
        <f t="shared" si="262"/>
        <v>0</v>
      </c>
      <c r="Y378" s="171" t="s">
        <v>83</v>
      </c>
      <c r="Z378" s="176">
        <f t="shared" si="263"/>
        <v>6</v>
      </c>
      <c r="AA378" s="171" t="s">
        <v>84</v>
      </c>
      <c r="AB378" s="176">
        <f t="shared" si="264"/>
        <v>3</v>
      </c>
      <c r="AC378" s="171" t="s">
        <v>85</v>
      </c>
      <c r="AD378" s="176">
        <f t="shared" si="265"/>
        <v>4</v>
      </c>
      <c r="AE378" s="171" t="s">
        <v>86</v>
      </c>
      <c r="AF378" s="176" cm="1">
        <f t="array" ref="AF378">IF(OR(AE378="/",AE378=""),"/",IF(ISNUMBER(SEARCH("普通",AE378)),0,IF(ISNUMBER(SEARCH("专用",AE378)),4,IF(ISNUMBER(SEARCH("定制",AE378)),7,IF(ISNUMBER(SEARCH("多个定制",AE378)),9,””)))))</f>
        <v>4</v>
      </c>
      <c r="AG378" s="176">
        <f t="shared" si="266"/>
        <v>17</v>
      </c>
      <c r="AH378" s="176" t="str">
        <f t="shared" si="267"/>
        <v>中Medium</v>
      </c>
      <c r="AI378" s="176" t="s">
        <v>87</v>
      </c>
      <c r="AJ378" s="176" t="str">
        <f t="shared" si="225"/>
        <v>降低
Reucing</v>
      </c>
      <c r="AK378" s="171" t="s">
        <v>525</v>
      </c>
      <c r="AL378" s="177" t="s">
        <v>526</v>
      </c>
      <c r="AM378" s="180" t="s">
        <v>125</v>
      </c>
      <c r="AN378" s="178" t="s">
        <v>126</v>
      </c>
      <c r="AO378" s="178" t="s">
        <v>127</v>
      </c>
    </row>
    <row r="379" s="116" customFormat="1" ht="17" customHeight="1" spans="1:41">
      <c r="A379" s="171">
        <v>376</v>
      </c>
      <c r="B379" s="179"/>
      <c r="C379" s="179"/>
      <c r="D379" s="179"/>
      <c r="E379" s="171"/>
      <c r="F379" s="171" t="s">
        <v>73</v>
      </c>
      <c r="G379" s="171"/>
      <c r="H379" s="171"/>
      <c r="I379" s="171"/>
      <c r="J379" s="171"/>
      <c r="K379" s="173" t="s">
        <v>527</v>
      </c>
      <c r="L379" s="173" t="s">
        <v>1167</v>
      </c>
      <c r="M379" s="173" t="s">
        <v>120</v>
      </c>
      <c r="N379" s="174" t="s">
        <v>96</v>
      </c>
      <c r="O379" s="174" t="s">
        <v>96</v>
      </c>
      <c r="P379" s="174" t="s">
        <v>78</v>
      </c>
      <c r="Q379" s="174" t="s">
        <v>77</v>
      </c>
      <c r="R379" s="174" t="str">
        <f t="shared" si="261"/>
        <v>主要Major</v>
      </c>
      <c r="S379" s="175" t="s">
        <v>78</v>
      </c>
      <c r="T379" s="175" t="s">
        <v>529</v>
      </c>
      <c r="U379" s="175" t="s">
        <v>1168</v>
      </c>
      <c r="V379" s="171" t="s">
        <v>1162</v>
      </c>
      <c r="W379" s="171" t="s">
        <v>111</v>
      </c>
      <c r="X379" s="176">
        <f t="shared" si="262"/>
        <v>1</v>
      </c>
      <c r="Y379" s="171" t="s">
        <v>83</v>
      </c>
      <c r="Z379" s="176">
        <f t="shared" si="263"/>
        <v>6</v>
      </c>
      <c r="AA379" s="171" t="s">
        <v>84</v>
      </c>
      <c r="AB379" s="176">
        <f t="shared" si="264"/>
        <v>3</v>
      </c>
      <c r="AC379" s="171" t="s">
        <v>85</v>
      </c>
      <c r="AD379" s="176">
        <f t="shared" si="265"/>
        <v>4</v>
      </c>
      <c r="AE379" s="171" t="s">
        <v>86</v>
      </c>
      <c r="AF379" s="176" cm="1">
        <f t="array" ref="AF379">IF(OR(AE379="/",AE379=""),"/",IF(ISNUMBER(SEARCH("普通",AE379)),0,IF(ISNUMBER(SEARCH("专用",AE379)),4,IF(ISNUMBER(SEARCH("定制",AE379)),7,IF(ISNUMBER(SEARCH("多个定制",AE379)),9,””)))))</f>
        <v>4</v>
      </c>
      <c r="AG379" s="176">
        <f t="shared" si="266"/>
        <v>18</v>
      </c>
      <c r="AH379" s="176" t="str">
        <f t="shared" si="267"/>
        <v>中Medium</v>
      </c>
      <c r="AI379" s="176" t="s">
        <v>87</v>
      </c>
      <c r="AJ379" s="176" t="str">
        <f t="shared" si="225"/>
        <v>降低
Reucing</v>
      </c>
      <c r="AK379" s="171" t="s">
        <v>531</v>
      </c>
      <c r="AL379" s="177" t="s">
        <v>532</v>
      </c>
      <c r="AM379" s="180" t="s">
        <v>134</v>
      </c>
      <c r="AN379" s="178" t="s">
        <v>135</v>
      </c>
      <c r="AO379" s="178" t="s">
        <v>136</v>
      </c>
    </row>
    <row r="380" s="116" customFormat="1" ht="17" customHeight="1" spans="1:41">
      <c r="A380" s="171">
        <v>377</v>
      </c>
      <c r="B380" s="179"/>
      <c r="C380" s="179"/>
      <c r="D380" s="179"/>
      <c r="E380" s="171"/>
      <c r="F380" s="171"/>
      <c r="G380" s="171" t="s">
        <v>73</v>
      </c>
      <c r="H380" s="171"/>
      <c r="I380" s="171"/>
      <c r="J380" s="171"/>
      <c r="K380" s="173" t="s">
        <v>533</v>
      </c>
      <c r="L380" s="173" t="s">
        <v>1169</v>
      </c>
      <c r="M380" s="173" t="s">
        <v>150</v>
      </c>
      <c r="N380" s="174" t="s">
        <v>96</v>
      </c>
      <c r="O380" s="174" t="s">
        <v>96</v>
      </c>
      <c r="P380" s="174" t="s">
        <v>96</v>
      </c>
      <c r="Q380" s="174" t="s">
        <v>77</v>
      </c>
      <c r="R380" s="174" t="str">
        <f t="shared" si="261"/>
        <v>中等Medium</v>
      </c>
      <c r="S380" s="175" t="s">
        <v>96</v>
      </c>
      <c r="T380" s="175" t="s">
        <v>535</v>
      </c>
      <c r="U380" s="175" t="s">
        <v>152</v>
      </c>
      <c r="V380" s="171" t="s">
        <v>1162</v>
      </c>
      <c r="W380" s="171" t="s">
        <v>82</v>
      </c>
      <c r="X380" s="176">
        <f t="shared" si="262"/>
        <v>0</v>
      </c>
      <c r="Y380" s="171" t="s">
        <v>83</v>
      </c>
      <c r="Z380" s="176">
        <f t="shared" si="263"/>
        <v>6</v>
      </c>
      <c r="AA380" s="171" t="s">
        <v>153</v>
      </c>
      <c r="AB380" s="176">
        <f t="shared" si="264"/>
        <v>0</v>
      </c>
      <c r="AC380" s="171" t="s">
        <v>85</v>
      </c>
      <c r="AD380" s="176">
        <f t="shared" si="265"/>
        <v>4</v>
      </c>
      <c r="AE380" s="171" t="s">
        <v>143</v>
      </c>
      <c r="AF380" s="176" cm="1">
        <f t="array" ref="AF380">IF(OR(AE380="/",AE380=""),"/",IF(ISNUMBER(SEARCH("普通",AE380)),0,IF(ISNUMBER(SEARCH("专用",AE380)),4,IF(ISNUMBER(SEARCH("定制",AE380)),7,IF(ISNUMBER(SEARCH("多个定制",AE380)),9,””)))))</f>
        <v>7</v>
      </c>
      <c r="AG380" s="176">
        <f t="shared" si="266"/>
        <v>17</v>
      </c>
      <c r="AH380" s="176" t="str">
        <f t="shared" si="267"/>
        <v>中Medium</v>
      </c>
      <c r="AI380" s="176" t="s">
        <v>144</v>
      </c>
      <c r="AJ380" s="176" t="str">
        <f t="shared" si="225"/>
        <v>保留
Retaining</v>
      </c>
      <c r="AK380" s="171" t="s">
        <v>145</v>
      </c>
      <c r="AL380" s="177" t="s">
        <v>145</v>
      </c>
      <c r="AM380" s="171" t="s">
        <v>145</v>
      </c>
      <c r="AN380" s="178" t="s">
        <v>280</v>
      </c>
      <c r="AO380" s="178" t="s">
        <v>281</v>
      </c>
    </row>
    <row r="381" s="116" customFormat="1" ht="17" customHeight="1" spans="1:41">
      <c r="A381" s="171">
        <v>378</v>
      </c>
      <c r="B381" s="179"/>
      <c r="C381" s="179"/>
      <c r="D381" s="179"/>
      <c r="E381" s="171"/>
      <c r="F381" s="171"/>
      <c r="G381" s="171"/>
      <c r="H381" s="171" t="s">
        <v>73</v>
      </c>
      <c r="I381" s="171"/>
      <c r="J381" s="171"/>
      <c r="K381" s="173" t="s">
        <v>536</v>
      </c>
      <c r="L381" s="173" t="s">
        <v>1170</v>
      </c>
      <c r="M381" s="173" t="s">
        <v>166</v>
      </c>
      <c r="N381" s="174" t="s">
        <v>96</v>
      </c>
      <c r="O381" s="174" t="s">
        <v>96</v>
      </c>
      <c r="P381" s="174" t="s">
        <v>96</v>
      </c>
      <c r="Q381" s="174" t="s">
        <v>77</v>
      </c>
      <c r="R381" s="174" t="str">
        <f t="shared" si="261"/>
        <v>中等Medium</v>
      </c>
      <c r="S381" s="171" t="s">
        <v>96</v>
      </c>
      <c r="T381" s="175" t="s">
        <v>538</v>
      </c>
      <c r="U381" s="175" t="s">
        <v>1171</v>
      </c>
      <c r="V381" s="171" t="s">
        <v>1162</v>
      </c>
      <c r="W381" s="171" t="s">
        <v>82</v>
      </c>
      <c r="X381" s="176">
        <f t="shared" si="262"/>
        <v>0</v>
      </c>
      <c r="Y381" s="171" t="s">
        <v>83</v>
      </c>
      <c r="Z381" s="176">
        <f t="shared" si="263"/>
        <v>6</v>
      </c>
      <c r="AA381" s="171" t="s">
        <v>84</v>
      </c>
      <c r="AB381" s="176">
        <f t="shared" si="264"/>
        <v>3</v>
      </c>
      <c r="AC381" s="171" t="s">
        <v>85</v>
      </c>
      <c r="AD381" s="176">
        <f t="shared" si="265"/>
        <v>4</v>
      </c>
      <c r="AE381" s="171" t="s">
        <v>86</v>
      </c>
      <c r="AF381" s="176" cm="1">
        <f t="array" ref="AF381">IF(OR(AE381="/",AE381=""),"/",IF(ISNUMBER(SEARCH("普通",AE381)),0,IF(ISNUMBER(SEARCH("专用",AE381)),4,IF(ISNUMBER(SEARCH("定制",AE381)),7,IF(ISNUMBER(SEARCH("多个定制",AE381)),9,””)))))</f>
        <v>4</v>
      </c>
      <c r="AG381" s="176">
        <f t="shared" si="266"/>
        <v>17</v>
      </c>
      <c r="AH381" s="176" t="str">
        <f t="shared" si="267"/>
        <v>中Medium</v>
      </c>
      <c r="AI381" s="176" t="s">
        <v>144</v>
      </c>
      <c r="AJ381" s="176" t="str">
        <f t="shared" si="225"/>
        <v>保留
Retaining</v>
      </c>
      <c r="AK381" s="171" t="s">
        <v>145</v>
      </c>
      <c r="AL381" s="177" t="s">
        <v>145</v>
      </c>
      <c r="AM381" s="180" t="s">
        <v>316</v>
      </c>
      <c r="AN381" s="178" t="s">
        <v>317</v>
      </c>
      <c r="AO381" s="178" t="s">
        <v>318</v>
      </c>
    </row>
    <row r="382" s="116" customFormat="1" ht="17" customHeight="1" spans="1:41">
      <c r="A382" s="171">
        <v>379</v>
      </c>
      <c r="B382" s="179"/>
      <c r="C382" s="179"/>
      <c r="D382" s="179"/>
      <c r="E382" s="171"/>
      <c r="F382" s="171"/>
      <c r="G382" s="171"/>
      <c r="H382" s="171"/>
      <c r="I382" s="171" t="s">
        <v>73</v>
      </c>
      <c r="J382" s="171"/>
      <c r="K382" s="173" t="s">
        <v>540</v>
      </c>
      <c r="L382" s="173" t="s">
        <v>1172</v>
      </c>
      <c r="M382" s="173" t="s">
        <v>174</v>
      </c>
      <c r="N382" s="174" t="s">
        <v>96</v>
      </c>
      <c r="O382" s="174" t="s">
        <v>96</v>
      </c>
      <c r="P382" s="174" t="s">
        <v>96</v>
      </c>
      <c r="Q382" s="174" t="s">
        <v>77</v>
      </c>
      <c r="R382" s="174" t="str">
        <f t="shared" si="261"/>
        <v>中等Medium</v>
      </c>
      <c r="S382" s="175" t="s">
        <v>96</v>
      </c>
      <c r="T382" s="175" t="s">
        <v>542</v>
      </c>
      <c r="U382" s="175" t="s">
        <v>176</v>
      </c>
      <c r="V382" s="171" t="s">
        <v>1162</v>
      </c>
      <c r="W382" s="171" t="s">
        <v>82</v>
      </c>
      <c r="X382" s="176">
        <f t="shared" si="262"/>
        <v>0</v>
      </c>
      <c r="Y382" s="171" t="s">
        <v>177</v>
      </c>
      <c r="Z382" s="176">
        <f t="shared" si="263"/>
        <v>3</v>
      </c>
      <c r="AA382" s="171" t="s">
        <v>153</v>
      </c>
      <c r="AB382" s="176">
        <f t="shared" si="264"/>
        <v>0</v>
      </c>
      <c r="AC382" s="171" t="s">
        <v>85</v>
      </c>
      <c r="AD382" s="176">
        <f t="shared" si="265"/>
        <v>4</v>
      </c>
      <c r="AE382" s="171" t="s">
        <v>86</v>
      </c>
      <c r="AF382" s="176" cm="1">
        <f t="array" ref="AF382">IF(OR(AE382="/",AE382=""),"/",IF(ISNUMBER(SEARCH("普通",AE382)),0,IF(ISNUMBER(SEARCH("专用",AE382)),4,IF(ISNUMBER(SEARCH("定制",AE382)),7,IF(ISNUMBER(SEARCH("多个定制",AE382)),9,””)))))</f>
        <v>4</v>
      </c>
      <c r="AG382" s="176">
        <f t="shared" si="266"/>
        <v>11</v>
      </c>
      <c r="AH382" s="176" t="str">
        <f t="shared" si="267"/>
        <v>高High</v>
      </c>
      <c r="AI382" s="176" t="s">
        <v>87</v>
      </c>
      <c r="AJ382" s="176" t="str">
        <f t="shared" si="225"/>
        <v>降低
Reucing</v>
      </c>
      <c r="AK382" s="171" t="s">
        <v>543</v>
      </c>
      <c r="AL382" s="177" t="s">
        <v>544</v>
      </c>
      <c r="AM382" s="180" t="s">
        <v>329</v>
      </c>
      <c r="AN382" s="178" t="s">
        <v>181</v>
      </c>
      <c r="AO382" s="178" t="s">
        <v>182</v>
      </c>
    </row>
    <row r="383" s="116" customFormat="1" ht="17" customHeight="1" spans="1:41">
      <c r="A383" s="171">
        <v>380</v>
      </c>
      <c r="B383" s="181"/>
      <c r="C383" s="181"/>
      <c r="D383" s="181"/>
      <c r="E383" s="171"/>
      <c r="F383" s="171"/>
      <c r="G383" s="171"/>
      <c r="H383" s="171"/>
      <c r="I383" s="171"/>
      <c r="J383" s="171" t="s">
        <v>183</v>
      </c>
      <c r="K383" s="173" t="s">
        <v>145</v>
      </c>
      <c r="L383" s="173" t="s">
        <v>145</v>
      </c>
      <c r="M383" s="173" t="s">
        <v>145</v>
      </c>
      <c r="N383" s="174" t="s">
        <v>145</v>
      </c>
      <c r="O383" s="174" t="s">
        <v>145</v>
      </c>
      <c r="P383" s="174" t="s">
        <v>145</v>
      </c>
      <c r="Q383" s="174" t="s">
        <v>145</v>
      </c>
      <c r="R383" s="174" t="s">
        <v>145</v>
      </c>
      <c r="S383" s="175" t="s">
        <v>145</v>
      </c>
      <c r="T383" s="175" t="s">
        <v>145</v>
      </c>
      <c r="U383" s="175" t="s">
        <v>145</v>
      </c>
      <c r="V383" s="171" t="s">
        <v>145</v>
      </c>
      <c r="W383" s="171" t="s">
        <v>145</v>
      </c>
      <c r="X383" s="176" t="s">
        <v>145</v>
      </c>
      <c r="Y383" s="171" t="s">
        <v>145</v>
      </c>
      <c r="Z383" s="176" t="s">
        <v>145</v>
      </c>
      <c r="AA383" s="171" t="s">
        <v>145</v>
      </c>
      <c r="AB383" s="176" t="s">
        <v>145</v>
      </c>
      <c r="AC383" s="171" t="s">
        <v>145</v>
      </c>
      <c r="AD383" s="176" t="s">
        <v>145</v>
      </c>
      <c r="AE383" s="171" t="s">
        <v>145</v>
      </c>
      <c r="AF383" s="176" t="str" cm="1">
        <f t="array" ref="AF383">IF(OR(AE383="/",AE383=""),"/",IF(ISNUMBER(SEARCH("普通",AE383)),0,IF(ISNUMBER(SEARCH("专用",AE383)),4,IF(ISNUMBER(SEARCH("定制",AE383)),7,IF(ISNUMBER(SEARCH("多个定制",AE383)),9,””)))))</f>
        <v>/</v>
      </c>
      <c r="AG383" s="176" t="s">
        <v>145</v>
      </c>
      <c r="AH383" s="176" t="s">
        <v>145</v>
      </c>
      <c r="AI383" s="176" t="s">
        <v>145</v>
      </c>
      <c r="AJ383" s="176" t="str">
        <f t="shared" si="225"/>
        <v>/</v>
      </c>
      <c r="AK383" s="171" t="s">
        <v>145</v>
      </c>
      <c r="AL383" s="177" t="s">
        <v>145</v>
      </c>
      <c r="AM383" s="177" t="s">
        <v>145</v>
      </c>
      <c r="AN383" s="177" t="s">
        <v>145</v>
      </c>
      <c r="AO383" s="177" t="s">
        <v>145</v>
      </c>
    </row>
    <row r="384" s="116" customFormat="1" ht="17" customHeight="1" spans="1:41">
      <c r="A384" s="171">
        <v>381</v>
      </c>
      <c r="B384" s="172" t="s">
        <v>1173</v>
      </c>
      <c r="C384" s="171" t="s">
        <v>71</v>
      </c>
      <c r="D384" s="173" t="s">
        <v>1174</v>
      </c>
      <c r="E384" s="171" t="s">
        <v>73</v>
      </c>
      <c r="F384" s="171"/>
      <c r="G384" s="171"/>
      <c r="H384" s="171"/>
      <c r="I384" s="171"/>
      <c r="J384" s="171"/>
      <c r="K384" s="173" t="s">
        <v>509</v>
      </c>
      <c r="L384" s="173" t="s">
        <v>1175</v>
      </c>
      <c r="M384" s="173" t="s">
        <v>76</v>
      </c>
      <c r="N384" s="174" t="s">
        <v>77</v>
      </c>
      <c r="O384" s="174" t="s">
        <v>77</v>
      </c>
      <c r="P384" s="174" t="s">
        <v>78</v>
      </c>
      <c r="Q384" s="174" t="s">
        <v>77</v>
      </c>
      <c r="R384" s="174" t="s">
        <v>96</v>
      </c>
      <c r="S384" s="171" t="s">
        <v>96</v>
      </c>
      <c r="T384" s="175" t="s">
        <v>511</v>
      </c>
      <c r="U384" s="175" t="s">
        <v>80</v>
      </c>
      <c r="V384" s="171" t="s">
        <v>1176</v>
      </c>
      <c r="W384" s="171" t="s">
        <v>82</v>
      </c>
      <c r="X384" s="176">
        <f t="shared" ref="X384:X390" si="268">IF(OR(W384="/",W384=""),"/",IF(ISNUMBER(SEARCH("1天",W384)),0,IF(ISNUMBER(SEARCH("一周",W384)),1,IF(ISNUMBER(SEARCH("1个月",W384)),4,IF(ISNUMBER(SEARCH("超过",W384)),19,IF(ISNUMBER(SEARCH("6个月",W384)),17,""))))))</f>
        <v>0</v>
      </c>
      <c r="Y384" s="171" t="s">
        <v>83</v>
      </c>
      <c r="Z384" s="176">
        <f t="shared" ref="Z384:Z390" si="269">IF(OR(Y384="/",Y384=""),"/",IF(ISNUMBER(SEARCH("新手",Y384)),0,IF(ISNUMBER(SEARCH("熟练",Y384)),3,IF(ISNUMBER(SEARCH("多位",Y384)),17,IF(ISNUMBER(SEARCH("专家",Y384)),6,"")))))</f>
        <v>6</v>
      </c>
      <c r="AA384" s="171" t="s">
        <v>84</v>
      </c>
      <c r="AB384" s="176">
        <f t="shared" ref="AB384:AB390" si="270">IF(OR(AA384="/",AA384=""),"/",IF(ISNUMBER(SEARCH("公开",AA384)),0,IF(ISNUMBER(SEARCH("限制性信息",AA384)),3,IF(ISNUMBER(SEARCH("机密信息",AA384)),7,IF(ISNUMBER(SEARCH("严格保密",AA384)),11,"")))))</f>
        <v>3</v>
      </c>
      <c r="AC384" s="171" t="s">
        <v>85</v>
      </c>
      <c r="AD384" s="176">
        <f t="shared" ref="AD384:AD390" si="271">IF(OR(AC384="/",AC384=""),"/",IF(ISNUMBER(SEARCH("无限制",AC384)),0,IF(ISNUMBER(SEARCH("容易",AC384)),1,IF(ISNUMBER(SEARCH("一般",AC384)),4,IF(ISNUMBER(SEARCH("困难",AC384)),10,"")))))</f>
        <v>4</v>
      </c>
      <c r="AE384" s="171" t="s">
        <v>86</v>
      </c>
      <c r="AF384" s="176" cm="1">
        <f t="array" ref="AF384">IF(OR(AE384="/",AE384=""),"/",IF(ISNUMBER(SEARCH("普通",AE384)),0,IF(ISNUMBER(SEARCH("专用",AE384)),4,IF(ISNUMBER(SEARCH("定制",AE384)),7,IF(ISNUMBER(SEARCH("多个定制",AE384)),9,””)))))</f>
        <v>4</v>
      </c>
      <c r="AG384" s="176">
        <f t="shared" ref="AG384:AG390" si="272">IF(OR(X384="/",Z384="/",AB384="/",AD384="/",AF384="/"),"/",X384+Z384+AB384+AD384+AF384)</f>
        <v>17</v>
      </c>
      <c r="AH384" s="176" t="str">
        <f t="shared" ref="AH384:AH390" si="273">IF(AND(AG384&gt;=0,AG384&lt;14),"高High",IF(AND(AG384&gt;=14,AG384&lt;20),"中Medium",IF(AND(AG384&gt;=20,AG384&lt;25),"低Low",IF(AND(AG384&gt;=25,AG384&lt;57),"非常低Very low",""))))</f>
        <v>中Medium</v>
      </c>
      <c r="AI384" s="176" t="s">
        <v>144</v>
      </c>
      <c r="AJ384" s="176" t="str">
        <f t="shared" si="225"/>
        <v>保留
Retaining</v>
      </c>
      <c r="AK384" s="171" t="s">
        <v>145</v>
      </c>
      <c r="AL384" s="177" t="s">
        <v>145</v>
      </c>
      <c r="AM384" s="180" t="s">
        <v>90</v>
      </c>
      <c r="AN384" s="178" t="s">
        <v>91</v>
      </c>
      <c r="AO384" s="178" t="s">
        <v>92</v>
      </c>
    </row>
    <row r="385" s="116" customFormat="1" ht="17" customHeight="1" spans="1:41">
      <c r="A385" s="171">
        <v>382</v>
      </c>
      <c r="B385" s="179"/>
      <c r="C385" s="179"/>
      <c r="D385" s="179"/>
      <c r="E385" s="171" t="s">
        <v>73</v>
      </c>
      <c r="F385" s="171"/>
      <c r="G385" s="171"/>
      <c r="H385" s="171"/>
      <c r="I385" s="171"/>
      <c r="J385" s="171"/>
      <c r="K385" s="173" t="s">
        <v>515</v>
      </c>
      <c r="L385" s="173" t="s">
        <v>1177</v>
      </c>
      <c r="M385" s="173" t="s">
        <v>106</v>
      </c>
      <c r="N385" s="174" t="s">
        <v>77</v>
      </c>
      <c r="O385" s="174" t="s">
        <v>77</v>
      </c>
      <c r="P385" s="174" t="s">
        <v>96</v>
      </c>
      <c r="Q385" s="174" t="s">
        <v>78</v>
      </c>
      <c r="R385" s="174" t="s">
        <v>96</v>
      </c>
      <c r="S385" s="171" t="s">
        <v>96</v>
      </c>
      <c r="T385" s="175" t="s">
        <v>517</v>
      </c>
      <c r="U385" s="175" t="s">
        <v>109</v>
      </c>
      <c r="V385" s="171" t="s">
        <v>1178</v>
      </c>
      <c r="W385" s="171" t="s">
        <v>111</v>
      </c>
      <c r="X385" s="176">
        <f t="shared" si="268"/>
        <v>1</v>
      </c>
      <c r="Y385" s="171" t="s">
        <v>83</v>
      </c>
      <c r="Z385" s="176">
        <f t="shared" si="269"/>
        <v>6</v>
      </c>
      <c r="AA385" s="171" t="s">
        <v>84</v>
      </c>
      <c r="AB385" s="176">
        <f t="shared" si="270"/>
        <v>3</v>
      </c>
      <c r="AC385" s="171" t="s">
        <v>85</v>
      </c>
      <c r="AD385" s="176">
        <f t="shared" si="271"/>
        <v>4</v>
      </c>
      <c r="AE385" s="171" t="s">
        <v>143</v>
      </c>
      <c r="AF385" s="176" cm="1">
        <f t="array" ref="AF385">IF(OR(AE385="/",AE385=""),"/",IF(ISNUMBER(SEARCH("普通",AE385)),0,IF(ISNUMBER(SEARCH("专用",AE385)),4,IF(ISNUMBER(SEARCH("定制",AE385)),7,IF(ISNUMBER(SEARCH("多个定制",AE385)),9,””)))))</f>
        <v>7</v>
      </c>
      <c r="AG385" s="176">
        <f t="shared" si="272"/>
        <v>21</v>
      </c>
      <c r="AH385" s="176" t="str">
        <f t="shared" si="273"/>
        <v>低Low</v>
      </c>
      <c r="AI385" s="176" t="s">
        <v>144</v>
      </c>
      <c r="AJ385" s="176" t="str">
        <f t="shared" si="225"/>
        <v>保留
Retaining</v>
      </c>
      <c r="AK385" s="171" t="s">
        <v>145</v>
      </c>
      <c r="AL385" s="177" t="s">
        <v>145</v>
      </c>
      <c r="AM385" s="180" t="s">
        <v>115</v>
      </c>
      <c r="AN385" s="178" t="s">
        <v>116</v>
      </c>
      <c r="AO385" s="178" t="s">
        <v>117</v>
      </c>
    </row>
    <row r="386" s="116" customFormat="1" ht="17" customHeight="1" spans="1:41">
      <c r="A386" s="171">
        <v>383</v>
      </c>
      <c r="B386" s="179"/>
      <c r="C386" s="179"/>
      <c r="D386" s="179"/>
      <c r="E386" s="171"/>
      <c r="F386" s="171" t="s">
        <v>73</v>
      </c>
      <c r="G386" s="171"/>
      <c r="H386" s="171"/>
      <c r="I386" s="171"/>
      <c r="J386" s="171"/>
      <c r="K386" s="173" t="s">
        <v>521</v>
      </c>
      <c r="L386" s="173" t="s">
        <v>1179</v>
      </c>
      <c r="M386" s="173" t="s">
        <v>120</v>
      </c>
      <c r="N386" s="174" t="s">
        <v>77</v>
      </c>
      <c r="O386" s="174" t="s">
        <v>96</v>
      </c>
      <c r="P386" s="174" t="s">
        <v>78</v>
      </c>
      <c r="Q386" s="174" t="s">
        <v>77</v>
      </c>
      <c r="R386" s="174" t="s">
        <v>96</v>
      </c>
      <c r="S386" s="171" t="s">
        <v>96</v>
      </c>
      <c r="T386" s="175" t="s">
        <v>523</v>
      </c>
      <c r="U386" s="175" t="s">
        <v>1180</v>
      </c>
      <c r="V386" s="171" t="s">
        <v>1176</v>
      </c>
      <c r="W386" s="171" t="s">
        <v>82</v>
      </c>
      <c r="X386" s="176">
        <f t="shared" si="268"/>
        <v>0</v>
      </c>
      <c r="Y386" s="171" t="s">
        <v>83</v>
      </c>
      <c r="Z386" s="176">
        <f t="shared" si="269"/>
        <v>6</v>
      </c>
      <c r="AA386" s="171" t="s">
        <v>84</v>
      </c>
      <c r="AB386" s="176">
        <f t="shared" si="270"/>
        <v>3</v>
      </c>
      <c r="AC386" s="171" t="s">
        <v>85</v>
      </c>
      <c r="AD386" s="176">
        <f t="shared" si="271"/>
        <v>4</v>
      </c>
      <c r="AE386" s="171" t="s">
        <v>86</v>
      </c>
      <c r="AF386" s="176" cm="1">
        <f t="array" ref="AF386">IF(OR(AE386="/",AE386=""),"/",IF(ISNUMBER(SEARCH("普通",AE386)),0,IF(ISNUMBER(SEARCH("专用",AE386)),4,IF(ISNUMBER(SEARCH("定制",AE386)),7,IF(ISNUMBER(SEARCH("多个定制",AE386)),9,””)))))</f>
        <v>4</v>
      </c>
      <c r="AG386" s="176">
        <f t="shared" si="272"/>
        <v>17</v>
      </c>
      <c r="AH386" s="176" t="str">
        <f t="shared" si="273"/>
        <v>中Medium</v>
      </c>
      <c r="AI386" s="176" t="s">
        <v>144</v>
      </c>
      <c r="AJ386" s="176" t="str">
        <f t="shared" si="225"/>
        <v>保留
Retaining</v>
      </c>
      <c r="AK386" s="171" t="s">
        <v>145</v>
      </c>
      <c r="AL386" s="177" t="s">
        <v>145</v>
      </c>
      <c r="AM386" s="180" t="s">
        <v>125</v>
      </c>
      <c r="AN386" s="178" t="s">
        <v>126</v>
      </c>
      <c r="AO386" s="178" t="s">
        <v>127</v>
      </c>
    </row>
    <row r="387" s="116" customFormat="1" ht="17" customHeight="1" spans="1:41">
      <c r="A387" s="171">
        <v>384</v>
      </c>
      <c r="B387" s="179"/>
      <c r="C387" s="179"/>
      <c r="D387" s="179"/>
      <c r="E387" s="171"/>
      <c r="F387" s="171" t="s">
        <v>73</v>
      </c>
      <c r="G387" s="171"/>
      <c r="H387" s="171"/>
      <c r="I387" s="171"/>
      <c r="J387" s="171"/>
      <c r="K387" s="173" t="s">
        <v>527</v>
      </c>
      <c r="L387" s="173" t="s">
        <v>1181</v>
      </c>
      <c r="M387" s="173" t="s">
        <v>120</v>
      </c>
      <c r="N387" s="174" t="s">
        <v>96</v>
      </c>
      <c r="O387" s="174" t="s">
        <v>96</v>
      </c>
      <c r="P387" s="174" t="s">
        <v>78</v>
      </c>
      <c r="Q387" s="174" t="s">
        <v>77</v>
      </c>
      <c r="R387" s="174" t="s">
        <v>96</v>
      </c>
      <c r="S387" s="171" t="s">
        <v>96</v>
      </c>
      <c r="T387" s="175" t="s">
        <v>529</v>
      </c>
      <c r="U387" s="175" t="s">
        <v>1182</v>
      </c>
      <c r="V387" s="171" t="s">
        <v>1176</v>
      </c>
      <c r="W387" s="171" t="s">
        <v>111</v>
      </c>
      <c r="X387" s="176">
        <f t="shared" si="268"/>
        <v>1</v>
      </c>
      <c r="Y387" s="171" t="s">
        <v>83</v>
      </c>
      <c r="Z387" s="176">
        <f t="shared" si="269"/>
        <v>6</v>
      </c>
      <c r="AA387" s="171" t="s">
        <v>84</v>
      </c>
      <c r="AB387" s="176">
        <f t="shared" si="270"/>
        <v>3</v>
      </c>
      <c r="AC387" s="171" t="s">
        <v>85</v>
      </c>
      <c r="AD387" s="176">
        <f t="shared" si="271"/>
        <v>4</v>
      </c>
      <c r="AE387" s="171" t="s">
        <v>86</v>
      </c>
      <c r="AF387" s="176" cm="1">
        <f t="array" ref="AF387">IF(OR(AE387="/",AE387=""),"/",IF(ISNUMBER(SEARCH("普通",AE387)),0,IF(ISNUMBER(SEARCH("专用",AE387)),4,IF(ISNUMBER(SEARCH("定制",AE387)),7,IF(ISNUMBER(SEARCH("多个定制",AE387)),9,””)))))</f>
        <v>4</v>
      </c>
      <c r="AG387" s="176">
        <f t="shared" si="272"/>
        <v>18</v>
      </c>
      <c r="AH387" s="176" t="str">
        <f t="shared" si="273"/>
        <v>中Medium</v>
      </c>
      <c r="AI387" s="176" t="s">
        <v>144</v>
      </c>
      <c r="AJ387" s="176" t="str">
        <f t="shared" si="225"/>
        <v>保留
Retaining</v>
      </c>
      <c r="AK387" s="171" t="s">
        <v>145</v>
      </c>
      <c r="AL387" s="177" t="s">
        <v>145</v>
      </c>
      <c r="AM387" s="180" t="s">
        <v>134</v>
      </c>
      <c r="AN387" s="178" t="s">
        <v>135</v>
      </c>
      <c r="AO387" s="178" t="s">
        <v>136</v>
      </c>
    </row>
    <row r="388" s="116" customFormat="1" ht="17" customHeight="1" spans="1:41">
      <c r="A388" s="171">
        <v>385</v>
      </c>
      <c r="B388" s="179"/>
      <c r="C388" s="179"/>
      <c r="D388" s="179"/>
      <c r="E388" s="171"/>
      <c r="F388" s="171"/>
      <c r="G388" s="171" t="s">
        <v>73</v>
      </c>
      <c r="H388" s="171"/>
      <c r="I388" s="171"/>
      <c r="J388" s="171"/>
      <c r="K388" s="173" t="s">
        <v>533</v>
      </c>
      <c r="L388" s="173" t="s">
        <v>1183</v>
      </c>
      <c r="M388" s="173" t="s">
        <v>150</v>
      </c>
      <c r="N388" s="174" t="s">
        <v>96</v>
      </c>
      <c r="O388" s="174" t="s">
        <v>96</v>
      </c>
      <c r="P388" s="174" t="s">
        <v>96</v>
      </c>
      <c r="Q388" s="174" t="s">
        <v>77</v>
      </c>
      <c r="R388" s="174" t="str">
        <f>IF(OR(N388="严重Severe",O388="严重Severe",P388="严重Severe",Q388="严重Severe"),"严重Severe",IF(OR(N388="主要Major",O388="主要Major",P388="主要Major",Q388="主要Major"),"主要Major",IF(OR(N388="中等Medium",O388="中等Medium",P388="中等Medium",Q388="中等Medium"),"中等Medium",IF(OR(N388="可忽略不计Negligible",O388="可忽略不计Negligible",P388="可忽略不计Negligible",Q388="可忽略不计Negligible"),"可忽略不计Negligible","/"))))</f>
        <v>中等Medium</v>
      </c>
      <c r="S388" s="175" t="s">
        <v>96</v>
      </c>
      <c r="T388" s="175" t="s">
        <v>535</v>
      </c>
      <c r="U388" s="175" t="s">
        <v>152</v>
      </c>
      <c r="V388" s="171" t="s">
        <v>1176</v>
      </c>
      <c r="W388" s="171" t="s">
        <v>82</v>
      </c>
      <c r="X388" s="176">
        <f t="shared" si="268"/>
        <v>0</v>
      </c>
      <c r="Y388" s="171" t="s">
        <v>83</v>
      </c>
      <c r="Z388" s="176">
        <f t="shared" si="269"/>
        <v>6</v>
      </c>
      <c r="AA388" s="171" t="s">
        <v>153</v>
      </c>
      <c r="AB388" s="176">
        <f t="shared" si="270"/>
        <v>0</v>
      </c>
      <c r="AC388" s="171" t="s">
        <v>85</v>
      </c>
      <c r="AD388" s="176">
        <f t="shared" si="271"/>
        <v>4</v>
      </c>
      <c r="AE388" s="171" t="s">
        <v>143</v>
      </c>
      <c r="AF388" s="176" cm="1">
        <f t="array" ref="AF388">IF(OR(AE388="/",AE388=""),"/",IF(ISNUMBER(SEARCH("普通",AE388)),0,IF(ISNUMBER(SEARCH("专用",AE388)),4,IF(ISNUMBER(SEARCH("定制",AE388)),7,IF(ISNUMBER(SEARCH("多个定制",AE388)),9,””)))))</f>
        <v>7</v>
      </c>
      <c r="AG388" s="176">
        <f t="shared" si="272"/>
        <v>17</v>
      </c>
      <c r="AH388" s="176" t="str">
        <f t="shared" si="273"/>
        <v>中Medium</v>
      </c>
      <c r="AI388" s="176" t="s">
        <v>144</v>
      </c>
      <c r="AJ388" s="176" t="str">
        <f t="shared" si="225"/>
        <v>保留
Retaining</v>
      </c>
      <c r="AK388" s="171" t="s">
        <v>145</v>
      </c>
      <c r="AL388" s="177" t="s">
        <v>145</v>
      </c>
      <c r="AM388" s="171" t="s">
        <v>145</v>
      </c>
      <c r="AN388" s="178" t="s">
        <v>280</v>
      </c>
      <c r="AO388" s="178" t="s">
        <v>281</v>
      </c>
    </row>
    <row r="389" s="116" customFormat="1" ht="17" customHeight="1" spans="1:41">
      <c r="A389" s="171">
        <v>386</v>
      </c>
      <c r="B389" s="179"/>
      <c r="C389" s="179"/>
      <c r="D389" s="179"/>
      <c r="E389" s="171"/>
      <c r="F389" s="171"/>
      <c r="G389" s="171"/>
      <c r="H389" s="171" t="s">
        <v>73</v>
      </c>
      <c r="I389" s="171"/>
      <c r="J389" s="171"/>
      <c r="K389" s="173" t="s">
        <v>536</v>
      </c>
      <c r="L389" s="173" t="s">
        <v>1184</v>
      </c>
      <c r="M389" s="173" t="s">
        <v>166</v>
      </c>
      <c r="N389" s="174" t="s">
        <v>96</v>
      </c>
      <c r="O389" s="174" t="s">
        <v>96</v>
      </c>
      <c r="P389" s="174" t="s">
        <v>96</v>
      </c>
      <c r="Q389" s="174" t="s">
        <v>77</v>
      </c>
      <c r="R389" s="174" t="str">
        <f>IF(OR(N389="严重Severe",O389="严重Severe",P389="严重Severe",Q389="严重Severe"),"严重Severe",IF(OR(N389="主要Major",O389="主要Major",P389="主要Major",Q389="主要Major"),"主要Major",IF(OR(N389="中等Medium",O389="中等Medium",P389="中等Medium",Q389="中等Medium"),"中等Medium",IF(OR(N389="可忽略不计Negligible",O389="可忽略不计Negligible",P389="可忽略不计Negligible",Q389="可忽略不计Negligible"),"可忽略不计Negligible","/"))))</f>
        <v>中等Medium</v>
      </c>
      <c r="S389" s="171" t="s">
        <v>96</v>
      </c>
      <c r="T389" s="175" t="s">
        <v>538</v>
      </c>
      <c r="U389" s="175" t="s">
        <v>1185</v>
      </c>
      <c r="V389" s="171" t="s">
        <v>1176</v>
      </c>
      <c r="W389" s="171" t="s">
        <v>82</v>
      </c>
      <c r="X389" s="176">
        <f t="shared" si="268"/>
        <v>0</v>
      </c>
      <c r="Y389" s="171" t="s">
        <v>83</v>
      </c>
      <c r="Z389" s="176">
        <f t="shared" si="269"/>
        <v>6</v>
      </c>
      <c r="AA389" s="171" t="s">
        <v>84</v>
      </c>
      <c r="AB389" s="176">
        <f t="shared" si="270"/>
        <v>3</v>
      </c>
      <c r="AC389" s="171" t="s">
        <v>85</v>
      </c>
      <c r="AD389" s="176">
        <f t="shared" si="271"/>
        <v>4</v>
      </c>
      <c r="AE389" s="171" t="s">
        <v>86</v>
      </c>
      <c r="AF389" s="176" cm="1">
        <f t="array" ref="AF389">IF(OR(AE389="/",AE389=""),"/",IF(ISNUMBER(SEARCH("普通",AE389)),0,IF(ISNUMBER(SEARCH("专用",AE389)),4,IF(ISNUMBER(SEARCH("定制",AE389)),7,IF(ISNUMBER(SEARCH("多个定制",AE389)),9,””)))))</f>
        <v>4</v>
      </c>
      <c r="AG389" s="176">
        <f t="shared" si="272"/>
        <v>17</v>
      </c>
      <c r="AH389" s="176" t="str">
        <f t="shared" si="273"/>
        <v>中Medium</v>
      </c>
      <c r="AI389" s="176" t="s">
        <v>144</v>
      </c>
      <c r="AJ389" s="176" t="str">
        <f t="shared" si="225"/>
        <v>保留
Retaining</v>
      </c>
      <c r="AK389" s="171" t="s">
        <v>145</v>
      </c>
      <c r="AL389" s="177" t="s">
        <v>145</v>
      </c>
      <c r="AM389" s="180" t="s">
        <v>316</v>
      </c>
      <c r="AN389" s="178" t="s">
        <v>317</v>
      </c>
      <c r="AO389" s="178" t="s">
        <v>318</v>
      </c>
    </row>
    <row r="390" s="116" customFormat="1" ht="17" customHeight="1" spans="1:41">
      <c r="A390" s="171">
        <v>387</v>
      </c>
      <c r="B390" s="179"/>
      <c r="C390" s="179"/>
      <c r="D390" s="179"/>
      <c r="E390" s="171"/>
      <c r="F390" s="171"/>
      <c r="G390" s="171"/>
      <c r="H390" s="171"/>
      <c r="I390" s="171" t="s">
        <v>73</v>
      </c>
      <c r="J390" s="171"/>
      <c r="K390" s="173" t="s">
        <v>540</v>
      </c>
      <c r="L390" s="173" t="s">
        <v>1186</v>
      </c>
      <c r="M390" s="173" t="s">
        <v>174</v>
      </c>
      <c r="N390" s="174" t="s">
        <v>96</v>
      </c>
      <c r="O390" s="174" t="s">
        <v>96</v>
      </c>
      <c r="P390" s="174" t="s">
        <v>96</v>
      </c>
      <c r="Q390" s="174" t="s">
        <v>77</v>
      </c>
      <c r="R390" s="174" t="s">
        <v>96</v>
      </c>
      <c r="S390" s="171" t="s">
        <v>96</v>
      </c>
      <c r="T390" s="175" t="s">
        <v>542</v>
      </c>
      <c r="U390" s="175" t="s">
        <v>176</v>
      </c>
      <c r="V390" s="171" t="s">
        <v>1176</v>
      </c>
      <c r="W390" s="171" t="s">
        <v>82</v>
      </c>
      <c r="X390" s="176">
        <f t="shared" si="268"/>
        <v>0</v>
      </c>
      <c r="Y390" s="171" t="s">
        <v>177</v>
      </c>
      <c r="Z390" s="176">
        <f t="shared" si="269"/>
        <v>3</v>
      </c>
      <c r="AA390" s="171" t="s">
        <v>153</v>
      </c>
      <c r="AB390" s="176">
        <f t="shared" si="270"/>
        <v>0</v>
      </c>
      <c r="AC390" s="171" t="s">
        <v>85</v>
      </c>
      <c r="AD390" s="176">
        <f t="shared" si="271"/>
        <v>4</v>
      </c>
      <c r="AE390" s="171" t="s">
        <v>86</v>
      </c>
      <c r="AF390" s="176" cm="1">
        <f t="array" ref="AF390">IF(OR(AE390="/",AE390=""),"/",IF(ISNUMBER(SEARCH("普通",AE390)),0,IF(ISNUMBER(SEARCH("专用",AE390)),4,IF(ISNUMBER(SEARCH("定制",AE390)),7,IF(ISNUMBER(SEARCH("多个定制",AE390)),9,””)))))</f>
        <v>4</v>
      </c>
      <c r="AG390" s="176">
        <f t="shared" si="272"/>
        <v>11</v>
      </c>
      <c r="AH390" s="176" t="str">
        <f t="shared" si="273"/>
        <v>高High</v>
      </c>
      <c r="AI390" s="176" t="s">
        <v>144</v>
      </c>
      <c r="AJ390" s="176" t="str">
        <f t="shared" si="225"/>
        <v>保留
Retaining</v>
      </c>
      <c r="AK390" s="171" t="s">
        <v>145</v>
      </c>
      <c r="AL390" s="177" t="s">
        <v>145</v>
      </c>
      <c r="AM390" s="180" t="s">
        <v>329</v>
      </c>
      <c r="AN390" s="178" t="s">
        <v>181</v>
      </c>
      <c r="AO390" s="178" t="s">
        <v>182</v>
      </c>
    </row>
    <row r="391" s="116" customFormat="1" ht="17" customHeight="1" spans="1:41">
      <c r="A391" s="171">
        <v>388</v>
      </c>
      <c r="B391" s="181"/>
      <c r="C391" s="181"/>
      <c r="D391" s="181"/>
      <c r="E391" s="171"/>
      <c r="F391" s="171"/>
      <c r="G391" s="171"/>
      <c r="H391" s="171"/>
      <c r="I391" s="171"/>
      <c r="J391" s="171" t="s">
        <v>183</v>
      </c>
      <c r="K391" s="173" t="s">
        <v>145</v>
      </c>
      <c r="L391" s="173" t="s">
        <v>145</v>
      </c>
      <c r="M391" s="173" t="s">
        <v>145</v>
      </c>
      <c r="N391" s="174" t="s">
        <v>145</v>
      </c>
      <c r="O391" s="174" t="s">
        <v>145</v>
      </c>
      <c r="P391" s="174" t="s">
        <v>145</v>
      </c>
      <c r="Q391" s="174" t="s">
        <v>145</v>
      </c>
      <c r="R391" s="174" t="s">
        <v>145</v>
      </c>
      <c r="S391" s="175" t="s">
        <v>145</v>
      </c>
      <c r="T391" s="175" t="s">
        <v>145</v>
      </c>
      <c r="U391" s="175" t="s">
        <v>145</v>
      </c>
      <c r="V391" s="171" t="s">
        <v>145</v>
      </c>
      <c r="W391" s="171" t="s">
        <v>145</v>
      </c>
      <c r="X391" s="176" t="s">
        <v>145</v>
      </c>
      <c r="Y391" s="171" t="s">
        <v>145</v>
      </c>
      <c r="Z391" s="176" t="s">
        <v>145</v>
      </c>
      <c r="AA391" s="171" t="s">
        <v>145</v>
      </c>
      <c r="AB391" s="176" t="s">
        <v>145</v>
      </c>
      <c r="AC391" s="171" t="s">
        <v>145</v>
      </c>
      <c r="AD391" s="176" t="s">
        <v>145</v>
      </c>
      <c r="AE391" s="171" t="s">
        <v>145</v>
      </c>
      <c r="AF391" s="176" t="str" cm="1">
        <f t="array" ref="AF391">IF(OR(AE391="/",AE391=""),"/",IF(ISNUMBER(SEARCH("普通",AE391)),0,IF(ISNUMBER(SEARCH("专用",AE391)),4,IF(ISNUMBER(SEARCH("定制",AE391)),7,IF(ISNUMBER(SEARCH("多个定制",AE391)),9,””)))))</f>
        <v>/</v>
      </c>
      <c r="AG391" s="176" t="s">
        <v>145</v>
      </c>
      <c r="AH391" s="176" t="s">
        <v>145</v>
      </c>
      <c r="AI391" s="176" t="s">
        <v>145</v>
      </c>
      <c r="AJ391" s="176" t="str">
        <f t="shared" si="225"/>
        <v>/</v>
      </c>
      <c r="AK391" s="171" t="s">
        <v>145</v>
      </c>
      <c r="AL391" s="177" t="s">
        <v>145</v>
      </c>
      <c r="AM391" s="177" t="s">
        <v>145</v>
      </c>
      <c r="AN391" s="177" t="s">
        <v>145</v>
      </c>
      <c r="AO391" s="177" t="s">
        <v>145</v>
      </c>
    </row>
    <row r="392" s="116" customFormat="1" ht="17" customHeight="1" spans="1:41">
      <c r="A392" s="171">
        <v>389</v>
      </c>
      <c r="B392" s="172" t="s">
        <v>1187</v>
      </c>
      <c r="C392" s="171" t="s">
        <v>71</v>
      </c>
      <c r="D392" s="173" t="s">
        <v>1188</v>
      </c>
      <c r="E392" s="171" t="s">
        <v>73</v>
      </c>
      <c r="F392" s="171"/>
      <c r="G392" s="171"/>
      <c r="H392" s="171"/>
      <c r="I392" s="171"/>
      <c r="J392" s="171"/>
      <c r="K392" s="173" t="s">
        <v>509</v>
      </c>
      <c r="L392" s="173" t="s">
        <v>1189</v>
      </c>
      <c r="M392" s="173" t="s">
        <v>76</v>
      </c>
      <c r="N392" s="174" t="s">
        <v>77</v>
      </c>
      <c r="O392" s="174" t="s">
        <v>77</v>
      </c>
      <c r="P392" s="174" t="s">
        <v>78</v>
      </c>
      <c r="Q392" s="174" t="s">
        <v>77</v>
      </c>
      <c r="R392" s="174" t="s">
        <v>96</v>
      </c>
      <c r="S392" s="171" t="s">
        <v>96</v>
      </c>
      <c r="T392" s="175" t="s">
        <v>511</v>
      </c>
      <c r="U392" s="175" t="s">
        <v>80</v>
      </c>
      <c r="V392" s="171" t="s">
        <v>1190</v>
      </c>
      <c r="W392" s="171" t="s">
        <v>82</v>
      </c>
      <c r="X392" s="176">
        <f t="shared" ref="X392:X398" si="274">IF(OR(W392="/",W392=""),"/",IF(ISNUMBER(SEARCH("1天",W392)),0,IF(ISNUMBER(SEARCH("一周",W392)),1,IF(ISNUMBER(SEARCH("1个月",W392)),4,IF(ISNUMBER(SEARCH("超过",W392)),19,IF(ISNUMBER(SEARCH("6个月",W392)),17,""))))))</f>
        <v>0</v>
      </c>
      <c r="Y392" s="171" t="s">
        <v>83</v>
      </c>
      <c r="Z392" s="176">
        <f t="shared" ref="Z392:Z398" si="275">IF(OR(Y392="/",Y392=""),"/",IF(ISNUMBER(SEARCH("新手",Y392)),0,IF(ISNUMBER(SEARCH("熟练",Y392)),3,IF(ISNUMBER(SEARCH("多位",Y392)),17,IF(ISNUMBER(SEARCH("专家",Y392)),6,"")))))</f>
        <v>6</v>
      </c>
      <c r="AA392" s="171" t="s">
        <v>84</v>
      </c>
      <c r="AB392" s="176">
        <f t="shared" ref="AB392:AB398" si="276">IF(OR(AA392="/",AA392=""),"/",IF(ISNUMBER(SEARCH("公开",AA392)),0,IF(ISNUMBER(SEARCH("限制性信息",AA392)),3,IF(ISNUMBER(SEARCH("机密信息",AA392)),7,IF(ISNUMBER(SEARCH("严格保密",AA392)),11,"")))))</f>
        <v>3</v>
      </c>
      <c r="AC392" s="171" t="s">
        <v>85</v>
      </c>
      <c r="AD392" s="176">
        <f t="shared" ref="AD392:AD398" si="277">IF(OR(AC392="/",AC392=""),"/",IF(ISNUMBER(SEARCH("无限制",AC392)),0,IF(ISNUMBER(SEARCH("容易",AC392)),1,IF(ISNUMBER(SEARCH("一般",AC392)),4,IF(ISNUMBER(SEARCH("困难",AC392)),10,"")))))</f>
        <v>4</v>
      </c>
      <c r="AE392" s="171" t="s">
        <v>86</v>
      </c>
      <c r="AF392" s="176" cm="1">
        <f t="array" ref="AF392">IF(OR(AE392="/",AE392=""),"/",IF(ISNUMBER(SEARCH("普通",AE392)),0,IF(ISNUMBER(SEARCH("专用",AE392)),4,IF(ISNUMBER(SEARCH("定制",AE392)),7,IF(ISNUMBER(SEARCH("多个定制",AE392)),9,””)))))</f>
        <v>4</v>
      </c>
      <c r="AG392" s="176">
        <f t="shared" ref="AG392:AG398" si="278">IF(OR(X392="/",Z392="/",AB392="/",AD392="/",AF392="/"),"/",X392+Z392+AB392+AD392+AF392)</f>
        <v>17</v>
      </c>
      <c r="AH392" s="176" t="str">
        <f t="shared" ref="AH392:AH398" si="279">IF(AND(AG392&gt;=0,AG392&lt;14),"高High",IF(AND(AG392&gt;=14,AG392&lt;20),"中Medium",IF(AND(AG392&gt;=20,AG392&lt;25),"低Low",IF(AND(AG392&gt;=25,AG392&lt;57),"非常低Very low",""))))</f>
        <v>中Medium</v>
      </c>
      <c r="AI392" s="176" t="s">
        <v>144</v>
      </c>
      <c r="AJ392" s="176" t="str">
        <f t="shared" si="225"/>
        <v>保留
Retaining</v>
      </c>
      <c r="AK392" s="171" t="s">
        <v>145</v>
      </c>
      <c r="AL392" s="177" t="s">
        <v>145</v>
      </c>
      <c r="AM392" s="180" t="s">
        <v>90</v>
      </c>
      <c r="AN392" s="178" t="s">
        <v>91</v>
      </c>
      <c r="AO392" s="178" t="s">
        <v>92</v>
      </c>
    </row>
    <row r="393" s="116" customFormat="1" ht="17" customHeight="1" spans="1:41">
      <c r="A393" s="171">
        <v>390</v>
      </c>
      <c r="B393" s="179"/>
      <c r="C393" s="179"/>
      <c r="D393" s="179"/>
      <c r="E393" s="171" t="s">
        <v>73</v>
      </c>
      <c r="F393" s="171"/>
      <c r="G393" s="171"/>
      <c r="H393" s="171"/>
      <c r="I393" s="171"/>
      <c r="J393" s="171"/>
      <c r="K393" s="173" t="s">
        <v>515</v>
      </c>
      <c r="L393" s="173" t="s">
        <v>1191</v>
      </c>
      <c r="M393" s="173" t="s">
        <v>106</v>
      </c>
      <c r="N393" s="174" t="s">
        <v>77</v>
      </c>
      <c r="O393" s="174" t="s">
        <v>77</v>
      </c>
      <c r="P393" s="174" t="s">
        <v>96</v>
      </c>
      <c r="Q393" s="174" t="s">
        <v>78</v>
      </c>
      <c r="R393" s="174" t="s">
        <v>96</v>
      </c>
      <c r="S393" s="171" t="s">
        <v>96</v>
      </c>
      <c r="T393" s="175" t="s">
        <v>517</v>
      </c>
      <c r="U393" s="175" t="s">
        <v>109</v>
      </c>
      <c r="V393" s="171" t="s">
        <v>1192</v>
      </c>
      <c r="W393" s="171" t="s">
        <v>111</v>
      </c>
      <c r="X393" s="176">
        <f t="shared" si="274"/>
        <v>1</v>
      </c>
      <c r="Y393" s="171" t="s">
        <v>83</v>
      </c>
      <c r="Z393" s="176">
        <f t="shared" si="275"/>
        <v>6</v>
      </c>
      <c r="AA393" s="171" t="s">
        <v>84</v>
      </c>
      <c r="AB393" s="176">
        <f t="shared" si="276"/>
        <v>3</v>
      </c>
      <c r="AC393" s="171" t="s">
        <v>85</v>
      </c>
      <c r="AD393" s="176">
        <f t="shared" si="277"/>
        <v>4</v>
      </c>
      <c r="AE393" s="171" t="s">
        <v>143</v>
      </c>
      <c r="AF393" s="176" cm="1">
        <f t="array" ref="AF393">IF(OR(AE393="/",AE393=""),"/",IF(ISNUMBER(SEARCH("普通",AE393)),0,IF(ISNUMBER(SEARCH("专用",AE393)),4,IF(ISNUMBER(SEARCH("定制",AE393)),7,IF(ISNUMBER(SEARCH("多个定制",AE393)),9,””)))))</f>
        <v>7</v>
      </c>
      <c r="AG393" s="176">
        <f t="shared" si="278"/>
        <v>21</v>
      </c>
      <c r="AH393" s="176" t="str">
        <f t="shared" si="279"/>
        <v>低Low</v>
      </c>
      <c r="AI393" s="176" t="s">
        <v>144</v>
      </c>
      <c r="AJ393" s="176" t="str">
        <f t="shared" ref="AJ393:AJ456" si="280">IF(AI393="/","/",IF(AI393="CAL3","降低"&amp;CHAR(10)&amp;"Reucing",IF(AI393="CAL4","消除"&amp;CHAR(10)&amp;"Avoiding",IF(AI393="CAL2","保留"&amp;CHAR(10)&amp;"Retaining",IF(AI393="CAL1","保留"&amp;CHAR(10)&amp;"Retaining","")))))</f>
        <v>保留
Retaining</v>
      </c>
      <c r="AK393" s="171" t="s">
        <v>145</v>
      </c>
      <c r="AL393" s="177" t="s">
        <v>145</v>
      </c>
      <c r="AM393" s="180" t="s">
        <v>115</v>
      </c>
      <c r="AN393" s="178" t="s">
        <v>116</v>
      </c>
      <c r="AO393" s="178" t="s">
        <v>117</v>
      </c>
    </row>
    <row r="394" s="116" customFormat="1" ht="17" customHeight="1" spans="1:41">
      <c r="A394" s="171">
        <v>391</v>
      </c>
      <c r="B394" s="179"/>
      <c r="C394" s="179"/>
      <c r="D394" s="179"/>
      <c r="E394" s="171"/>
      <c r="F394" s="171" t="s">
        <v>73</v>
      </c>
      <c r="G394" s="171"/>
      <c r="H394" s="171"/>
      <c r="I394" s="171"/>
      <c r="J394" s="171"/>
      <c r="K394" s="173" t="s">
        <v>521</v>
      </c>
      <c r="L394" s="173" t="s">
        <v>1193</v>
      </c>
      <c r="M394" s="173" t="s">
        <v>120</v>
      </c>
      <c r="N394" s="174" t="s">
        <v>77</v>
      </c>
      <c r="O394" s="174" t="s">
        <v>96</v>
      </c>
      <c r="P394" s="174" t="s">
        <v>78</v>
      </c>
      <c r="Q394" s="174" t="s">
        <v>77</v>
      </c>
      <c r="R394" s="174" t="s">
        <v>96</v>
      </c>
      <c r="S394" s="171" t="s">
        <v>96</v>
      </c>
      <c r="T394" s="175" t="s">
        <v>523</v>
      </c>
      <c r="U394" s="175" t="s">
        <v>1194</v>
      </c>
      <c r="V394" s="171" t="s">
        <v>1190</v>
      </c>
      <c r="W394" s="171" t="s">
        <v>82</v>
      </c>
      <c r="X394" s="176">
        <f t="shared" si="274"/>
        <v>0</v>
      </c>
      <c r="Y394" s="171" t="s">
        <v>83</v>
      </c>
      <c r="Z394" s="176">
        <f t="shared" si="275"/>
        <v>6</v>
      </c>
      <c r="AA394" s="171" t="s">
        <v>84</v>
      </c>
      <c r="AB394" s="176">
        <f t="shared" si="276"/>
        <v>3</v>
      </c>
      <c r="AC394" s="171" t="s">
        <v>85</v>
      </c>
      <c r="AD394" s="176">
        <f t="shared" si="277"/>
        <v>4</v>
      </c>
      <c r="AE394" s="171" t="s">
        <v>86</v>
      </c>
      <c r="AF394" s="176" cm="1">
        <f t="array" ref="AF394">IF(OR(AE394="/",AE394=""),"/",IF(ISNUMBER(SEARCH("普通",AE394)),0,IF(ISNUMBER(SEARCH("专用",AE394)),4,IF(ISNUMBER(SEARCH("定制",AE394)),7,IF(ISNUMBER(SEARCH("多个定制",AE394)),9,””)))))</f>
        <v>4</v>
      </c>
      <c r="AG394" s="176">
        <f t="shared" si="278"/>
        <v>17</v>
      </c>
      <c r="AH394" s="176" t="str">
        <f t="shared" si="279"/>
        <v>中Medium</v>
      </c>
      <c r="AI394" s="176" t="s">
        <v>144</v>
      </c>
      <c r="AJ394" s="176" t="str">
        <f t="shared" si="280"/>
        <v>保留
Retaining</v>
      </c>
      <c r="AK394" s="171" t="s">
        <v>145</v>
      </c>
      <c r="AL394" s="177" t="s">
        <v>145</v>
      </c>
      <c r="AM394" s="180" t="s">
        <v>125</v>
      </c>
      <c r="AN394" s="178" t="s">
        <v>126</v>
      </c>
      <c r="AO394" s="178" t="s">
        <v>127</v>
      </c>
    </row>
    <row r="395" s="116" customFormat="1" ht="17" customHeight="1" spans="1:41">
      <c r="A395" s="171">
        <v>392</v>
      </c>
      <c r="B395" s="179"/>
      <c r="C395" s="179"/>
      <c r="D395" s="179"/>
      <c r="E395" s="171"/>
      <c r="F395" s="171" t="s">
        <v>73</v>
      </c>
      <c r="G395" s="171"/>
      <c r="H395" s="171"/>
      <c r="I395" s="171"/>
      <c r="J395" s="171"/>
      <c r="K395" s="173" t="s">
        <v>527</v>
      </c>
      <c r="L395" s="173" t="s">
        <v>1195</v>
      </c>
      <c r="M395" s="173" t="s">
        <v>120</v>
      </c>
      <c r="N395" s="174" t="s">
        <v>96</v>
      </c>
      <c r="O395" s="174" t="s">
        <v>96</v>
      </c>
      <c r="P395" s="174" t="s">
        <v>78</v>
      </c>
      <c r="Q395" s="174" t="s">
        <v>77</v>
      </c>
      <c r="R395" s="174" t="s">
        <v>96</v>
      </c>
      <c r="S395" s="171" t="s">
        <v>96</v>
      </c>
      <c r="T395" s="175" t="s">
        <v>529</v>
      </c>
      <c r="U395" s="175" t="s">
        <v>1196</v>
      </c>
      <c r="V395" s="171" t="s">
        <v>1190</v>
      </c>
      <c r="W395" s="171" t="s">
        <v>111</v>
      </c>
      <c r="X395" s="176">
        <f t="shared" si="274"/>
        <v>1</v>
      </c>
      <c r="Y395" s="171" t="s">
        <v>83</v>
      </c>
      <c r="Z395" s="176">
        <f t="shared" si="275"/>
        <v>6</v>
      </c>
      <c r="AA395" s="171" t="s">
        <v>84</v>
      </c>
      <c r="AB395" s="176">
        <f t="shared" si="276"/>
        <v>3</v>
      </c>
      <c r="AC395" s="171" t="s">
        <v>85</v>
      </c>
      <c r="AD395" s="176">
        <f t="shared" si="277"/>
        <v>4</v>
      </c>
      <c r="AE395" s="171" t="s">
        <v>86</v>
      </c>
      <c r="AF395" s="176" cm="1">
        <f t="array" ref="AF395">IF(OR(AE395="/",AE395=""),"/",IF(ISNUMBER(SEARCH("普通",AE395)),0,IF(ISNUMBER(SEARCH("专用",AE395)),4,IF(ISNUMBER(SEARCH("定制",AE395)),7,IF(ISNUMBER(SEARCH("多个定制",AE395)),9,””)))))</f>
        <v>4</v>
      </c>
      <c r="AG395" s="176">
        <f t="shared" si="278"/>
        <v>18</v>
      </c>
      <c r="AH395" s="176" t="str">
        <f t="shared" si="279"/>
        <v>中Medium</v>
      </c>
      <c r="AI395" s="176" t="s">
        <v>144</v>
      </c>
      <c r="AJ395" s="176" t="str">
        <f t="shared" si="280"/>
        <v>保留
Retaining</v>
      </c>
      <c r="AK395" s="171" t="s">
        <v>145</v>
      </c>
      <c r="AL395" s="177" t="s">
        <v>145</v>
      </c>
      <c r="AM395" s="180" t="s">
        <v>134</v>
      </c>
      <c r="AN395" s="178" t="s">
        <v>135</v>
      </c>
      <c r="AO395" s="178" t="s">
        <v>136</v>
      </c>
    </row>
    <row r="396" s="116" customFormat="1" ht="17" customHeight="1" spans="1:41">
      <c r="A396" s="171">
        <v>393</v>
      </c>
      <c r="B396" s="179"/>
      <c r="C396" s="179"/>
      <c r="D396" s="179"/>
      <c r="E396" s="171"/>
      <c r="F396" s="171"/>
      <c r="G396" s="171" t="s">
        <v>73</v>
      </c>
      <c r="H396" s="171"/>
      <c r="I396" s="171"/>
      <c r="J396" s="171"/>
      <c r="K396" s="173" t="s">
        <v>533</v>
      </c>
      <c r="L396" s="173" t="s">
        <v>1197</v>
      </c>
      <c r="M396" s="173" t="s">
        <v>150</v>
      </c>
      <c r="N396" s="174" t="s">
        <v>96</v>
      </c>
      <c r="O396" s="174" t="s">
        <v>96</v>
      </c>
      <c r="P396" s="174" t="s">
        <v>96</v>
      </c>
      <c r="Q396" s="174" t="s">
        <v>77</v>
      </c>
      <c r="R396" s="174" t="str">
        <f>IF(OR(N396="严重Severe",O396="严重Severe",P396="严重Severe",Q396="严重Severe"),"严重Severe",IF(OR(N396="主要Major",O396="主要Major",P396="主要Major",Q396="主要Major"),"主要Major",IF(OR(N396="中等Medium",O396="中等Medium",P396="中等Medium",Q396="中等Medium"),"中等Medium",IF(OR(N396="可忽略不计Negligible",O396="可忽略不计Negligible",P396="可忽略不计Negligible",Q396="可忽略不计Negligible"),"可忽略不计Negligible","/"))))</f>
        <v>中等Medium</v>
      </c>
      <c r="S396" s="175" t="s">
        <v>96</v>
      </c>
      <c r="T396" s="175" t="s">
        <v>535</v>
      </c>
      <c r="U396" s="175" t="s">
        <v>152</v>
      </c>
      <c r="V396" s="171" t="s">
        <v>1190</v>
      </c>
      <c r="W396" s="171" t="s">
        <v>82</v>
      </c>
      <c r="X396" s="176">
        <f t="shared" si="274"/>
        <v>0</v>
      </c>
      <c r="Y396" s="171" t="s">
        <v>83</v>
      </c>
      <c r="Z396" s="176">
        <f t="shared" si="275"/>
        <v>6</v>
      </c>
      <c r="AA396" s="171" t="s">
        <v>153</v>
      </c>
      <c r="AB396" s="176">
        <f t="shared" si="276"/>
        <v>0</v>
      </c>
      <c r="AC396" s="171" t="s">
        <v>85</v>
      </c>
      <c r="AD396" s="176">
        <f t="shared" si="277"/>
        <v>4</v>
      </c>
      <c r="AE396" s="171" t="s">
        <v>143</v>
      </c>
      <c r="AF396" s="176" cm="1">
        <f t="array" ref="AF396">IF(OR(AE396="/",AE396=""),"/",IF(ISNUMBER(SEARCH("普通",AE396)),0,IF(ISNUMBER(SEARCH("专用",AE396)),4,IF(ISNUMBER(SEARCH("定制",AE396)),7,IF(ISNUMBER(SEARCH("多个定制",AE396)),9,””)))))</f>
        <v>7</v>
      </c>
      <c r="AG396" s="176">
        <f t="shared" si="278"/>
        <v>17</v>
      </c>
      <c r="AH396" s="176" t="str">
        <f t="shared" si="279"/>
        <v>中Medium</v>
      </c>
      <c r="AI396" s="176" t="s">
        <v>144</v>
      </c>
      <c r="AJ396" s="176" t="str">
        <f t="shared" si="280"/>
        <v>保留
Retaining</v>
      </c>
      <c r="AK396" s="171" t="s">
        <v>145</v>
      </c>
      <c r="AL396" s="177" t="s">
        <v>145</v>
      </c>
      <c r="AM396" s="171" t="s">
        <v>145</v>
      </c>
      <c r="AN396" s="178" t="s">
        <v>280</v>
      </c>
      <c r="AO396" s="178" t="s">
        <v>281</v>
      </c>
    </row>
    <row r="397" s="116" customFormat="1" ht="17" customHeight="1" spans="1:41">
      <c r="A397" s="171">
        <v>394</v>
      </c>
      <c r="B397" s="179"/>
      <c r="C397" s="179"/>
      <c r="D397" s="179"/>
      <c r="E397" s="171"/>
      <c r="F397" s="171"/>
      <c r="G397" s="171"/>
      <c r="H397" s="171" t="s">
        <v>73</v>
      </c>
      <c r="I397" s="171"/>
      <c r="J397" s="171"/>
      <c r="K397" s="173" t="s">
        <v>536</v>
      </c>
      <c r="L397" s="173" t="s">
        <v>1198</v>
      </c>
      <c r="M397" s="173" t="s">
        <v>166</v>
      </c>
      <c r="N397" s="174" t="s">
        <v>96</v>
      </c>
      <c r="O397" s="174" t="s">
        <v>96</v>
      </c>
      <c r="P397" s="174" t="s">
        <v>96</v>
      </c>
      <c r="Q397" s="174" t="s">
        <v>77</v>
      </c>
      <c r="R397" s="174" t="str">
        <f>IF(OR(N397="严重Severe",O397="严重Severe",P397="严重Severe",Q397="严重Severe"),"严重Severe",IF(OR(N397="主要Major",O397="主要Major",P397="主要Major",Q397="主要Major"),"主要Major",IF(OR(N397="中等Medium",O397="中等Medium",P397="中等Medium",Q397="中等Medium"),"中等Medium",IF(OR(N397="可忽略不计Negligible",O397="可忽略不计Negligible",P397="可忽略不计Negligible",Q397="可忽略不计Negligible"),"可忽略不计Negligible","/"))))</f>
        <v>中等Medium</v>
      </c>
      <c r="S397" s="171" t="s">
        <v>96</v>
      </c>
      <c r="T397" s="175" t="s">
        <v>538</v>
      </c>
      <c r="U397" s="175" t="s">
        <v>1199</v>
      </c>
      <c r="V397" s="171" t="s">
        <v>1190</v>
      </c>
      <c r="W397" s="171" t="s">
        <v>82</v>
      </c>
      <c r="X397" s="176">
        <f t="shared" si="274"/>
        <v>0</v>
      </c>
      <c r="Y397" s="171" t="s">
        <v>83</v>
      </c>
      <c r="Z397" s="176">
        <f t="shared" si="275"/>
        <v>6</v>
      </c>
      <c r="AA397" s="171" t="s">
        <v>84</v>
      </c>
      <c r="AB397" s="176">
        <f t="shared" si="276"/>
        <v>3</v>
      </c>
      <c r="AC397" s="171" t="s">
        <v>85</v>
      </c>
      <c r="AD397" s="176">
        <f t="shared" si="277"/>
        <v>4</v>
      </c>
      <c r="AE397" s="171" t="s">
        <v>86</v>
      </c>
      <c r="AF397" s="176" cm="1">
        <f t="array" ref="AF397">IF(OR(AE397="/",AE397=""),"/",IF(ISNUMBER(SEARCH("普通",AE397)),0,IF(ISNUMBER(SEARCH("专用",AE397)),4,IF(ISNUMBER(SEARCH("定制",AE397)),7,IF(ISNUMBER(SEARCH("多个定制",AE397)),9,””)))))</f>
        <v>4</v>
      </c>
      <c r="AG397" s="176">
        <f t="shared" si="278"/>
        <v>17</v>
      </c>
      <c r="AH397" s="176" t="str">
        <f t="shared" si="279"/>
        <v>中Medium</v>
      </c>
      <c r="AI397" s="176" t="s">
        <v>144</v>
      </c>
      <c r="AJ397" s="176" t="str">
        <f t="shared" si="280"/>
        <v>保留
Retaining</v>
      </c>
      <c r="AK397" s="171" t="s">
        <v>145</v>
      </c>
      <c r="AL397" s="177" t="s">
        <v>145</v>
      </c>
      <c r="AM397" s="180" t="s">
        <v>316</v>
      </c>
      <c r="AN397" s="178" t="s">
        <v>317</v>
      </c>
      <c r="AO397" s="178" t="s">
        <v>318</v>
      </c>
    </row>
    <row r="398" s="116" customFormat="1" ht="17" customHeight="1" spans="1:41">
      <c r="A398" s="171">
        <v>395</v>
      </c>
      <c r="B398" s="179"/>
      <c r="C398" s="179"/>
      <c r="D398" s="179"/>
      <c r="E398" s="171"/>
      <c r="F398" s="171"/>
      <c r="G398" s="171"/>
      <c r="H398" s="171"/>
      <c r="I398" s="171" t="s">
        <v>73</v>
      </c>
      <c r="J398" s="171"/>
      <c r="K398" s="173" t="s">
        <v>540</v>
      </c>
      <c r="L398" s="173" t="s">
        <v>1200</v>
      </c>
      <c r="M398" s="173" t="s">
        <v>174</v>
      </c>
      <c r="N398" s="174" t="s">
        <v>96</v>
      </c>
      <c r="O398" s="174" t="s">
        <v>96</v>
      </c>
      <c r="P398" s="174" t="s">
        <v>96</v>
      </c>
      <c r="Q398" s="174" t="s">
        <v>77</v>
      </c>
      <c r="R398" s="174" t="str">
        <f>IF(OR(N398="严重Severe",O398="严重Severe",P398="严重Severe",Q398="严重Severe"),"严重Severe",IF(OR(N398="主要Major",O398="主要Major",P398="主要Major",Q398="主要Major"),"主要Major",IF(OR(N398="中等Medium",O398="中等Medium",P398="中等Medium",Q398="中等Medium"),"中等Medium",IF(OR(N398="可忽略不计Negligible",O398="可忽略不计Negligible",P398="可忽略不计Negligible",Q398="可忽略不计Negligible"),"可忽略不计Negligible","/"))))</f>
        <v>中等Medium</v>
      </c>
      <c r="S398" s="171" t="s">
        <v>96</v>
      </c>
      <c r="T398" s="175" t="s">
        <v>542</v>
      </c>
      <c r="U398" s="175" t="s">
        <v>176</v>
      </c>
      <c r="V398" s="171" t="s">
        <v>1190</v>
      </c>
      <c r="W398" s="171" t="s">
        <v>82</v>
      </c>
      <c r="X398" s="176">
        <f t="shared" si="274"/>
        <v>0</v>
      </c>
      <c r="Y398" s="171" t="s">
        <v>177</v>
      </c>
      <c r="Z398" s="176">
        <f t="shared" si="275"/>
        <v>3</v>
      </c>
      <c r="AA398" s="171" t="s">
        <v>153</v>
      </c>
      <c r="AB398" s="176">
        <f t="shared" si="276"/>
        <v>0</v>
      </c>
      <c r="AC398" s="171" t="s">
        <v>85</v>
      </c>
      <c r="AD398" s="176">
        <f t="shared" si="277"/>
        <v>4</v>
      </c>
      <c r="AE398" s="171" t="s">
        <v>86</v>
      </c>
      <c r="AF398" s="176" cm="1">
        <f t="array" ref="AF398">IF(OR(AE398="/",AE398=""),"/",IF(ISNUMBER(SEARCH("普通",AE398)),0,IF(ISNUMBER(SEARCH("专用",AE398)),4,IF(ISNUMBER(SEARCH("定制",AE398)),7,IF(ISNUMBER(SEARCH("多个定制",AE398)),9,””)))))</f>
        <v>4</v>
      </c>
      <c r="AG398" s="176">
        <f t="shared" si="278"/>
        <v>11</v>
      </c>
      <c r="AH398" s="176" t="str">
        <f t="shared" si="279"/>
        <v>高High</v>
      </c>
      <c r="AI398" s="176" t="s">
        <v>144</v>
      </c>
      <c r="AJ398" s="176" t="str">
        <f t="shared" si="280"/>
        <v>保留
Retaining</v>
      </c>
      <c r="AK398" s="171" t="s">
        <v>145</v>
      </c>
      <c r="AL398" s="177" t="s">
        <v>145</v>
      </c>
      <c r="AM398" s="180" t="s">
        <v>329</v>
      </c>
      <c r="AN398" s="178" t="s">
        <v>181</v>
      </c>
      <c r="AO398" s="178" t="s">
        <v>182</v>
      </c>
    </row>
    <row r="399" s="116" customFormat="1" ht="17" customHeight="1" spans="1:41">
      <c r="A399" s="171">
        <v>396</v>
      </c>
      <c r="B399" s="181"/>
      <c r="C399" s="181"/>
      <c r="D399" s="181"/>
      <c r="E399" s="171"/>
      <c r="F399" s="171"/>
      <c r="G399" s="171"/>
      <c r="H399" s="171"/>
      <c r="I399" s="171"/>
      <c r="J399" s="171" t="s">
        <v>183</v>
      </c>
      <c r="K399" s="173" t="s">
        <v>145</v>
      </c>
      <c r="L399" s="173" t="s">
        <v>145</v>
      </c>
      <c r="M399" s="173" t="s">
        <v>145</v>
      </c>
      <c r="N399" s="174" t="s">
        <v>145</v>
      </c>
      <c r="O399" s="174" t="s">
        <v>145</v>
      </c>
      <c r="P399" s="174" t="s">
        <v>145</v>
      </c>
      <c r="Q399" s="174" t="s">
        <v>145</v>
      </c>
      <c r="R399" s="174" t="s">
        <v>145</v>
      </c>
      <c r="S399" s="175" t="s">
        <v>145</v>
      </c>
      <c r="T399" s="175" t="s">
        <v>145</v>
      </c>
      <c r="U399" s="175" t="s">
        <v>145</v>
      </c>
      <c r="V399" s="171" t="s">
        <v>145</v>
      </c>
      <c r="W399" s="171" t="s">
        <v>145</v>
      </c>
      <c r="X399" s="176" t="s">
        <v>145</v>
      </c>
      <c r="Y399" s="171" t="s">
        <v>145</v>
      </c>
      <c r="Z399" s="176" t="s">
        <v>145</v>
      </c>
      <c r="AA399" s="171" t="s">
        <v>145</v>
      </c>
      <c r="AB399" s="176" t="s">
        <v>145</v>
      </c>
      <c r="AC399" s="171" t="s">
        <v>145</v>
      </c>
      <c r="AD399" s="176" t="s">
        <v>145</v>
      </c>
      <c r="AE399" s="171" t="s">
        <v>145</v>
      </c>
      <c r="AF399" s="176" t="str" cm="1">
        <f t="array" ref="AF399">IF(OR(AE399="/",AE399=""),"/",IF(ISNUMBER(SEARCH("普通",AE399)),0,IF(ISNUMBER(SEARCH("专用",AE399)),4,IF(ISNUMBER(SEARCH("定制",AE399)),7,IF(ISNUMBER(SEARCH("多个定制",AE399)),9,””)))))</f>
        <v>/</v>
      </c>
      <c r="AG399" s="176" t="s">
        <v>145</v>
      </c>
      <c r="AH399" s="176" t="s">
        <v>145</v>
      </c>
      <c r="AI399" s="176" t="s">
        <v>145</v>
      </c>
      <c r="AJ399" s="176" t="str">
        <f t="shared" si="280"/>
        <v>/</v>
      </c>
      <c r="AK399" s="171" t="s">
        <v>145</v>
      </c>
      <c r="AL399" s="177" t="s">
        <v>145</v>
      </c>
      <c r="AM399" s="177" t="s">
        <v>145</v>
      </c>
      <c r="AN399" s="177" t="s">
        <v>145</v>
      </c>
      <c r="AO399" s="177" t="s">
        <v>145</v>
      </c>
    </row>
    <row r="400" s="116" customFormat="1" ht="17" customHeight="1" spans="1:41">
      <c r="A400" s="171">
        <v>397</v>
      </c>
      <c r="B400" s="172" t="s">
        <v>1201</v>
      </c>
      <c r="C400" s="171" t="s">
        <v>71</v>
      </c>
      <c r="D400" s="173" t="s">
        <v>1202</v>
      </c>
      <c r="E400" s="171" t="s">
        <v>73</v>
      </c>
      <c r="F400" s="171"/>
      <c r="G400" s="171"/>
      <c r="H400" s="171"/>
      <c r="I400" s="171"/>
      <c r="J400" s="171"/>
      <c r="K400" s="173" t="s">
        <v>1203</v>
      </c>
      <c r="L400" s="173" t="s">
        <v>1204</v>
      </c>
      <c r="M400" s="173" t="s">
        <v>1205</v>
      </c>
      <c r="N400" s="174" t="s">
        <v>77</v>
      </c>
      <c r="O400" s="174" t="s">
        <v>77</v>
      </c>
      <c r="P400" s="174" t="s">
        <v>77</v>
      </c>
      <c r="Q400" s="174" t="s">
        <v>96</v>
      </c>
      <c r="R400" s="174" t="str">
        <f>IF(OR(N400="严重Severe",O400="严重Severe",P400="严重Severe",Q400="严重Severe"),"严重Severe",IF(OR(N400="主要Major",O400="主要Major",P400="主要Major",Q400="主要Major"),"主要Major",IF(OR(N400="中等Medium",O400="中等Medium",P400="中等Medium",Q400="中等Medium"),"中等Medium",IF(OR(N400="可忽略不计Negligible",O400="可忽略不计Negligible",P400="可忽略不计Negligible",Q400="可忽略不计Negligible"),"可忽略不计Negligible","/"))))</f>
        <v>中等Medium</v>
      </c>
      <c r="S400" s="175" t="s">
        <v>96</v>
      </c>
      <c r="T400" s="175" t="s">
        <v>1206</v>
      </c>
      <c r="U400" s="175" t="s">
        <v>1207</v>
      </c>
      <c r="V400" s="171" t="s">
        <v>1208</v>
      </c>
      <c r="W400" s="171" t="s">
        <v>82</v>
      </c>
      <c r="X400" s="176">
        <f>IF(OR(W400="/",W400=""),"/",IF(ISNUMBER(SEARCH("1天",W400)),0,IF(ISNUMBER(SEARCH("一周",W400)),1,IF(ISNUMBER(SEARCH("1个月",W400)),4,IF(ISNUMBER(SEARCH("超过",W400)),19,IF(ISNUMBER(SEARCH("6个月",W400)),17,""))))))</f>
        <v>0</v>
      </c>
      <c r="Y400" s="171" t="s">
        <v>83</v>
      </c>
      <c r="Z400" s="176">
        <f>IF(OR(Y400="/",Y400=""),"/",IF(ISNUMBER(SEARCH("新手",Y400)),0,IF(ISNUMBER(SEARCH("熟练",Y400)),3,IF(ISNUMBER(SEARCH("多位",Y400)),17,IF(ISNUMBER(SEARCH("专家",Y400)),6,"")))))</f>
        <v>6</v>
      </c>
      <c r="AA400" s="171" t="s">
        <v>153</v>
      </c>
      <c r="AB400" s="176">
        <f>IF(OR(AA400="/",AA400=""),"/",IF(ISNUMBER(SEARCH("公开",AA400)),0,IF(ISNUMBER(SEARCH("限制性信息",AA400)),3,IF(ISNUMBER(SEARCH("机密信息",AA400)),7,IF(ISNUMBER(SEARCH("严格保密",AA400)),11,"")))))</f>
        <v>0</v>
      </c>
      <c r="AC400" s="171" t="s">
        <v>85</v>
      </c>
      <c r="AD400" s="176">
        <f>IF(OR(AC400="/",AC400=""),"/",IF(ISNUMBER(SEARCH("无限制",AC400)),0,IF(ISNUMBER(SEARCH("容易",AC400)),1,IF(ISNUMBER(SEARCH("一般",AC400)),4,IF(ISNUMBER(SEARCH("困难",AC400)),10,"")))))</f>
        <v>4</v>
      </c>
      <c r="AE400" s="171" t="s">
        <v>86</v>
      </c>
      <c r="AF400" s="176" cm="1">
        <f t="array" ref="AF400">IF(OR(AE400="/",AE400=""),"/",IF(ISNUMBER(SEARCH("普通",AE400)),0,IF(ISNUMBER(SEARCH("专用",AE400)),4,IF(ISNUMBER(SEARCH("定制",AE400)),7,IF(ISNUMBER(SEARCH("多个定制",AE400)),9,””)))))</f>
        <v>4</v>
      </c>
      <c r="AG400" s="176">
        <f>IF(OR(X400="/",Z400="/",AB400="/",AD400="/",AF400="/"),"/",X400+Z400+AB400+AD400+AF400)</f>
        <v>14</v>
      </c>
      <c r="AH400" s="176" t="str">
        <f>IF(AND(AG400&gt;=0,AG400&lt;14),"高High",IF(AND(AG400&gt;=14,AG400&lt;20),"中Medium",IF(AND(AG400&gt;=20,AG400&lt;25),"低Low",IF(AND(AG400&gt;=25,AG400&lt;57),"非常低Very low",""))))</f>
        <v>中Medium</v>
      </c>
      <c r="AI400" s="176" t="s">
        <v>87</v>
      </c>
      <c r="AJ400" s="176" t="str">
        <f t="shared" si="280"/>
        <v>降低
Reucing</v>
      </c>
      <c r="AK400" s="171" t="s">
        <v>1209</v>
      </c>
      <c r="AL400" s="177" t="s">
        <v>1210</v>
      </c>
      <c r="AM400" s="180" t="s">
        <v>1211</v>
      </c>
      <c r="AN400" s="178" t="s">
        <v>1212</v>
      </c>
      <c r="AO400" s="178" t="s">
        <v>1213</v>
      </c>
    </row>
    <row r="401" s="116" customFormat="1" ht="17" customHeight="1" spans="1:41">
      <c r="A401" s="171">
        <v>398</v>
      </c>
      <c r="B401" s="179"/>
      <c r="C401" s="179"/>
      <c r="D401" s="179"/>
      <c r="E401" s="171"/>
      <c r="F401" s="171" t="s">
        <v>183</v>
      </c>
      <c r="G401" s="171"/>
      <c r="H401" s="171"/>
      <c r="I401" s="171"/>
      <c r="J401" s="171"/>
      <c r="K401" s="173" t="s">
        <v>145</v>
      </c>
      <c r="L401" s="173" t="s">
        <v>145</v>
      </c>
      <c r="M401" s="173" t="s">
        <v>145</v>
      </c>
      <c r="N401" s="174" t="s">
        <v>145</v>
      </c>
      <c r="O401" s="174" t="s">
        <v>145</v>
      </c>
      <c r="P401" s="174" t="s">
        <v>145</v>
      </c>
      <c r="Q401" s="174" t="s">
        <v>145</v>
      </c>
      <c r="R401" s="174" t="s">
        <v>145</v>
      </c>
      <c r="S401" s="175" t="s">
        <v>145</v>
      </c>
      <c r="T401" s="175" t="s">
        <v>145</v>
      </c>
      <c r="U401" s="175" t="s">
        <v>145</v>
      </c>
      <c r="V401" s="171" t="s">
        <v>145</v>
      </c>
      <c r="W401" s="171" t="s">
        <v>145</v>
      </c>
      <c r="X401" s="176" t="s">
        <v>145</v>
      </c>
      <c r="Y401" s="171" t="s">
        <v>145</v>
      </c>
      <c r="Z401" s="176" t="s">
        <v>145</v>
      </c>
      <c r="AA401" s="171" t="s">
        <v>145</v>
      </c>
      <c r="AB401" s="176" t="s">
        <v>145</v>
      </c>
      <c r="AC401" s="171" t="s">
        <v>145</v>
      </c>
      <c r="AD401" s="176" t="s">
        <v>145</v>
      </c>
      <c r="AE401" s="171" t="s">
        <v>145</v>
      </c>
      <c r="AF401" s="176" t="str" cm="1">
        <f t="array" ref="AF401">IF(OR(AE401="/",AE401=""),"/",IF(ISNUMBER(SEARCH("普通",AE401)),0,IF(ISNUMBER(SEARCH("专用",AE401)),4,IF(ISNUMBER(SEARCH("定制",AE401)),7,IF(ISNUMBER(SEARCH("多个定制",AE401)),9,””)))))</f>
        <v>/</v>
      </c>
      <c r="AG401" s="176" t="s">
        <v>145</v>
      </c>
      <c r="AH401" s="176" t="s">
        <v>145</v>
      </c>
      <c r="AI401" s="176" t="s">
        <v>145</v>
      </c>
      <c r="AJ401" s="176" t="str">
        <f t="shared" si="280"/>
        <v>/</v>
      </c>
      <c r="AK401" s="171" t="s">
        <v>145</v>
      </c>
      <c r="AL401" s="177" t="s">
        <v>145</v>
      </c>
      <c r="AM401" s="177" t="s">
        <v>145</v>
      </c>
      <c r="AN401" s="177" t="s">
        <v>145</v>
      </c>
      <c r="AO401" s="177" t="s">
        <v>145</v>
      </c>
    </row>
    <row r="402" s="116" customFormat="1" ht="17" customHeight="1" spans="1:41">
      <c r="A402" s="171">
        <v>399</v>
      </c>
      <c r="B402" s="179"/>
      <c r="C402" s="179"/>
      <c r="D402" s="179"/>
      <c r="E402" s="171"/>
      <c r="F402" s="171"/>
      <c r="G402" s="171" t="s">
        <v>73</v>
      </c>
      <c r="H402" s="171"/>
      <c r="I402" s="171"/>
      <c r="J402" s="171"/>
      <c r="K402" s="173" t="s">
        <v>1214</v>
      </c>
      <c r="L402" s="173" t="s">
        <v>1215</v>
      </c>
      <c r="M402" s="173" t="s">
        <v>150</v>
      </c>
      <c r="N402" s="174" t="s">
        <v>77</v>
      </c>
      <c r="O402" s="174" t="s">
        <v>77</v>
      </c>
      <c r="P402" s="174" t="s">
        <v>96</v>
      </c>
      <c r="Q402" s="174" t="s">
        <v>77</v>
      </c>
      <c r="R402" s="174" t="str">
        <f>IF(OR(N402="严重Severe",O402="严重Severe",P402="严重Severe",Q402="严重Severe"),"严重Severe",IF(OR(N402="主要Major",O402="主要Major",P402="主要Major",Q402="主要Major"),"主要Major",IF(OR(N402="中等Medium",O402="中等Medium",P402="中等Medium",Q402="中等Medium"),"中等Medium",IF(OR(N402="可忽略不计Negligible",O402="可忽略不计Negligible",P402="可忽略不计Negligible",Q402="可忽略不计Negligible"),"可忽略不计Negligible","/"))))</f>
        <v>中等Medium</v>
      </c>
      <c r="S402" s="175" t="s">
        <v>96</v>
      </c>
      <c r="T402" s="175" t="s">
        <v>1216</v>
      </c>
      <c r="U402" s="175" t="s">
        <v>1217</v>
      </c>
      <c r="V402" s="171" t="s">
        <v>1208</v>
      </c>
      <c r="W402" s="171" t="s">
        <v>82</v>
      </c>
      <c r="X402" s="176">
        <f t="shared" ref="X402:X411" si="281">IF(OR(W402="/",W402=""),"/",IF(ISNUMBER(SEARCH("1天",W402)),0,IF(ISNUMBER(SEARCH("一周",W402)),1,IF(ISNUMBER(SEARCH("1个月",W402)),4,IF(ISNUMBER(SEARCH("超过",W402)),19,IF(ISNUMBER(SEARCH("6个月",W402)),17,""))))))</f>
        <v>0</v>
      </c>
      <c r="Y402" s="171" t="s">
        <v>83</v>
      </c>
      <c r="Z402" s="176">
        <f t="shared" ref="Z402:Z411" si="282">IF(OR(Y402="/",Y402=""),"/",IF(ISNUMBER(SEARCH("新手",Y402)),0,IF(ISNUMBER(SEARCH("熟练",Y402)),3,IF(ISNUMBER(SEARCH("多位",Y402)),17,IF(ISNUMBER(SEARCH("专家",Y402)),6,"")))))</f>
        <v>6</v>
      </c>
      <c r="AA402" s="171" t="s">
        <v>153</v>
      </c>
      <c r="AB402" s="176">
        <f t="shared" ref="AB402:AB411" si="283">IF(OR(AA402="/",AA402=""),"/",IF(ISNUMBER(SEARCH("公开",AA402)),0,IF(ISNUMBER(SEARCH("限制性信息",AA402)),3,IF(ISNUMBER(SEARCH("机密信息",AA402)),7,IF(ISNUMBER(SEARCH("严格保密",AA402)),11,"")))))</f>
        <v>0</v>
      </c>
      <c r="AC402" s="171" t="s">
        <v>85</v>
      </c>
      <c r="AD402" s="176">
        <f t="shared" ref="AD402:AD411" si="284">IF(OR(AC402="/",AC402=""),"/",IF(ISNUMBER(SEARCH("无限制",AC402)),0,IF(ISNUMBER(SEARCH("容易",AC402)),1,IF(ISNUMBER(SEARCH("一般",AC402)),4,IF(ISNUMBER(SEARCH("困难",AC402)),10,"")))))</f>
        <v>4</v>
      </c>
      <c r="AE402" s="171" t="s">
        <v>86</v>
      </c>
      <c r="AF402" s="176" cm="1">
        <f t="array" ref="AF402">IF(OR(AE402="/",AE402=""),"/",IF(ISNUMBER(SEARCH("普通",AE402)),0,IF(ISNUMBER(SEARCH("专用",AE402)),4,IF(ISNUMBER(SEARCH("定制",AE402)),7,IF(ISNUMBER(SEARCH("多个定制",AE402)),9,””)))))</f>
        <v>4</v>
      </c>
      <c r="AG402" s="176">
        <f t="shared" ref="AG402:AG411" si="285">IF(OR(X402="/",Z402="/",AB402="/",AD402="/",AF402="/"),"/",X402+Z402+AB402+AD402+AF402)</f>
        <v>14</v>
      </c>
      <c r="AH402" s="176" t="str">
        <f t="shared" ref="AH402:AH411" si="286">IF(AND(AG402&gt;=0,AG402&lt;14),"高High",IF(AND(AG402&gt;=14,AG402&lt;20),"中Medium",IF(AND(AG402&gt;=20,AG402&lt;25),"低Low",IF(AND(AG402&gt;=25,AG402&lt;57),"非常低Very low",""))))</f>
        <v>中Medium</v>
      </c>
      <c r="AI402" s="176" t="s">
        <v>87</v>
      </c>
      <c r="AJ402" s="176" t="str">
        <f t="shared" si="280"/>
        <v>降低
Reucing</v>
      </c>
      <c r="AK402" s="171" t="s">
        <v>1218</v>
      </c>
      <c r="AL402" s="177" t="s">
        <v>1219</v>
      </c>
      <c r="AM402" s="180" t="s">
        <v>428</v>
      </c>
      <c r="AN402" s="178" t="s">
        <v>280</v>
      </c>
      <c r="AO402" s="178" t="s">
        <v>281</v>
      </c>
    </row>
    <row r="403" s="116" customFormat="1" ht="17" customHeight="1" spans="1:41">
      <c r="A403" s="171">
        <v>400</v>
      </c>
      <c r="B403" s="179"/>
      <c r="C403" s="179"/>
      <c r="D403" s="179"/>
      <c r="E403" s="171"/>
      <c r="F403" s="171"/>
      <c r="G403" s="171"/>
      <c r="H403" s="171" t="s">
        <v>183</v>
      </c>
      <c r="I403" s="171"/>
      <c r="J403" s="171"/>
      <c r="K403" s="173" t="s">
        <v>145</v>
      </c>
      <c r="L403" s="173" t="s">
        <v>145</v>
      </c>
      <c r="M403" s="173" t="s">
        <v>145</v>
      </c>
      <c r="N403" s="174" t="s">
        <v>145</v>
      </c>
      <c r="O403" s="174" t="s">
        <v>145</v>
      </c>
      <c r="P403" s="174" t="s">
        <v>145</v>
      </c>
      <c r="Q403" s="174" t="s">
        <v>145</v>
      </c>
      <c r="R403" s="174" t="s">
        <v>145</v>
      </c>
      <c r="S403" s="175" t="s">
        <v>145</v>
      </c>
      <c r="T403" s="175" t="s">
        <v>145</v>
      </c>
      <c r="U403" s="175" t="s">
        <v>145</v>
      </c>
      <c r="V403" s="171" t="s">
        <v>145</v>
      </c>
      <c r="W403" s="171" t="s">
        <v>145</v>
      </c>
      <c r="X403" s="176" t="s">
        <v>145</v>
      </c>
      <c r="Y403" s="171" t="s">
        <v>145</v>
      </c>
      <c r="Z403" s="176" t="s">
        <v>145</v>
      </c>
      <c r="AA403" s="171" t="s">
        <v>145</v>
      </c>
      <c r="AB403" s="176" t="s">
        <v>145</v>
      </c>
      <c r="AC403" s="171" t="s">
        <v>145</v>
      </c>
      <c r="AD403" s="176" t="s">
        <v>145</v>
      </c>
      <c r="AE403" s="171" t="s">
        <v>145</v>
      </c>
      <c r="AF403" s="176" t="str" cm="1">
        <f t="array" ref="AF403">IF(OR(AE403="/",AE403=""),"/",IF(ISNUMBER(SEARCH("普通",AE403)),0,IF(ISNUMBER(SEARCH("专用",AE403)),4,IF(ISNUMBER(SEARCH("定制",AE403)),7,IF(ISNUMBER(SEARCH("多个定制",AE403)),9,””)))))</f>
        <v>/</v>
      </c>
      <c r="AG403" s="176" t="s">
        <v>145</v>
      </c>
      <c r="AH403" s="176" t="s">
        <v>145</v>
      </c>
      <c r="AI403" s="176" t="s">
        <v>145</v>
      </c>
      <c r="AJ403" s="176" t="str">
        <f t="shared" si="280"/>
        <v>/</v>
      </c>
      <c r="AK403" s="171" t="s">
        <v>145</v>
      </c>
      <c r="AL403" s="177" t="s">
        <v>145</v>
      </c>
      <c r="AM403" s="177" t="s">
        <v>145</v>
      </c>
      <c r="AN403" s="177" t="s">
        <v>145</v>
      </c>
      <c r="AO403" s="177" t="s">
        <v>145</v>
      </c>
    </row>
    <row r="404" s="116" customFormat="1" ht="17" customHeight="1" spans="1:41">
      <c r="A404" s="171">
        <v>401</v>
      </c>
      <c r="B404" s="179"/>
      <c r="C404" s="179"/>
      <c r="D404" s="179"/>
      <c r="E404" s="171"/>
      <c r="F404" s="171"/>
      <c r="G404" s="171"/>
      <c r="H404" s="171"/>
      <c r="I404" s="171" t="s">
        <v>183</v>
      </c>
      <c r="J404" s="171"/>
      <c r="K404" s="173" t="s">
        <v>145</v>
      </c>
      <c r="L404" s="173" t="s">
        <v>145</v>
      </c>
      <c r="M404" s="173" t="s">
        <v>145</v>
      </c>
      <c r="N404" s="174" t="s">
        <v>145</v>
      </c>
      <c r="O404" s="174" t="s">
        <v>145</v>
      </c>
      <c r="P404" s="174" t="s">
        <v>145</v>
      </c>
      <c r="Q404" s="174" t="s">
        <v>145</v>
      </c>
      <c r="R404" s="174" t="s">
        <v>145</v>
      </c>
      <c r="S404" s="175" t="s">
        <v>145</v>
      </c>
      <c r="T404" s="175" t="s">
        <v>145</v>
      </c>
      <c r="U404" s="175" t="s">
        <v>145</v>
      </c>
      <c r="V404" s="171" t="s">
        <v>145</v>
      </c>
      <c r="W404" s="171" t="s">
        <v>145</v>
      </c>
      <c r="X404" s="176" t="s">
        <v>145</v>
      </c>
      <c r="Y404" s="171" t="s">
        <v>145</v>
      </c>
      <c r="Z404" s="176" t="s">
        <v>145</v>
      </c>
      <c r="AA404" s="171" t="s">
        <v>145</v>
      </c>
      <c r="AB404" s="176" t="s">
        <v>145</v>
      </c>
      <c r="AC404" s="171" t="s">
        <v>145</v>
      </c>
      <c r="AD404" s="176" t="s">
        <v>145</v>
      </c>
      <c r="AE404" s="171" t="s">
        <v>145</v>
      </c>
      <c r="AF404" s="176" t="str" cm="1">
        <f t="array" ref="AF404">IF(OR(AE404="/",AE404=""),"/",IF(ISNUMBER(SEARCH("普通",AE404)),0,IF(ISNUMBER(SEARCH("专用",AE404)),4,IF(ISNUMBER(SEARCH("定制",AE404)),7,IF(ISNUMBER(SEARCH("多个定制",AE404)),9,””)))))</f>
        <v>/</v>
      </c>
      <c r="AG404" s="176" t="s">
        <v>145</v>
      </c>
      <c r="AH404" s="176" t="s">
        <v>145</v>
      </c>
      <c r="AI404" s="176" t="s">
        <v>145</v>
      </c>
      <c r="AJ404" s="176" t="str">
        <f t="shared" si="280"/>
        <v>/</v>
      </c>
      <c r="AK404" s="171" t="s">
        <v>145</v>
      </c>
      <c r="AL404" s="177" t="s">
        <v>145</v>
      </c>
      <c r="AM404" s="177" t="s">
        <v>145</v>
      </c>
      <c r="AN404" s="177" t="s">
        <v>145</v>
      </c>
      <c r="AO404" s="177" t="s">
        <v>145</v>
      </c>
    </row>
    <row r="405" s="116" customFormat="1" ht="17" customHeight="1" spans="1:41">
      <c r="A405" s="171">
        <v>402</v>
      </c>
      <c r="B405" s="181"/>
      <c r="C405" s="181"/>
      <c r="D405" s="181"/>
      <c r="E405" s="171"/>
      <c r="F405" s="171"/>
      <c r="G405" s="171"/>
      <c r="H405" s="171"/>
      <c r="I405" s="171"/>
      <c r="J405" s="171" t="s">
        <v>183</v>
      </c>
      <c r="K405" s="173" t="s">
        <v>145</v>
      </c>
      <c r="L405" s="173" t="s">
        <v>145</v>
      </c>
      <c r="M405" s="173" t="s">
        <v>145</v>
      </c>
      <c r="N405" s="174" t="s">
        <v>145</v>
      </c>
      <c r="O405" s="174" t="s">
        <v>145</v>
      </c>
      <c r="P405" s="174" t="s">
        <v>145</v>
      </c>
      <c r="Q405" s="174" t="s">
        <v>145</v>
      </c>
      <c r="R405" s="174" t="s">
        <v>145</v>
      </c>
      <c r="S405" s="175" t="s">
        <v>145</v>
      </c>
      <c r="T405" s="175" t="s">
        <v>145</v>
      </c>
      <c r="U405" s="175" t="s">
        <v>145</v>
      </c>
      <c r="V405" s="171" t="s">
        <v>145</v>
      </c>
      <c r="W405" s="171" t="s">
        <v>145</v>
      </c>
      <c r="X405" s="176" t="s">
        <v>145</v>
      </c>
      <c r="Y405" s="171" t="s">
        <v>145</v>
      </c>
      <c r="Z405" s="176" t="s">
        <v>145</v>
      </c>
      <c r="AA405" s="171" t="s">
        <v>145</v>
      </c>
      <c r="AB405" s="176" t="s">
        <v>145</v>
      </c>
      <c r="AC405" s="171" t="s">
        <v>145</v>
      </c>
      <c r="AD405" s="176" t="s">
        <v>145</v>
      </c>
      <c r="AE405" s="171" t="s">
        <v>145</v>
      </c>
      <c r="AF405" s="176" t="str" cm="1">
        <f t="array" ref="AF405">IF(OR(AE405="/",AE405=""),"/",IF(ISNUMBER(SEARCH("普通",AE405)),0,IF(ISNUMBER(SEARCH("专用",AE405)),4,IF(ISNUMBER(SEARCH("定制",AE405)),7,IF(ISNUMBER(SEARCH("多个定制",AE405)),9,””)))))</f>
        <v>/</v>
      </c>
      <c r="AG405" s="176" t="s">
        <v>145</v>
      </c>
      <c r="AH405" s="176" t="s">
        <v>145</v>
      </c>
      <c r="AI405" s="176" t="s">
        <v>145</v>
      </c>
      <c r="AJ405" s="176" t="str">
        <f t="shared" si="280"/>
        <v>/</v>
      </c>
      <c r="AK405" s="171" t="s">
        <v>145</v>
      </c>
      <c r="AL405" s="177" t="s">
        <v>145</v>
      </c>
      <c r="AM405" s="177" t="s">
        <v>145</v>
      </c>
      <c r="AN405" s="177" t="s">
        <v>145</v>
      </c>
      <c r="AO405" s="177" t="s">
        <v>145</v>
      </c>
    </row>
    <row r="406" s="116" customFormat="1" ht="17" customHeight="1" spans="1:41">
      <c r="A406" s="171">
        <v>403</v>
      </c>
      <c r="B406" s="172" t="s">
        <v>1220</v>
      </c>
      <c r="C406" s="171" t="s">
        <v>1221</v>
      </c>
      <c r="D406" s="173" t="s">
        <v>1222</v>
      </c>
      <c r="E406" s="171" t="s">
        <v>73</v>
      </c>
      <c r="F406" s="171"/>
      <c r="G406" s="171"/>
      <c r="H406" s="171"/>
      <c r="I406" s="171"/>
      <c r="J406" s="171"/>
      <c r="K406" s="173" t="s">
        <v>1223</v>
      </c>
      <c r="L406" s="173" t="s">
        <v>1224</v>
      </c>
      <c r="M406" s="173" t="s">
        <v>95</v>
      </c>
      <c r="N406" s="174" t="s">
        <v>77</v>
      </c>
      <c r="O406" s="174" t="s">
        <v>77</v>
      </c>
      <c r="P406" s="174" t="s">
        <v>77</v>
      </c>
      <c r="Q406" s="174" t="s">
        <v>96</v>
      </c>
      <c r="R406" s="174" t="str">
        <f t="shared" ref="R406:R411" si="287">IF(OR(N406="严重Severe",O406="严重Severe",P406="严重Severe",Q406="严重Severe"),"严重Severe",IF(OR(N406="主要Major",O406="主要Major",P406="主要Major",Q406="主要Major"),"主要Major",IF(OR(N406="中等Medium",O406="中等Medium",P406="中等Medium",Q406="中等Medium"),"中等Medium",IF(OR(N406="可忽略不计Negligible",O406="可忽略不计Negligible",P406="可忽略不计Negligible",Q406="可忽略不计Negligible"),"可忽略不计Negligible","/"))))</f>
        <v>中等Medium</v>
      </c>
      <c r="S406" s="175" t="s">
        <v>96</v>
      </c>
      <c r="T406" s="175" t="s">
        <v>1225</v>
      </c>
      <c r="U406" s="175" t="s">
        <v>1226</v>
      </c>
      <c r="V406" s="171" t="s">
        <v>1227</v>
      </c>
      <c r="W406" s="171" t="s">
        <v>142</v>
      </c>
      <c r="X406" s="176">
        <f t="shared" si="281"/>
        <v>4</v>
      </c>
      <c r="Y406" s="171" t="s">
        <v>83</v>
      </c>
      <c r="Z406" s="176">
        <f t="shared" si="282"/>
        <v>6</v>
      </c>
      <c r="AA406" s="171" t="s">
        <v>84</v>
      </c>
      <c r="AB406" s="176">
        <f t="shared" si="283"/>
        <v>3</v>
      </c>
      <c r="AC406" s="171" t="s">
        <v>85</v>
      </c>
      <c r="AD406" s="176">
        <f t="shared" si="284"/>
        <v>4</v>
      </c>
      <c r="AE406" s="171" t="s">
        <v>210</v>
      </c>
      <c r="AF406" s="176" cm="1">
        <f t="array" ref="AF406">IF(OR(AE406="/",AE406=""),"/",IF(ISNUMBER(SEARCH("普通",AE406)),0,IF(ISNUMBER(SEARCH("专用",AE406)),4,IF(ISNUMBER(SEARCH("定制",AE406)),7,IF(ISNUMBER(SEARCH("多个定制",AE406)),9,””)))))</f>
        <v>0</v>
      </c>
      <c r="AG406" s="176">
        <f t="shared" si="285"/>
        <v>17</v>
      </c>
      <c r="AH406" s="176" t="str">
        <f t="shared" si="286"/>
        <v>中Medium</v>
      </c>
      <c r="AI406" s="176" t="s">
        <v>144</v>
      </c>
      <c r="AJ406" s="176" t="str">
        <f t="shared" si="280"/>
        <v>保留
Retaining</v>
      </c>
      <c r="AK406" s="171" t="s">
        <v>145</v>
      </c>
      <c r="AL406" s="177" t="s">
        <v>145</v>
      </c>
      <c r="AM406" s="171" t="s">
        <v>145</v>
      </c>
      <c r="AN406" s="178" t="s">
        <v>102</v>
      </c>
      <c r="AO406" s="178" t="s">
        <v>103</v>
      </c>
    </row>
    <row r="407" s="116" customFormat="1" ht="17" customHeight="1" spans="1:41">
      <c r="A407" s="171">
        <v>404</v>
      </c>
      <c r="B407" s="179"/>
      <c r="C407" s="179"/>
      <c r="D407" s="179"/>
      <c r="E407" s="171" t="s">
        <v>73</v>
      </c>
      <c r="F407" s="171"/>
      <c r="G407" s="171"/>
      <c r="H407" s="171"/>
      <c r="I407" s="171"/>
      <c r="J407" s="171"/>
      <c r="K407" s="173" t="s">
        <v>1228</v>
      </c>
      <c r="L407" s="173" t="s">
        <v>1229</v>
      </c>
      <c r="M407" s="173" t="s">
        <v>1230</v>
      </c>
      <c r="N407" s="174" t="s">
        <v>77</v>
      </c>
      <c r="O407" s="174" t="s">
        <v>77</v>
      </c>
      <c r="P407" s="174" t="s">
        <v>77</v>
      </c>
      <c r="Q407" s="174" t="s">
        <v>96</v>
      </c>
      <c r="R407" s="174" t="str">
        <f t="shared" si="287"/>
        <v>中等Medium</v>
      </c>
      <c r="S407" s="175" t="s">
        <v>96</v>
      </c>
      <c r="T407" s="175" t="s">
        <v>1231</v>
      </c>
      <c r="U407" s="175" t="s">
        <v>1232</v>
      </c>
      <c r="V407" s="171" t="s">
        <v>1227</v>
      </c>
      <c r="W407" s="171" t="s">
        <v>142</v>
      </c>
      <c r="X407" s="176">
        <f t="shared" si="281"/>
        <v>4</v>
      </c>
      <c r="Y407" s="171" t="s">
        <v>83</v>
      </c>
      <c r="Z407" s="176">
        <f t="shared" si="282"/>
        <v>6</v>
      </c>
      <c r="AA407" s="171" t="s">
        <v>153</v>
      </c>
      <c r="AB407" s="176">
        <f t="shared" si="283"/>
        <v>0</v>
      </c>
      <c r="AC407" s="171" t="s">
        <v>85</v>
      </c>
      <c r="AD407" s="176">
        <f t="shared" si="284"/>
        <v>4</v>
      </c>
      <c r="AE407" s="171" t="s">
        <v>210</v>
      </c>
      <c r="AF407" s="176" cm="1">
        <f t="array" ref="AF407">IF(OR(AE407="/",AE407=""),"/",IF(ISNUMBER(SEARCH("普通",AE407)),0,IF(ISNUMBER(SEARCH("专用",AE407)),4,IF(ISNUMBER(SEARCH("定制",AE407)),7,IF(ISNUMBER(SEARCH("多个定制",AE407)),9,””)))))</f>
        <v>0</v>
      </c>
      <c r="AG407" s="176">
        <f t="shared" si="285"/>
        <v>14</v>
      </c>
      <c r="AH407" s="176" t="str">
        <f t="shared" si="286"/>
        <v>中Medium</v>
      </c>
      <c r="AI407" s="176" t="s">
        <v>144</v>
      </c>
      <c r="AJ407" s="176" t="str">
        <f t="shared" si="280"/>
        <v>保留
Retaining</v>
      </c>
      <c r="AK407" s="171" t="s">
        <v>145</v>
      </c>
      <c r="AL407" s="177" t="s">
        <v>145</v>
      </c>
      <c r="AM407" s="171" t="s">
        <v>145</v>
      </c>
      <c r="AN407" s="178" t="s">
        <v>1233</v>
      </c>
      <c r="AO407" s="178" t="s">
        <v>1234</v>
      </c>
    </row>
    <row r="408" s="116" customFormat="1" ht="17" customHeight="1" spans="1:41">
      <c r="A408" s="171">
        <v>405</v>
      </c>
      <c r="B408" s="179"/>
      <c r="C408" s="179"/>
      <c r="D408" s="179"/>
      <c r="E408" s="171"/>
      <c r="F408" s="171" t="s">
        <v>73</v>
      </c>
      <c r="G408" s="171"/>
      <c r="H408" s="171"/>
      <c r="I408" s="171"/>
      <c r="J408" s="171"/>
      <c r="K408" s="173" t="s">
        <v>1235</v>
      </c>
      <c r="L408" s="173" t="s">
        <v>1236</v>
      </c>
      <c r="M408" s="173" t="s">
        <v>553</v>
      </c>
      <c r="N408" s="174" t="s">
        <v>77</v>
      </c>
      <c r="O408" s="174" t="s">
        <v>77</v>
      </c>
      <c r="P408" s="174" t="s">
        <v>96</v>
      </c>
      <c r="Q408" s="174" t="s">
        <v>77</v>
      </c>
      <c r="R408" s="174" t="str">
        <f t="shared" si="287"/>
        <v>中等Medium</v>
      </c>
      <c r="S408" s="175" t="s">
        <v>96</v>
      </c>
      <c r="T408" s="175" t="s">
        <v>1237</v>
      </c>
      <c r="U408" s="175" t="s">
        <v>555</v>
      </c>
      <c r="V408" s="171" t="s">
        <v>1227</v>
      </c>
      <c r="W408" s="171" t="s">
        <v>142</v>
      </c>
      <c r="X408" s="176">
        <f t="shared" si="281"/>
        <v>4</v>
      </c>
      <c r="Y408" s="171" t="s">
        <v>83</v>
      </c>
      <c r="Z408" s="176">
        <f t="shared" si="282"/>
        <v>6</v>
      </c>
      <c r="AA408" s="171" t="s">
        <v>153</v>
      </c>
      <c r="AB408" s="176">
        <f t="shared" si="283"/>
        <v>0</v>
      </c>
      <c r="AC408" s="171" t="s">
        <v>85</v>
      </c>
      <c r="AD408" s="176">
        <f t="shared" si="284"/>
        <v>4</v>
      </c>
      <c r="AE408" s="171" t="s">
        <v>210</v>
      </c>
      <c r="AF408" s="176" cm="1">
        <f t="array" ref="AF408">IF(OR(AE408="/",AE408=""),"/",IF(ISNUMBER(SEARCH("普通",AE408)),0,IF(ISNUMBER(SEARCH("专用",AE408)),4,IF(ISNUMBER(SEARCH("定制",AE408)),7,IF(ISNUMBER(SEARCH("多个定制",AE408)),9,””)))))</f>
        <v>0</v>
      </c>
      <c r="AG408" s="176">
        <f t="shared" si="285"/>
        <v>14</v>
      </c>
      <c r="AH408" s="176" t="str">
        <f t="shared" si="286"/>
        <v>中Medium</v>
      </c>
      <c r="AI408" s="176" t="s">
        <v>144</v>
      </c>
      <c r="AJ408" s="176" t="str">
        <f t="shared" si="280"/>
        <v>保留
Retaining</v>
      </c>
      <c r="AK408" s="171" t="s">
        <v>145</v>
      </c>
      <c r="AL408" s="177" t="s">
        <v>145</v>
      </c>
      <c r="AM408" s="171" t="s">
        <v>145</v>
      </c>
      <c r="AN408" s="178" t="s">
        <v>270</v>
      </c>
      <c r="AO408" s="178" t="s">
        <v>271</v>
      </c>
    </row>
    <row r="409" s="116" customFormat="1" ht="17" customHeight="1" spans="1:41">
      <c r="A409" s="171">
        <v>406</v>
      </c>
      <c r="B409" s="179"/>
      <c r="C409" s="179"/>
      <c r="D409" s="179"/>
      <c r="E409" s="171"/>
      <c r="F409" s="171"/>
      <c r="G409" s="171" t="s">
        <v>73</v>
      </c>
      <c r="H409" s="171"/>
      <c r="I409" s="171"/>
      <c r="J409" s="171"/>
      <c r="K409" s="173" t="s">
        <v>1238</v>
      </c>
      <c r="L409" s="173" t="s">
        <v>1239</v>
      </c>
      <c r="M409" s="173" t="s">
        <v>1240</v>
      </c>
      <c r="N409" s="174" t="s">
        <v>96</v>
      </c>
      <c r="O409" s="174" t="s">
        <v>96</v>
      </c>
      <c r="P409" s="174" t="s">
        <v>96</v>
      </c>
      <c r="Q409" s="174" t="s">
        <v>77</v>
      </c>
      <c r="R409" s="174" t="str">
        <f t="shared" si="287"/>
        <v>中等Medium</v>
      </c>
      <c r="S409" s="175" t="s">
        <v>96</v>
      </c>
      <c r="T409" s="175" t="s">
        <v>1241</v>
      </c>
      <c r="U409" s="175" t="s">
        <v>1242</v>
      </c>
      <c r="V409" s="171" t="s">
        <v>1227</v>
      </c>
      <c r="W409" s="171" t="s">
        <v>142</v>
      </c>
      <c r="X409" s="176">
        <f t="shared" si="281"/>
        <v>4</v>
      </c>
      <c r="Y409" s="171" t="s">
        <v>83</v>
      </c>
      <c r="Z409" s="176">
        <f t="shared" si="282"/>
        <v>6</v>
      </c>
      <c r="AA409" s="171" t="s">
        <v>84</v>
      </c>
      <c r="AB409" s="176">
        <f t="shared" si="283"/>
        <v>3</v>
      </c>
      <c r="AC409" s="171" t="s">
        <v>85</v>
      </c>
      <c r="AD409" s="176">
        <f t="shared" si="284"/>
        <v>4</v>
      </c>
      <c r="AE409" s="171" t="s">
        <v>210</v>
      </c>
      <c r="AF409" s="176" cm="1">
        <f t="array" ref="AF409">IF(OR(AE409="/",AE409=""),"/",IF(ISNUMBER(SEARCH("普通",AE409)),0,IF(ISNUMBER(SEARCH("专用",AE409)),4,IF(ISNUMBER(SEARCH("定制",AE409)),7,IF(ISNUMBER(SEARCH("多个定制",AE409)),9,””)))))</f>
        <v>0</v>
      </c>
      <c r="AG409" s="176">
        <f t="shared" si="285"/>
        <v>17</v>
      </c>
      <c r="AH409" s="176" t="str">
        <f t="shared" si="286"/>
        <v>中Medium</v>
      </c>
      <c r="AI409" s="176" t="s">
        <v>144</v>
      </c>
      <c r="AJ409" s="176" t="str">
        <f t="shared" si="280"/>
        <v>保留
Retaining</v>
      </c>
      <c r="AK409" s="171" t="s">
        <v>145</v>
      </c>
      <c r="AL409" s="177" t="s">
        <v>145</v>
      </c>
      <c r="AM409" s="171" t="s">
        <v>145</v>
      </c>
      <c r="AN409" s="178" t="s">
        <v>1243</v>
      </c>
      <c r="AO409" s="178" t="s">
        <v>1244</v>
      </c>
    </row>
    <row r="410" s="116" customFormat="1" ht="17" customHeight="1" spans="1:41">
      <c r="A410" s="171">
        <v>407</v>
      </c>
      <c r="B410" s="179"/>
      <c r="C410" s="179"/>
      <c r="D410" s="179"/>
      <c r="E410" s="171"/>
      <c r="F410" s="171"/>
      <c r="G410" s="171" t="s">
        <v>73</v>
      </c>
      <c r="H410" s="171"/>
      <c r="I410" s="171"/>
      <c r="J410" s="171"/>
      <c r="K410" s="173" t="s">
        <v>1245</v>
      </c>
      <c r="L410" s="173" t="s">
        <v>1246</v>
      </c>
      <c r="M410" s="173" t="s">
        <v>150</v>
      </c>
      <c r="N410" s="174" t="s">
        <v>96</v>
      </c>
      <c r="O410" s="174" t="s">
        <v>96</v>
      </c>
      <c r="P410" s="174" t="s">
        <v>96</v>
      </c>
      <c r="Q410" s="174" t="s">
        <v>77</v>
      </c>
      <c r="R410" s="174" t="str">
        <f t="shared" si="287"/>
        <v>中等Medium</v>
      </c>
      <c r="S410" s="175" t="s">
        <v>96</v>
      </c>
      <c r="T410" s="175" t="s">
        <v>1247</v>
      </c>
      <c r="U410" s="175" t="s">
        <v>1248</v>
      </c>
      <c r="V410" s="171" t="s">
        <v>1227</v>
      </c>
      <c r="W410" s="171" t="s">
        <v>142</v>
      </c>
      <c r="X410" s="176">
        <f t="shared" si="281"/>
        <v>4</v>
      </c>
      <c r="Y410" s="171" t="s">
        <v>83</v>
      </c>
      <c r="Z410" s="176">
        <f t="shared" si="282"/>
        <v>6</v>
      </c>
      <c r="AA410" s="171" t="s">
        <v>153</v>
      </c>
      <c r="AB410" s="176">
        <f t="shared" si="283"/>
        <v>0</v>
      </c>
      <c r="AC410" s="171" t="s">
        <v>85</v>
      </c>
      <c r="AD410" s="176">
        <f t="shared" si="284"/>
        <v>4</v>
      </c>
      <c r="AE410" s="171" t="s">
        <v>210</v>
      </c>
      <c r="AF410" s="176" cm="1">
        <f t="array" ref="AF410">IF(OR(AE410="/",AE410=""),"/",IF(ISNUMBER(SEARCH("普通",AE410)),0,IF(ISNUMBER(SEARCH("专用",AE410)),4,IF(ISNUMBER(SEARCH("定制",AE410)),7,IF(ISNUMBER(SEARCH("多个定制",AE410)),9,””)))))</f>
        <v>0</v>
      </c>
      <c r="AG410" s="176">
        <f t="shared" si="285"/>
        <v>14</v>
      </c>
      <c r="AH410" s="176" t="str">
        <f t="shared" si="286"/>
        <v>中Medium</v>
      </c>
      <c r="AI410" s="176" t="s">
        <v>144</v>
      </c>
      <c r="AJ410" s="176" t="str">
        <f t="shared" si="280"/>
        <v>保留
Retaining</v>
      </c>
      <c r="AK410" s="171" t="s">
        <v>145</v>
      </c>
      <c r="AL410" s="177" t="s">
        <v>145</v>
      </c>
      <c r="AM410" s="171" t="s">
        <v>145</v>
      </c>
      <c r="AN410" s="178" t="s">
        <v>1249</v>
      </c>
      <c r="AO410" s="178" t="s">
        <v>1250</v>
      </c>
    </row>
    <row r="411" s="116" customFormat="1" ht="17" customHeight="1" spans="1:41">
      <c r="A411" s="171">
        <v>408</v>
      </c>
      <c r="B411" s="179"/>
      <c r="C411" s="179"/>
      <c r="D411" s="179"/>
      <c r="E411" s="171"/>
      <c r="F411" s="171"/>
      <c r="G411" s="171"/>
      <c r="H411" s="171" t="s">
        <v>73</v>
      </c>
      <c r="I411" s="171"/>
      <c r="J411" s="171"/>
      <c r="K411" s="173" t="s">
        <v>1251</v>
      </c>
      <c r="L411" s="173" t="s">
        <v>1252</v>
      </c>
      <c r="M411" s="173" t="s">
        <v>589</v>
      </c>
      <c r="N411" s="174" t="s">
        <v>77</v>
      </c>
      <c r="O411" s="174" t="s">
        <v>77</v>
      </c>
      <c r="P411" s="174" t="s">
        <v>96</v>
      </c>
      <c r="Q411" s="174" t="s">
        <v>77</v>
      </c>
      <c r="R411" s="174" t="str">
        <f t="shared" si="287"/>
        <v>中等Medium</v>
      </c>
      <c r="S411" s="175" t="s">
        <v>96</v>
      </c>
      <c r="T411" s="175" t="s">
        <v>1253</v>
      </c>
      <c r="U411" s="175" t="s">
        <v>591</v>
      </c>
      <c r="V411" s="171" t="s">
        <v>1227</v>
      </c>
      <c r="W411" s="171" t="s">
        <v>142</v>
      </c>
      <c r="X411" s="176">
        <f t="shared" si="281"/>
        <v>4</v>
      </c>
      <c r="Y411" s="171" t="s">
        <v>83</v>
      </c>
      <c r="Z411" s="176">
        <f t="shared" si="282"/>
        <v>6</v>
      </c>
      <c r="AA411" s="171" t="s">
        <v>153</v>
      </c>
      <c r="AB411" s="176">
        <f t="shared" si="283"/>
        <v>0</v>
      </c>
      <c r="AC411" s="171" t="s">
        <v>85</v>
      </c>
      <c r="AD411" s="176">
        <f t="shared" si="284"/>
        <v>4</v>
      </c>
      <c r="AE411" s="171" t="s">
        <v>210</v>
      </c>
      <c r="AF411" s="176" cm="1">
        <f t="array" ref="AF411">IF(OR(AE411="/",AE411=""),"/",IF(ISNUMBER(SEARCH("普通",AE411)),0,IF(ISNUMBER(SEARCH("专用",AE411)),4,IF(ISNUMBER(SEARCH("定制",AE411)),7,IF(ISNUMBER(SEARCH("多个定制",AE411)),9,””)))))</f>
        <v>0</v>
      </c>
      <c r="AG411" s="176">
        <f t="shared" si="285"/>
        <v>14</v>
      </c>
      <c r="AH411" s="176" t="str">
        <f t="shared" si="286"/>
        <v>中Medium</v>
      </c>
      <c r="AI411" s="176" t="s">
        <v>144</v>
      </c>
      <c r="AJ411" s="176" t="str">
        <f t="shared" si="280"/>
        <v>保留
Retaining</v>
      </c>
      <c r="AK411" s="171" t="s">
        <v>145</v>
      </c>
      <c r="AL411" s="177" t="s">
        <v>145</v>
      </c>
      <c r="AM411" s="171" t="s">
        <v>145</v>
      </c>
      <c r="AN411" s="178" t="s">
        <v>592</v>
      </c>
      <c r="AO411" s="178" t="s">
        <v>593</v>
      </c>
    </row>
    <row r="412" s="116" customFormat="1" ht="17" customHeight="1" spans="1:41">
      <c r="A412" s="171">
        <v>409</v>
      </c>
      <c r="B412" s="179"/>
      <c r="C412" s="179"/>
      <c r="D412" s="179"/>
      <c r="E412" s="171"/>
      <c r="F412" s="171"/>
      <c r="G412" s="171"/>
      <c r="H412" s="171"/>
      <c r="I412" s="171" t="s">
        <v>183</v>
      </c>
      <c r="J412" s="171"/>
      <c r="K412" s="173" t="s">
        <v>145</v>
      </c>
      <c r="L412" s="173" t="s">
        <v>145</v>
      </c>
      <c r="M412" s="173" t="s">
        <v>145</v>
      </c>
      <c r="N412" s="174" t="s">
        <v>145</v>
      </c>
      <c r="O412" s="174" t="s">
        <v>145</v>
      </c>
      <c r="P412" s="174" t="s">
        <v>145</v>
      </c>
      <c r="Q412" s="174" t="s">
        <v>145</v>
      </c>
      <c r="R412" s="174" t="s">
        <v>145</v>
      </c>
      <c r="S412" s="175" t="s">
        <v>145</v>
      </c>
      <c r="T412" s="175" t="s">
        <v>145</v>
      </c>
      <c r="U412" s="175" t="s">
        <v>145</v>
      </c>
      <c r="V412" s="171" t="s">
        <v>145</v>
      </c>
      <c r="W412" s="171" t="s">
        <v>145</v>
      </c>
      <c r="X412" s="176" t="s">
        <v>145</v>
      </c>
      <c r="Y412" s="171" t="s">
        <v>145</v>
      </c>
      <c r="Z412" s="176" t="s">
        <v>145</v>
      </c>
      <c r="AA412" s="171" t="s">
        <v>145</v>
      </c>
      <c r="AB412" s="176" t="s">
        <v>145</v>
      </c>
      <c r="AC412" s="171" t="s">
        <v>145</v>
      </c>
      <c r="AD412" s="176" t="s">
        <v>145</v>
      </c>
      <c r="AE412" s="171" t="s">
        <v>145</v>
      </c>
      <c r="AF412" s="176" t="str" cm="1">
        <f t="array" ref="AF412">IF(OR(AE412="/",AE412=""),"/",IF(ISNUMBER(SEARCH("普通",AE412)),0,IF(ISNUMBER(SEARCH("专用",AE412)),4,IF(ISNUMBER(SEARCH("定制",AE412)),7,IF(ISNUMBER(SEARCH("多个定制",AE412)),9,””)))))</f>
        <v>/</v>
      </c>
      <c r="AG412" s="176" t="s">
        <v>145</v>
      </c>
      <c r="AH412" s="176" t="s">
        <v>145</v>
      </c>
      <c r="AI412" s="176" t="s">
        <v>145</v>
      </c>
      <c r="AJ412" s="176" t="str">
        <f t="shared" si="280"/>
        <v>/</v>
      </c>
      <c r="AK412" s="171" t="s">
        <v>145</v>
      </c>
      <c r="AL412" s="177" t="s">
        <v>145</v>
      </c>
      <c r="AM412" s="177" t="s">
        <v>145</v>
      </c>
      <c r="AN412" s="177" t="s">
        <v>145</v>
      </c>
      <c r="AO412" s="177" t="s">
        <v>145</v>
      </c>
    </row>
    <row r="413" s="116" customFormat="1" ht="17" customHeight="1" spans="1:41">
      <c r="A413" s="171">
        <v>410</v>
      </c>
      <c r="B413" s="181"/>
      <c r="C413" s="181"/>
      <c r="D413" s="181"/>
      <c r="E413" s="171"/>
      <c r="F413" s="171"/>
      <c r="G413" s="171"/>
      <c r="H413" s="171"/>
      <c r="I413" s="171"/>
      <c r="J413" s="171" t="s">
        <v>183</v>
      </c>
      <c r="K413" s="173" t="s">
        <v>145</v>
      </c>
      <c r="L413" s="173" t="s">
        <v>145</v>
      </c>
      <c r="M413" s="173" t="s">
        <v>145</v>
      </c>
      <c r="N413" s="174" t="s">
        <v>145</v>
      </c>
      <c r="O413" s="174" t="s">
        <v>145</v>
      </c>
      <c r="P413" s="174" t="s">
        <v>145</v>
      </c>
      <c r="Q413" s="174" t="s">
        <v>145</v>
      </c>
      <c r="R413" s="174" t="s">
        <v>145</v>
      </c>
      <c r="S413" s="175" t="s">
        <v>145</v>
      </c>
      <c r="T413" s="175" t="s">
        <v>145</v>
      </c>
      <c r="U413" s="175" t="s">
        <v>145</v>
      </c>
      <c r="V413" s="171" t="s">
        <v>145</v>
      </c>
      <c r="W413" s="171" t="s">
        <v>145</v>
      </c>
      <c r="X413" s="176" t="s">
        <v>145</v>
      </c>
      <c r="Y413" s="171" t="s">
        <v>145</v>
      </c>
      <c r="Z413" s="176" t="s">
        <v>145</v>
      </c>
      <c r="AA413" s="171" t="s">
        <v>145</v>
      </c>
      <c r="AB413" s="176" t="s">
        <v>145</v>
      </c>
      <c r="AC413" s="171" t="s">
        <v>145</v>
      </c>
      <c r="AD413" s="176" t="s">
        <v>145</v>
      </c>
      <c r="AE413" s="171" t="s">
        <v>145</v>
      </c>
      <c r="AF413" s="176" t="str" cm="1">
        <f t="array" ref="AF413">IF(OR(AE413="/",AE413=""),"/",IF(ISNUMBER(SEARCH("普通",AE413)),0,IF(ISNUMBER(SEARCH("专用",AE413)),4,IF(ISNUMBER(SEARCH("定制",AE413)),7,IF(ISNUMBER(SEARCH("多个定制",AE413)),9,””)))))</f>
        <v>/</v>
      </c>
      <c r="AG413" s="176" t="s">
        <v>145</v>
      </c>
      <c r="AH413" s="176" t="s">
        <v>145</v>
      </c>
      <c r="AI413" s="176" t="s">
        <v>145</v>
      </c>
      <c r="AJ413" s="176" t="str">
        <f t="shared" si="280"/>
        <v>/</v>
      </c>
      <c r="AK413" s="171" t="s">
        <v>145</v>
      </c>
      <c r="AL413" s="177" t="s">
        <v>145</v>
      </c>
      <c r="AM413" s="177" t="s">
        <v>145</v>
      </c>
      <c r="AN413" s="177" t="s">
        <v>145</v>
      </c>
      <c r="AO413" s="177" t="s">
        <v>145</v>
      </c>
    </row>
    <row r="414" s="116" customFormat="1" ht="17" customHeight="1" spans="1:41">
      <c r="A414" s="171">
        <v>411</v>
      </c>
      <c r="B414" s="172" t="s">
        <v>1254</v>
      </c>
      <c r="C414" s="171" t="s">
        <v>1221</v>
      </c>
      <c r="D414" s="173" t="s">
        <v>1255</v>
      </c>
      <c r="E414" s="171" t="s">
        <v>73</v>
      </c>
      <c r="F414" s="171"/>
      <c r="G414" s="171"/>
      <c r="H414" s="171"/>
      <c r="I414" s="171"/>
      <c r="J414" s="171"/>
      <c r="K414" s="173" t="s">
        <v>1256</v>
      </c>
      <c r="L414" s="173" t="s">
        <v>1257</v>
      </c>
      <c r="M414" s="173" t="s">
        <v>95</v>
      </c>
      <c r="N414" s="174" t="s">
        <v>77</v>
      </c>
      <c r="O414" s="174" t="s">
        <v>77</v>
      </c>
      <c r="P414" s="174" t="s">
        <v>77</v>
      </c>
      <c r="Q414" s="174" t="s">
        <v>78</v>
      </c>
      <c r="R414" s="174" t="str">
        <f t="shared" ref="R414:R420" si="288">IF(OR(N414="严重Severe",O414="严重Severe",P414="严重Severe",Q414="严重Severe"),"严重Severe",IF(OR(N414="主要Major",O414="主要Major",P414="主要Major",Q414="主要Major"),"主要Major",IF(OR(N414="中等Medium",O414="中等Medium",P414="中等Medium",Q414="中等Medium"),"中等Medium",IF(OR(N414="可忽略不计Negligible",O414="可忽略不计Negligible",P414="可忽略不计Negligible",Q414="可忽略不计Negligible"),"可忽略不计Negligible","/"))))</f>
        <v>主要Major</v>
      </c>
      <c r="S414" s="175" t="s">
        <v>78</v>
      </c>
      <c r="T414" s="175" t="s">
        <v>1258</v>
      </c>
      <c r="U414" s="175" t="s">
        <v>1259</v>
      </c>
      <c r="V414" s="171" t="s">
        <v>1260</v>
      </c>
      <c r="W414" s="171" t="s">
        <v>82</v>
      </c>
      <c r="X414" s="176">
        <f t="shared" ref="X414:X420" si="289">IF(OR(W414="/",W414=""),"/",IF(ISNUMBER(SEARCH("1天",W414)),0,IF(ISNUMBER(SEARCH("一周",W414)),1,IF(ISNUMBER(SEARCH("1个月",W414)),4,IF(ISNUMBER(SEARCH("超过",W414)),19,IF(ISNUMBER(SEARCH("6个月",W414)),17,""))))))</f>
        <v>0</v>
      </c>
      <c r="Y414" s="171" t="s">
        <v>83</v>
      </c>
      <c r="Z414" s="176">
        <f t="shared" ref="Z414:Z420" si="290">IF(OR(Y414="/",Y414=""),"/",IF(ISNUMBER(SEARCH("新手",Y414)),0,IF(ISNUMBER(SEARCH("熟练",Y414)),3,IF(ISNUMBER(SEARCH("多位",Y414)),17,IF(ISNUMBER(SEARCH("专家",Y414)),6,"")))))</f>
        <v>6</v>
      </c>
      <c r="AA414" s="171" t="s">
        <v>153</v>
      </c>
      <c r="AB414" s="176">
        <f t="shared" ref="AB414:AB420" si="291">IF(OR(AA414="/",AA414=""),"/",IF(ISNUMBER(SEARCH("公开",AA414)),0,IF(ISNUMBER(SEARCH("限制性信息",AA414)),3,IF(ISNUMBER(SEARCH("机密信息",AA414)),7,IF(ISNUMBER(SEARCH("严格保密",AA414)),11,"")))))</f>
        <v>0</v>
      </c>
      <c r="AC414" s="171" t="s">
        <v>1261</v>
      </c>
      <c r="AD414" s="176">
        <f t="shared" ref="AD414:AD420" si="292">IF(OR(AC414="/",AC414=""),"/",IF(ISNUMBER(SEARCH("无限制",AC414)),0,IF(ISNUMBER(SEARCH("容易",AC414)),1,IF(ISNUMBER(SEARCH("一般",AC414)),4,IF(ISNUMBER(SEARCH("困难",AC414)),10,"")))))</f>
        <v>0</v>
      </c>
      <c r="AE414" s="171" t="s">
        <v>143</v>
      </c>
      <c r="AF414" s="176" cm="1">
        <f t="array" ref="AF414">IF(OR(AE414="/",AE414=""),"/",IF(ISNUMBER(SEARCH("普通",AE414)),0,IF(ISNUMBER(SEARCH("专用",AE414)),4,IF(ISNUMBER(SEARCH("定制",AE414)),7,IF(ISNUMBER(SEARCH("多个定制",AE414)),9,””)))))</f>
        <v>7</v>
      </c>
      <c r="AG414" s="176">
        <f t="shared" ref="AG414:AG420" si="293">IF(OR(X414="/",Z414="/",AB414="/",AD414="/",AF414="/"),"/",X414+Z414+AB414+AD414+AF414)</f>
        <v>13</v>
      </c>
      <c r="AH414" s="176" t="str">
        <f t="shared" ref="AH414:AH420" si="294">IF(AND(AG414&gt;=0,AG414&lt;14),"高High",IF(AND(AG414&gt;=14,AG414&lt;20),"中Medium",IF(AND(AG414&gt;=20,AG414&lt;25),"低Low",IF(AND(AG414&gt;=25,AG414&lt;57),"非常低Very low",""))))</f>
        <v>高High</v>
      </c>
      <c r="AI414" s="176" t="s">
        <v>112</v>
      </c>
      <c r="AJ414" s="176" t="str">
        <f t="shared" si="280"/>
        <v>消除
Avoiding</v>
      </c>
      <c r="AK414" s="171" t="s">
        <v>1262</v>
      </c>
      <c r="AL414" s="177" t="s">
        <v>1263</v>
      </c>
      <c r="AM414" s="180" t="s">
        <v>101</v>
      </c>
      <c r="AN414" s="178" t="s">
        <v>592</v>
      </c>
      <c r="AO414" s="178" t="s">
        <v>1264</v>
      </c>
    </row>
    <row r="415" s="116" customFormat="1" ht="17" customHeight="1" spans="1:41">
      <c r="A415" s="171">
        <v>412</v>
      </c>
      <c r="B415" s="179"/>
      <c r="C415" s="179"/>
      <c r="D415" s="179"/>
      <c r="E415" s="171" t="s">
        <v>73</v>
      </c>
      <c r="F415" s="171"/>
      <c r="G415" s="171"/>
      <c r="H415" s="171"/>
      <c r="I415" s="171"/>
      <c r="J415" s="171"/>
      <c r="K415" s="173" t="s">
        <v>1265</v>
      </c>
      <c r="L415" s="173" t="s">
        <v>1266</v>
      </c>
      <c r="M415" s="173" t="s">
        <v>1230</v>
      </c>
      <c r="N415" s="174" t="s">
        <v>77</v>
      </c>
      <c r="O415" s="174" t="s">
        <v>77</v>
      </c>
      <c r="P415" s="174" t="s">
        <v>77</v>
      </c>
      <c r="Q415" s="174" t="s">
        <v>78</v>
      </c>
      <c r="R415" s="174" t="str">
        <f t="shared" si="288"/>
        <v>主要Major</v>
      </c>
      <c r="S415" s="175" t="s">
        <v>107</v>
      </c>
      <c r="T415" s="175" t="s">
        <v>1267</v>
      </c>
      <c r="U415" s="175" t="s">
        <v>1268</v>
      </c>
      <c r="V415" s="171" t="s">
        <v>1269</v>
      </c>
      <c r="W415" s="171" t="s">
        <v>111</v>
      </c>
      <c r="X415" s="176">
        <f t="shared" si="289"/>
        <v>1</v>
      </c>
      <c r="Y415" s="171" t="s">
        <v>177</v>
      </c>
      <c r="Z415" s="176">
        <f t="shared" si="290"/>
        <v>3</v>
      </c>
      <c r="AA415" s="171" t="s">
        <v>153</v>
      </c>
      <c r="AB415" s="176">
        <f t="shared" si="291"/>
        <v>0</v>
      </c>
      <c r="AC415" s="171" t="s">
        <v>191</v>
      </c>
      <c r="AD415" s="176">
        <f t="shared" si="292"/>
        <v>1</v>
      </c>
      <c r="AE415" s="171" t="s">
        <v>210</v>
      </c>
      <c r="AF415" s="176" cm="1">
        <f t="array" ref="AF415">IF(OR(AE415="/",AE415=""),"/",IF(ISNUMBER(SEARCH("普通",AE415)),0,IF(ISNUMBER(SEARCH("专用",AE415)),4,IF(ISNUMBER(SEARCH("定制",AE415)),7,IF(ISNUMBER(SEARCH("多个定制",AE415)),9,””)))))</f>
        <v>0</v>
      </c>
      <c r="AG415" s="176">
        <f t="shared" si="293"/>
        <v>5</v>
      </c>
      <c r="AH415" s="176" t="str">
        <f t="shared" si="294"/>
        <v>高High</v>
      </c>
      <c r="AI415" s="176" t="s">
        <v>87</v>
      </c>
      <c r="AJ415" s="176" t="str">
        <f t="shared" si="280"/>
        <v>降低
Reucing</v>
      </c>
      <c r="AK415" s="171" t="s">
        <v>1270</v>
      </c>
      <c r="AL415" s="177" t="s">
        <v>1271</v>
      </c>
      <c r="AM415" s="180" t="s">
        <v>1272</v>
      </c>
      <c r="AN415" s="178" t="s">
        <v>1273</v>
      </c>
      <c r="AO415" s="178" t="s">
        <v>1274</v>
      </c>
    </row>
    <row r="416" s="116" customFormat="1" ht="17" customHeight="1" spans="1:41">
      <c r="A416" s="171">
        <v>413</v>
      </c>
      <c r="B416" s="179"/>
      <c r="C416" s="179"/>
      <c r="D416" s="179"/>
      <c r="E416" s="171"/>
      <c r="F416" s="171" t="s">
        <v>73</v>
      </c>
      <c r="G416" s="171"/>
      <c r="H416" s="171"/>
      <c r="I416" s="171"/>
      <c r="J416" s="171"/>
      <c r="K416" s="173" t="s">
        <v>1275</v>
      </c>
      <c r="L416" s="173" t="s">
        <v>1276</v>
      </c>
      <c r="M416" s="173" t="s">
        <v>553</v>
      </c>
      <c r="N416" s="174" t="s">
        <v>77</v>
      </c>
      <c r="O416" s="174" t="s">
        <v>77</v>
      </c>
      <c r="P416" s="174" t="s">
        <v>96</v>
      </c>
      <c r="Q416" s="174" t="s">
        <v>78</v>
      </c>
      <c r="R416" s="174" t="str">
        <f t="shared" si="288"/>
        <v>主要Major</v>
      </c>
      <c r="S416" s="175" t="s">
        <v>107</v>
      </c>
      <c r="T416" s="175" t="s">
        <v>1277</v>
      </c>
      <c r="U416" s="175" t="s">
        <v>1278</v>
      </c>
      <c r="V416" s="171" t="s">
        <v>1279</v>
      </c>
      <c r="W416" s="171" t="s">
        <v>82</v>
      </c>
      <c r="X416" s="176">
        <f t="shared" si="289"/>
        <v>0</v>
      </c>
      <c r="Y416" s="171" t="s">
        <v>83</v>
      </c>
      <c r="Z416" s="176">
        <f t="shared" si="290"/>
        <v>6</v>
      </c>
      <c r="AA416" s="171" t="s">
        <v>153</v>
      </c>
      <c r="AB416" s="176">
        <f t="shared" si="291"/>
        <v>0</v>
      </c>
      <c r="AC416" s="171" t="s">
        <v>1261</v>
      </c>
      <c r="AD416" s="176">
        <f t="shared" si="292"/>
        <v>0</v>
      </c>
      <c r="AE416" s="171" t="s">
        <v>210</v>
      </c>
      <c r="AF416" s="176" cm="1">
        <f t="array" ref="AF416">IF(OR(AE416="/",AE416=""),"/",IF(ISNUMBER(SEARCH("普通",AE416)),0,IF(ISNUMBER(SEARCH("专用",AE416)),4,IF(ISNUMBER(SEARCH("定制",AE416)),7,IF(ISNUMBER(SEARCH("多个定制",AE416)),9,””)))))</f>
        <v>0</v>
      </c>
      <c r="AG416" s="176">
        <f t="shared" si="293"/>
        <v>6</v>
      </c>
      <c r="AH416" s="176" t="str">
        <f t="shared" si="294"/>
        <v>高High</v>
      </c>
      <c r="AI416" s="176" t="s">
        <v>87</v>
      </c>
      <c r="AJ416" s="176" t="str">
        <f t="shared" si="280"/>
        <v>降低
Reucing</v>
      </c>
      <c r="AK416" s="171" t="s">
        <v>1280</v>
      </c>
      <c r="AL416" s="177" t="s">
        <v>1281</v>
      </c>
      <c r="AM416" s="180" t="s">
        <v>101</v>
      </c>
      <c r="AN416" s="178" t="s">
        <v>592</v>
      </c>
      <c r="AO416" s="178" t="s">
        <v>1264</v>
      </c>
    </row>
    <row r="417" s="116" customFormat="1" ht="17" customHeight="1" spans="1:41">
      <c r="A417" s="171">
        <v>414</v>
      </c>
      <c r="B417" s="179"/>
      <c r="C417" s="179"/>
      <c r="D417" s="179"/>
      <c r="E417" s="171"/>
      <c r="F417" s="171"/>
      <c r="G417" s="171" t="s">
        <v>73</v>
      </c>
      <c r="H417" s="171"/>
      <c r="I417" s="171"/>
      <c r="J417" s="171"/>
      <c r="K417" s="173" t="s">
        <v>1282</v>
      </c>
      <c r="L417" s="173" t="s">
        <v>1283</v>
      </c>
      <c r="M417" s="173" t="s">
        <v>1240</v>
      </c>
      <c r="N417" s="174" t="s">
        <v>77</v>
      </c>
      <c r="O417" s="174" t="s">
        <v>77</v>
      </c>
      <c r="P417" s="174" t="s">
        <v>96</v>
      </c>
      <c r="Q417" s="174" t="s">
        <v>78</v>
      </c>
      <c r="R417" s="174" t="str">
        <f t="shared" si="288"/>
        <v>主要Major</v>
      </c>
      <c r="S417" s="175" t="s">
        <v>107</v>
      </c>
      <c r="T417" s="175" t="s">
        <v>1284</v>
      </c>
      <c r="U417" s="175" t="s">
        <v>1285</v>
      </c>
      <c r="V417" s="171" t="s">
        <v>1286</v>
      </c>
      <c r="W417" s="171" t="s">
        <v>82</v>
      </c>
      <c r="X417" s="176">
        <f t="shared" si="289"/>
        <v>0</v>
      </c>
      <c r="Y417" s="171" t="s">
        <v>177</v>
      </c>
      <c r="Z417" s="176">
        <f t="shared" si="290"/>
        <v>3</v>
      </c>
      <c r="AA417" s="171" t="s">
        <v>84</v>
      </c>
      <c r="AB417" s="176">
        <f t="shared" si="291"/>
        <v>3</v>
      </c>
      <c r="AC417" s="171" t="s">
        <v>85</v>
      </c>
      <c r="AD417" s="176">
        <f t="shared" si="292"/>
        <v>4</v>
      </c>
      <c r="AE417" s="171" t="s">
        <v>210</v>
      </c>
      <c r="AF417" s="176" cm="1">
        <f t="array" ref="AF417">IF(OR(AE417="/",AE417=""),"/",IF(ISNUMBER(SEARCH("普通",AE417)),0,IF(ISNUMBER(SEARCH("专用",AE417)),4,IF(ISNUMBER(SEARCH("定制",AE417)),7,IF(ISNUMBER(SEARCH("多个定制",AE417)),9,””)))))</f>
        <v>0</v>
      </c>
      <c r="AG417" s="176">
        <f t="shared" si="293"/>
        <v>10</v>
      </c>
      <c r="AH417" s="176" t="str">
        <f t="shared" si="294"/>
        <v>高High</v>
      </c>
      <c r="AI417" s="176" t="s">
        <v>87</v>
      </c>
      <c r="AJ417" s="176" t="str">
        <f t="shared" si="280"/>
        <v>降低
Reucing</v>
      </c>
      <c r="AK417" s="171" t="s">
        <v>1287</v>
      </c>
      <c r="AL417" s="177" t="s">
        <v>1288</v>
      </c>
      <c r="AM417" s="180" t="s">
        <v>1289</v>
      </c>
      <c r="AN417" s="178" t="s">
        <v>1290</v>
      </c>
      <c r="AO417" s="178" t="s">
        <v>1291</v>
      </c>
    </row>
    <row r="418" s="116" customFormat="1" ht="17" customHeight="1" spans="1:41">
      <c r="A418" s="171">
        <v>415</v>
      </c>
      <c r="B418" s="179"/>
      <c r="C418" s="179"/>
      <c r="D418" s="179"/>
      <c r="E418" s="171"/>
      <c r="F418" s="171"/>
      <c r="G418" s="171" t="s">
        <v>73</v>
      </c>
      <c r="H418" s="171"/>
      <c r="I418" s="171"/>
      <c r="J418" s="171"/>
      <c r="K418" s="173" t="s">
        <v>1292</v>
      </c>
      <c r="L418" s="173" t="s">
        <v>1293</v>
      </c>
      <c r="M418" s="173" t="s">
        <v>150</v>
      </c>
      <c r="N418" s="174" t="s">
        <v>77</v>
      </c>
      <c r="O418" s="174" t="s">
        <v>77</v>
      </c>
      <c r="P418" s="174" t="s">
        <v>96</v>
      </c>
      <c r="Q418" s="174" t="s">
        <v>78</v>
      </c>
      <c r="R418" s="174" t="str">
        <f t="shared" si="288"/>
        <v>主要Major</v>
      </c>
      <c r="S418" s="175" t="s">
        <v>107</v>
      </c>
      <c r="T418" s="175" t="s">
        <v>1294</v>
      </c>
      <c r="U418" s="175" t="s">
        <v>1295</v>
      </c>
      <c r="V418" s="171" t="s">
        <v>1296</v>
      </c>
      <c r="W418" s="171" t="s">
        <v>111</v>
      </c>
      <c r="X418" s="176">
        <f t="shared" si="289"/>
        <v>1</v>
      </c>
      <c r="Y418" s="171" t="s">
        <v>83</v>
      </c>
      <c r="Z418" s="176">
        <f t="shared" si="290"/>
        <v>6</v>
      </c>
      <c r="AA418" s="171" t="s">
        <v>84</v>
      </c>
      <c r="AB418" s="176">
        <f t="shared" si="291"/>
        <v>3</v>
      </c>
      <c r="AC418" s="171" t="s">
        <v>85</v>
      </c>
      <c r="AD418" s="176">
        <f t="shared" si="292"/>
        <v>4</v>
      </c>
      <c r="AE418" s="171" t="s">
        <v>210</v>
      </c>
      <c r="AF418" s="176" cm="1">
        <f t="array" ref="AF418">IF(OR(AE418="/",AE418=""),"/",IF(ISNUMBER(SEARCH("普通",AE418)),0,IF(ISNUMBER(SEARCH("专用",AE418)),4,IF(ISNUMBER(SEARCH("定制",AE418)),7,IF(ISNUMBER(SEARCH("多个定制",AE418)),9,””)))))</f>
        <v>0</v>
      </c>
      <c r="AG418" s="176">
        <f t="shared" si="293"/>
        <v>14</v>
      </c>
      <c r="AH418" s="176" t="str">
        <f t="shared" si="294"/>
        <v>中Medium</v>
      </c>
      <c r="AI418" s="176" t="s">
        <v>934</v>
      </c>
      <c r="AJ418" s="176" t="str">
        <f t="shared" si="280"/>
        <v>保留
Retaining</v>
      </c>
      <c r="AK418" s="171" t="s">
        <v>145</v>
      </c>
      <c r="AL418" s="177" t="s">
        <v>145</v>
      </c>
      <c r="AM418" s="171" t="s">
        <v>145</v>
      </c>
      <c r="AN418" s="178" t="s">
        <v>429</v>
      </c>
      <c r="AO418" s="178" t="s">
        <v>430</v>
      </c>
    </row>
    <row r="419" s="116" customFormat="1" ht="17" customHeight="1" spans="1:41">
      <c r="A419" s="171">
        <v>416</v>
      </c>
      <c r="B419" s="179"/>
      <c r="C419" s="179"/>
      <c r="D419" s="179"/>
      <c r="E419" s="171"/>
      <c r="F419" s="171"/>
      <c r="G419" s="171"/>
      <c r="H419" s="171" t="s">
        <v>73</v>
      </c>
      <c r="I419" s="171"/>
      <c r="J419" s="171"/>
      <c r="K419" s="173" t="s">
        <v>1297</v>
      </c>
      <c r="L419" s="173" t="s">
        <v>1298</v>
      </c>
      <c r="M419" s="173" t="s">
        <v>589</v>
      </c>
      <c r="N419" s="174" t="s">
        <v>77</v>
      </c>
      <c r="O419" s="174" t="s">
        <v>77</v>
      </c>
      <c r="P419" s="174" t="s">
        <v>96</v>
      </c>
      <c r="Q419" s="174" t="s">
        <v>78</v>
      </c>
      <c r="R419" s="174" t="str">
        <f t="shared" si="288"/>
        <v>主要Major</v>
      </c>
      <c r="S419" s="175" t="s">
        <v>107</v>
      </c>
      <c r="T419" s="175" t="s">
        <v>1299</v>
      </c>
      <c r="U419" s="175" t="s">
        <v>1300</v>
      </c>
      <c r="V419" s="171" t="s">
        <v>1301</v>
      </c>
      <c r="W419" s="171" t="s">
        <v>111</v>
      </c>
      <c r="X419" s="176">
        <f t="shared" si="289"/>
        <v>1</v>
      </c>
      <c r="Y419" s="171" t="s">
        <v>83</v>
      </c>
      <c r="Z419" s="176">
        <f t="shared" si="290"/>
        <v>6</v>
      </c>
      <c r="AA419" s="171" t="s">
        <v>153</v>
      </c>
      <c r="AB419" s="176">
        <f t="shared" si="291"/>
        <v>0</v>
      </c>
      <c r="AC419" s="171" t="s">
        <v>1261</v>
      </c>
      <c r="AD419" s="176">
        <f t="shared" si="292"/>
        <v>0</v>
      </c>
      <c r="AE419" s="171" t="s">
        <v>210</v>
      </c>
      <c r="AF419" s="176" cm="1">
        <f t="array" ref="AF419">IF(OR(AE419="/",AE419=""),"/",IF(ISNUMBER(SEARCH("普通",AE419)),0,IF(ISNUMBER(SEARCH("专用",AE419)),4,IF(ISNUMBER(SEARCH("定制",AE419)),7,IF(ISNUMBER(SEARCH("多个定制",AE419)),9,””)))))</f>
        <v>0</v>
      </c>
      <c r="AG419" s="176">
        <f t="shared" si="293"/>
        <v>7</v>
      </c>
      <c r="AH419" s="176" t="str">
        <f t="shared" si="294"/>
        <v>高High</v>
      </c>
      <c r="AI419" s="176" t="s">
        <v>87</v>
      </c>
      <c r="AJ419" s="176" t="str">
        <f t="shared" si="280"/>
        <v>降低
Reucing</v>
      </c>
      <c r="AK419" s="171" t="s">
        <v>1302</v>
      </c>
      <c r="AL419" s="177" t="s">
        <v>1303</v>
      </c>
      <c r="AM419" s="180" t="s">
        <v>213</v>
      </c>
      <c r="AN419" s="178" t="s">
        <v>270</v>
      </c>
      <c r="AO419" s="178" t="s">
        <v>1304</v>
      </c>
    </row>
    <row r="420" s="116" customFormat="1" ht="17" customHeight="1" spans="1:41">
      <c r="A420" s="171">
        <v>417</v>
      </c>
      <c r="B420" s="179"/>
      <c r="C420" s="179"/>
      <c r="D420" s="179"/>
      <c r="E420" s="171"/>
      <c r="F420" s="171"/>
      <c r="G420" s="171"/>
      <c r="H420" s="171" t="s">
        <v>73</v>
      </c>
      <c r="I420" s="171"/>
      <c r="J420" s="171"/>
      <c r="K420" s="173" t="s">
        <v>1305</v>
      </c>
      <c r="L420" s="173" t="s">
        <v>1306</v>
      </c>
      <c r="M420" s="173" t="s">
        <v>589</v>
      </c>
      <c r="N420" s="174" t="s">
        <v>77</v>
      </c>
      <c r="O420" s="174" t="s">
        <v>77</v>
      </c>
      <c r="P420" s="174" t="s">
        <v>96</v>
      </c>
      <c r="Q420" s="174" t="s">
        <v>78</v>
      </c>
      <c r="R420" s="174" t="str">
        <f t="shared" si="288"/>
        <v>主要Major</v>
      </c>
      <c r="S420" s="175" t="s">
        <v>107</v>
      </c>
      <c r="T420" s="175" t="s">
        <v>1307</v>
      </c>
      <c r="U420" s="175" t="s">
        <v>1308</v>
      </c>
      <c r="V420" s="171" t="s">
        <v>1309</v>
      </c>
      <c r="W420" s="171" t="s">
        <v>82</v>
      </c>
      <c r="X420" s="176">
        <f t="shared" si="289"/>
        <v>0</v>
      </c>
      <c r="Y420" s="171" t="s">
        <v>83</v>
      </c>
      <c r="Z420" s="176">
        <f t="shared" si="290"/>
        <v>6</v>
      </c>
      <c r="AA420" s="171" t="s">
        <v>153</v>
      </c>
      <c r="AB420" s="176">
        <f t="shared" si="291"/>
        <v>0</v>
      </c>
      <c r="AC420" s="171" t="s">
        <v>85</v>
      </c>
      <c r="AD420" s="176">
        <f t="shared" si="292"/>
        <v>4</v>
      </c>
      <c r="AE420" s="171" t="s">
        <v>143</v>
      </c>
      <c r="AF420" s="176" cm="1">
        <f t="array" ref="AF420">IF(OR(AE420="/",AE420=""),"/",IF(ISNUMBER(SEARCH("普通",AE420)),0,IF(ISNUMBER(SEARCH("专用",AE420)),4,IF(ISNUMBER(SEARCH("定制",AE420)),7,IF(ISNUMBER(SEARCH("多个定制",AE420)),9,””)))))</f>
        <v>7</v>
      </c>
      <c r="AG420" s="176">
        <f t="shared" si="293"/>
        <v>17</v>
      </c>
      <c r="AH420" s="176" t="str">
        <f t="shared" si="294"/>
        <v>中Medium</v>
      </c>
      <c r="AI420" s="176" t="s">
        <v>144</v>
      </c>
      <c r="AJ420" s="176" t="str">
        <f t="shared" si="280"/>
        <v>保留
Retaining</v>
      </c>
      <c r="AK420" s="171" t="s">
        <v>145</v>
      </c>
      <c r="AL420" s="177" t="s">
        <v>145</v>
      </c>
      <c r="AM420" s="171" t="s">
        <v>145</v>
      </c>
      <c r="AN420" s="178" t="s">
        <v>592</v>
      </c>
      <c r="AO420" s="178" t="s">
        <v>593</v>
      </c>
    </row>
    <row r="421" s="116" customFormat="1" ht="17" customHeight="1" spans="1:41">
      <c r="A421" s="171">
        <v>418</v>
      </c>
      <c r="B421" s="179"/>
      <c r="C421" s="179"/>
      <c r="D421" s="179"/>
      <c r="E421" s="171"/>
      <c r="F421" s="171"/>
      <c r="G421" s="171"/>
      <c r="H421" s="171"/>
      <c r="I421" s="171" t="s">
        <v>183</v>
      </c>
      <c r="J421" s="171"/>
      <c r="K421" s="173" t="s">
        <v>145</v>
      </c>
      <c r="L421" s="173" t="s">
        <v>145</v>
      </c>
      <c r="M421" s="173" t="s">
        <v>145</v>
      </c>
      <c r="N421" s="174" t="s">
        <v>145</v>
      </c>
      <c r="O421" s="174" t="s">
        <v>145</v>
      </c>
      <c r="P421" s="174" t="s">
        <v>145</v>
      </c>
      <c r="Q421" s="174" t="s">
        <v>145</v>
      </c>
      <c r="R421" s="174" t="s">
        <v>145</v>
      </c>
      <c r="S421" s="175" t="s">
        <v>145</v>
      </c>
      <c r="T421" s="175" t="s">
        <v>145</v>
      </c>
      <c r="U421" s="175" t="s">
        <v>145</v>
      </c>
      <c r="V421" s="171" t="s">
        <v>145</v>
      </c>
      <c r="W421" s="171" t="s">
        <v>145</v>
      </c>
      <c r="X421" s="176" t="s">
        <v>145</v>
      </c>
      <c r="Y421" s="171" t="s">
        <v>145</v>
      </c>
      <c r="Z421" s="176" t="s">
        <v>145</v>
      </c>
      <c r="AA421" s="171" t="s">
        <v>145</v>
      </c>
      <c r="AB421" s="176" t="s">
        <v>145</v>
      </c>
      <c r="AC421" s="171" t="s">
        <v>145</v>
      </c>
      <c r="AD421" s="176" t="s">
        <v>145</v>
      </c>
      <c r="AE421" s="171" t="s">
        <v>145</v>
      </c>
      <c r="AF421" s="176" t="str" cm="1">
        <f t="array" ref="AF421">IF(OR(AE421="/",AE421=""),"/",IF(ISNUMBER(SEARCH("普通",AE421)),0,IF(ISNUMBER(SEARCH("专用",AE421)),4,IF(ISNUMBER(SEARCH("定制",AE421)),7,IF(ISNUMBER(SEARCH("多个定制",AE421)),9,””)))))</f>
        <v>/</v>
      </c>
      <c r="AG421" s="176" t="s">
        <v>145</v>
      </c>
      <c r="AH421" s="176" t="s">
        <v>145</v>
      </c>
      <c r="AI421" s="176" t="s">
        <v>145</v>
      </c>
      <c r="AJ421" s="176" t="str">
        <f t="shared" si="280"/>
        <v>/</v>
      </c>
      <c r="AK421" s="171" t="s">
        <v>145</v>
      </c>
      <c r="AL421" s="177" t="s">
        <v>145</v>
      </c>
      <c r="AM421" s="177" t="s">
        <v>145</v>
      </c>
      <c r="AN421" s="177" t="s">
        <v>145</v>
      </c>
      <c r="AO421" s="177" t="s">
        <v>145</v>
      </c>
    </row>
    <row r="422" s="116" customFormat="1" ht="17" customHeight="1" spans="1:41">
      <c r="A422" s="171">
        <v>419</v>
      </c>
      <c r="B422" s="181"/>
      <c r="C422" s="181"/>
      <c r="D422" s="181"/>
      <c r="E422" s="171"/>
      <c r="F422" s="171"/>
      <c r="G422" s="171"/>
      <c r="H422" s="171"/>
      <c r="I422" s="171"/>
      <c r="J422" s="171" t="s">
        <v>183</v>
      </c>
      <c r="K422" s="173" t="s">
        <v>145</v>
      </c>
      <c r="L422" s="173" t="s">
        <v>145</v>
      </c>
      <c r="M422" s="173" t="s">
        <v>145</v>
      </c>
      <c r="N422" s="174" t="s">
        <v>145</v>
      </c>
      <c r="O422" s="174" t="s">
        <v>145</v>
      </c>
      <c r="P422" s="174" t="s">
        <v>145</v>
      </c>
      <c r="Q422" s="174" t="s">
        <v>145</v>
      </c>
      <c r="R422" s="174" t="s">
        <v>145</v>
      </c>
      <c r="S422" s="175" t="s">
        <v>145</v>
      </c>
      <c r="T422" s="175" t="s">
        <v>145</v>
      </c>
      <c r="U422" s="175" t="s">
        <v>145</v>
      </c>
      <c r="V422" s="171" t="s">
        <v>145</v>
      </c>
      <c r="W422" s="171" t="s">
        <v>145</v>
      </c>
      <c r="X422" s="176" t="s">
        <v>145</v>
      </c>
      <c r="Y422" s="171" t="s">
        <v>145</v>
      </c>
      <c r="Z422" s="176" t="s">
        <v>145</v>
      </c>
      <c r="AA422" s="171" t="s">
        <v>145</v>
      </c>
      <c r="AB422" s="176" t="s">
        <v>145</v>
      </c>
      <c r="AC422" s="171" t="s">
        <v>145</v>
      </c>
      <c r="AD422" s="176" t="s">
        <v>145</v>
      </c>
      <c r="AE422" s="171" t="s">
        <v>145</v>
      </c>
      <c r="AF422" s="176" t="str" cm="1">
        <f t="array" ref="AF422">IF(OR(AE422="/",AE422=""),"/",IF(ISNUMBER(SEARCH("普通",AE422)),0,IF(ISNUMBER(SEARCH("专用",AE422)),4,IF(ISNUMBER(SEARCH("定制",AE422)),7,IF(ISNUMBER(SEARCH("多个定制",AE422)),9,””)))))</f>
        <v>/</v>
      </c>
      <c r="AG422" s="176" t="s">
        <v>145</v>
      </c>
      <c r="AH422" s="176" t="s">
        <v>145</v>
      </c>
      <c r="AI422" s="176" t="s">
        <v>145</v>
      </c>
      <c r="AJ422" s="176" t="str">
        <f t="shared" si="280"/>
        <v>/</v>
      </c>
      <c r="AK422" s="171" t="s">
        <v>145</v>
      </c>
      <c r="AL422" s="177" t="s">
        <v>145</v>
      </c>
      <c r="AM422" s="177" t="s">
        <v>145</v>
      </c>
      <c r="AN422" s="177" t="s">
        <v>145</v>
      </c>
      <c r="AO422" s="177" t="s">
        <v>145</v>
      </c>
    </row>
    <row r="423" s="116" customFormat="1" ht="17" customHeight="1" spans="1:41">
      <c r="A423" s="171">
        <v>420</v>
      </c>
      <c r="B423" s="172" t="s">
        <v>1310</v>
      </c>
      <c r="C423" s="171" t="s">
        <v>1221</v>
      </c>
      <c r="D423" s="173" t="s">
        <v>1311</v>
      </c>
      <c r="E423" s="171" t="s">
        <v>73</v>
      </c>
      <c r="F423" s="171"/>
      <c r="G423" s="171"/>
      <c r="H423" s="171"/>
      <c r="I423" s="171"/>
      <c r="J423" s="171"/>
      <c r="K423" s="173" t="s">
        <v>1256</v>
      </c>
      <c r="L423" s="173" t="s">
        <v>1312</v>
      </c>
      <c r="M423" s="173" t="s">
        <v>95</v>
      </c>
      <c r="N423" s="174" t="s">
        <v>77</v>
      </c>
      <c r="O423" s="174" t="s">
        <v>77</v>
      </c>
      <c r="P423" s="174" t="s">
        <v>77</v>
      </c>
      <c r="Q423" s="174" t="s">
        <v>78</v>
      </c>
      <c r="R423" s="174" t="str">
        <f t="shared" ref="R423:R429" si="295">IF(OR(N423="严重Severe",O423="严重Severe",P423="严重Severe",Q423="严重Severe"),"严重Severe",IF(OR(N423="主要Major",O423="主要Major",P423="主要Major",Q423="主要Major"),"主要Major",IF(OR(N423="中等Medium",O423="中等Medium",P423="中等Medium",Q423="中等Medium"),"中等Medium",IF(OR(N423="可忽略不计Negligible",O423="可忽略不计Negligible",P423="可忽略不计Negligible",Q423="可忽略不计Negligible"),"可忽略不计Negligible","/"))))</f>
        <v>主要Major</v>
      </c>
      <c r="S423" s="175" t="s">
        <v>78</v>
      </c>
      <c r="T423" s="175" t="s">
        <v>1258</v>
      </c>
      <c r="U423" s="175" t="s">
        <v>1313</v>
      </c>
      <c r="V423" s="171" t="s">
        <v>1260</v>
      </c>
      <c r="W423" s="171" t="s">
        <v>82</v>
      </c>
      <c r="X423" s="176">
        <f t="shared" ref="X423:X429" si="296">IF(OR(W423="/",W423=""),"/",IF(ISNUMBER(SEARCH("1天",W423)),0,IF(ISNUMBER(SEARCH("一周",W423)),1,IF(ISNUMBER(SEARCH("1个月",W423)),4,IF(ISNUMBER(SEARCH("超过",W423)),19,IF(ISNUMBER(SEARCH("6个月",W423)),17,""))))))</f>
        <v>0</v>
      </c>
      <c r="Y423" s="171" t="s">
        <v>83</v>
      </c>
      <c r="Z423" s="176">
        <f t="shared" ref="Z423:Z429" si="297">IF(OR(Y423="/",Y423=""),"/",IF(ISNUMBER(SEARCH("新手",Y423)),0,IF(ISNUMBER(SEARCH("熟练",Y423)),3,IF(ISNUMBER(SEARCH("多位",Y423)),17,IF(ISNUMBER(SEARCH("专家",Y423)),6,"")))))</f>
        <v>6</v>
      </c>
      <c r="AA423" s="171" t="s">
        <v>153</v>
      </c>
      <c r="AB423" s="176">
        <f t="shared" ref="AB423:AB429" si="298">IF(OR(AA423="/",AA423=""),"/",IF(ISNUMBER(SEARCH("公开",AA423)),0,IF(ISNUMBER(SEARCH("限制性信息",AA423)),3,IF(ISNUMBER(SEARCH("机密信息",AA423)),7,IF(ISNUMBER(SEARCH("严格保密",AA423)),11,"")))))</f>
        <v>0</v>
      </c>
      <c r="AC423" s="171" t="s">
        <v>1261</v>
      </c>
      <c r="AD423" s="176">
        <f t="shared" ref="AD423:AD429" si="299">IF(OR(AC423="/",AC423=""),"/",IF(ISNUMBER(SEARCH("无限制",AC423)),0,IF(ISNUMBER(SEARCH("容易",AC423)),1,IF(ISNUMBER(SEARCH("一般",AC423)),4,IF(ISNUMBER(SEARCH("困难",AC423)),10,"")))))</f>
        <v>0</v>
      </c>
      <c r="AE423" s="171" t="s">
        <v>143</v>
      </c>
      <c r="AF423" s="176" cm="1">
        <f t="array" ref="AF423">IF(OR(AE423="/",AE423=""),"/",IF(ISNUMBER(SEARCH("普通",AE423)),0,IF(ISNUMBER(SEARCH("专用",AE423)),4,IF(ISNUMBER(SEARCH("定制",AE423)),7,IF(ISNUMBER(SEARCH("多个定制",AE423)),9,””)))))</f>
        <v>7</v>
      </c>
      <c r="AG423" s="176">
        <f t="shared" ref="AG423:AG429" si="300">IF(OR(X423="/",Z423="/",AB423="/",AD423="/",AF423="/"),"/",X423+Z423+AB423+AD423+AF423)</f>
        <v>13</v>
      </c>
      <c r="AH423" s="176" t="str">
        <f t="shared" ref="AH423:AH429" si="301">IF(AND(AG423&gt;=0,AG423&lt;14),"高High",IF(AND(AG423&gt;=14,AG423&lt;20),"中Medium",IF(AND(AG423&gt;=20,AG423&lt;25),"低Low",IF(AND(AG423&gt;=25,AG423&lt;57),"非常低Very low",""))))</f>
        <v>高High</v>
      </c>
      <c r="AI423" s="176" t="s">
        <v>112</v>
      </c>
      <c r="AJ423" s="176" t="str">
        <f t="shared" si="280"/>
        <v>消除
Avoiding</v>
      </c>
      <c r="AK423" s="171" t="s">
        <v>1262</v>
      </c>
      <c r="AL423" s="177" t="s">
        <v>1263</v>
      </c>
      <c r="AM423" s="180" t="s">
        <v>101</v>
      </c>
      <c r="AN423" s="178" t="s">
        <v>592</v>
      </c>
      <c r="AO423" s="178" t="s">
        <v>1264</v>
      </c>
    </row>
    <row r="424" s="116" customFormat="1" ht="17" customHeight="1" spans="1:41">
      <c r="A424" s="171">
        <v>421</v>
      </c>
      <c r="B424" s="179"/>
      <c r="C424" s="179"/>
      <c r="D424" s="179"/>
      <c r="E424" s="171" t="s">
        <v>73</v>
      </c>
      <c r="F424" s="171"/>
      <c r="G424" s="171"/>
      <c r="H424" s="171"/>
      <c r="I424" s="171"/>
      <c r="J424" s="171"/>
      <c r="K424" s="173" t="s">
        <v>1265</v>
      </c>
      <c r="L424" s="173" t="s">
        <v>1314</v>
      </c>
      <c r="M424" s="173" t="s">
        <v>1230</v>
      </c>
      <c r="N424" s="174" t="s">
        <v>77</v>
      </c>
      <c r="O424" s="174" t="s">
        <v>77</v>
      </c>
      <c r="P424" s="174" t="s">
        <v>77</v>
      </c>
      <c r="Q424" s="174" t="s">
        <v>78</v>
      </c>
      <c r="R424" s="174" t="str">
        <f t="shared" si="295"/>
        <v>主要Major</v>
      </c>
      <c r="S424" s="175" t="s">
        <v>107</v>
      </c>
      <c r="T424" s="175" t="s">
        <v>1267</v>
      </c>
      <c r="U424" s="175" t="s">
        <v>1315</v>
      </c>
      <c r="V424" s="171" t="s">
        <v>1269</v>
      </c>
      <c r="W424" s="171" t="s">
        <v>111</v>
      </c>
      <c r="X424" s="176">
        <f t="shared" si="296"/>
        <v>1</v>
      </c>
      <c r="Y424" s="171" t="s">
        <v>177</v>
      </c>
      <c r="Z424" s="176">
        <f t="shared" si="297"/>
        <v>3</v>
      </c>
      <c r="AA424" s="171" t="s">
        <v>153</v>
      </c>
      <c r="AB424" s="176">
        <f t="shared" si="298"/>
        <v>0</v>
      </c>
      <c r="AC424" s="171" t="s">
        <v>191</v>
      </c>
      <c r="AD424" s="176">
        <f t="shared" si="299"/>
        <v>1</v>
      </c>
      <c r="AE424" s="171" t="s">
        <v>210</v>
      </c>
      <c r="AF424" s="176" cm="1">
        <f t="array" ref="AF424">IF(OR(AE424="/",AE424=""),"/",IF(ISNUMBER(SEARCH("普通",AE424)),0,IF(ISNUMBER(SEARCH("专用",AE424)),4,IF(ISNUMBER(SEARCH("定制",AE424)),7,IF(ISNUMBER(SEARCH("多个定制",AE424)),9,””)))))</f>
        <v>0</v>
      </c>
      <c r="AG424" s="176">
        <f t="shared" si="300"/>
        <v>5</v>
      </c>
      <c r="AH424" s="176" t="str">
        <f t="shared" si="301"/>
        <v>高High</v>
      </c>
      <c r="AI424" s="176" t="s">
        <v>87</v>
      </c>
      <c r="AJ424" s="176" t="str">
        <f t="shared" si="280"/>
        <v>降低
Reucing</v>
      </c>
      <c r="AK424" s="171" t="s">
        <v>1270</v>
      </c>
      <c r="AL424" s="177" t="s">
        <v>1271</v>
      </c>
      <c r="AM424" s="180" t="s">
        <v>1272</v>
      </c>
      <c r="AN424" s="178" t="s">
        <v>1273</v>
      </c>
      <c r="AO424" s="178" t="s">
        <v>1274</v>
      </c>
    </row>
    <row r="425" s="116" customFormat="1" ht="17" customHeight="1" spans="1:41">
      <c r="A425" s="171">
        <v>422</v>
      </c>
      <c r="B425" s="179"/>
      <c r="C425" s="179"/>
      <c r="D425" s="179"/>
      <c r="E425" s="171"/>
      <c r="F425" s="171" t="s">
        <v>73</v>
      </c>
      <c r="G425" s="171"/>
      <c r="H425" s="171"/>
      <c r="I425" s="171"/>
      <c r="J425" s="171"/>
      <c r="K425" s="173" t="s">
        <v>1275</v>
      </c>
      <c r="L425" s="173" t="s">
        <v>1316</v>
      </c>
      <c r="M425" s="173" t="s">
        <v>553</v>
      </c>
      <c r="N425" s="174" t="s">
        <v>77</v>
      </c>
      <c r="O425" s="174" t="s">
        <v>77</v>
      </c>
      <c r="P425" s="174" t="s">
        <v>96</v>
      </c>
      <c r="Q425" s="174" t="s">
        <v>78</v>
      </c>
      <c r="R425" s="174" t="str">
        <f t="shared" si="295"/>
        <v>主要Major</v>
      </c>
      <c r="S425" s="175" t="s">
        <v>107</v>
      </c>
      <c r="T425" s="175" t="s">
        <v>1277</v>
      </c>
      <c r="U425" s="175" t="s">
        <v>1278</v>
      </c>
      <c r="V425" s="171" t="s">
        <v>1279</v>
      </c>
      <c r="W425" s="171" t="s">
        <v>82</v>
      </c>
      <c r="X425" s="176">
        <f t="shared" si="296"/>
        <v>0</v>
      </c>
      <c r="Y425" s="171" t="s">
        <v>83</v>
      </c>
      <c r="Z425" s="176">
        <f t="shared" si="297"/>
        <v>6</v>
      </c>
      <c r="AA425" s="171" t="s">
        <v>153</v>
      </c>
      <c r="AB425" s="176">
        <f t="shared" si="298"/>
        <v>0</v>
      </c>
      <c r="AC425" s="171" t="s">
        <v>1261</v>
      </c>
      <c r="AD425" s="176">
        <f t="shared" si="299"/>
        <v>0</v>
      </c>
      <c r="AE425" s="171" t="s">
        <v>210</v>
      </c>
      <c r="AF425" s="176" cm="1">
        <f t="array" ref="AF425">IF(OR(AE425="/",AE425=""),"/",IF(ISNUMBER(SEARCH("普通",AE425)),0,IF(ISNUMBER(SEARCH("专用",AE425)),4,IF(ISNUMBER(SEARCH("定制",AE425)),7,IF(ISNUMBER(SEARCH("多个定制",AE425)),9,””)))))</f>
        <v>0</v>
      </c>
      <c r="AG425" s="176">
        <f t="shared" si="300"/>
        <v>6</v>
      </c>
      <c r="AH425" s="176" t="str">
        <f t="shared" si="301"/>
        <v>高High</v>
      </c>
      <c r="AI425" s="176" t="s">
        <v>87</v>
      </c>
      <c r="AJ425" s="176" t="str">
        <f t="shared" si="280"/>
        <v>降低
Reucing</v>
      </c>
      <c r="AK425" s="171" t="s">
        <v>1280</v>
      </c>
      <c r="AL425" s="177" t="s">
        <v>1281</v>
      </c>
      <c r="AM425" s="180" t="s">
        <v>101</v>
      </c>
      <c r="AN425" s="178" t="s">
        <v>592</v>
      </c>
      <c r="AO425" s="178" t="s">
        <v>1264</v>
      </c>
    </row>
    <row r="426" s="116" customFormat="1" ht="17" customHeight="1" spans="1:41">
      <c r="A426" s="171">
        <v>423</v>
      </c>
      <c r="B426" s="179"/>
      <c r="C426" s="179"/>
      <c r="D426" s="179"/>
      <c r="E426" s="171"/>
      <c r="F426" s="171"/>
      <c r="G426" s="171" t="s">
        <v>73</v>
      </c>
      <c r="H426" s="171"/>
      <c r="I426" s="171"/>
      <c r="J426" s="171"/>
      <c r="K426" s="173" t="s">
        <v>1282</v>
      </c>
      <c r="L426" s="173" t="s">
        <v>1317</v>
      </c>
      <c r="M426" s="173" t="s">
        <v>1240</v>
      </c>
      <c r="N426" s="174" t="s">
        <v>77</v>
      </c>
      <c r="O426" s="174" t="s">
        <v>77</v>
      </c>
      <c r="P426" s="174" t="s">
        <v>96</v>
      </c>
      <c r="Q426" s="174" t="s">
        <v>78</v>
      </c>
      <c r="R426" s="174" t="str">
        <f t="shared" si="295"/>
        <v>主要Major</v>
      </c>
      <c r="S426" s="175" t="s">
        <v>107</v>
      </c>
      <c r="T426" s="175" t="s">
        <v>1284</v>
      </c>
      <c r="U426" s="175" t="s">
        <v>1285</v>
      </c>
      <c r="V426" s="171" t="s">
        <v>1286</v>
      </c>
      <c r="W426" s="171" t="s">
        <v>82</v>
      </c>
      <c r="X426" s="176">
        <f t="shared" si="296"/>
        <v>0</v>
      </c>
      <c r="Y426" s="171" t="s">
        <v>177</v>
      </c>
      <c r="Z426" s="176">
        <f t="shared" si="297"/>
        <v>3</v>
      </c>
      <c r="AA426" s="171" t="s">
        <v>84</v>
      </c>
      <c r="AB426" s="176">
        <f t="shared" si="298"/>
        <v>3</v>
      </c>
      <c r="AC426" s="171" t="s">
        <v>85</v>
      </c>
      <c r="AD426" s="176">
        <f t="shared" si="299"/>
        <v>4</v>
      </c>
      <c r="AE426" s="171" t="s">
        <v>210</v>
      </c>
      <c r="AF426" s="176" cm="1">
        <f t="array" ref="AF426">IF(OR(AE426="/",AE426=""),"/",IF(ISNUMBER(SEARCH("普通",AE426)),0,IF(ISNUMBER(SEARCH("专用",AE426)),4,IF(ISNUMBER(SEARCH("定制",AE426)),7,IF(ISNUMBER(SEARCH("多个定制",AE426)),9,””)))))</f>
        <v>0</v>
      </c>
      <c r="AG426" s="176">
        <f t="shared" si="300"/>
        <v>10</v>
      </c>
      <c r="AH426" s="176" t="str">
        <f t="shared" si="301"/>
        <v>高High</v>
      </c>
      <c r="AI426" s="176" t="s">
        <v>87</v>
      </c>
      <c r="AJ426" s="176" t="str">
        <f t="shared" si="280"/>
        <v>降低
Reucing</v>
      </c>
      <c r="AK426" s="171" t="s">
        <v>1287</v>
      </c>
      <c r="AL426" s="177" t="s">
        <v>1288</v>
      </c>
      <c r="AM426" s="180" t="s">
        <v>1289</v>
      </c>
      <c r="AN426" s="178" t="s">
        <v>1290</v>
      </c>
      <c r="AO426" s="178" t="s">
        <v>1291</v>
      </c>
    </row>
    <row r="427" s="116" customFormat="1" ht="17" customHeight="1" spans="1:41">
      <c r="A427" s="171">
        <v>424</v>
      </c>
      <c r="B427" s="179"/>
      <c r="C427" s="179"/>
      <c r="D427" s="179"/>
      <c r="E427" s="171"/>
      <c r="F427" s="171"/>
      <c r="G427" s="171" t="s">
        <v>73</v>
      </c>
      <c r="H427" s="171"/>
      <c r="I427" s="171"/>
      <c r="J427" s="171"/>
      <c r="K427" s="173" t="s">
        <v>1292</v>
      </c>
      <c r="L427" s="173" t="s">
        <v>1318</v>
      </c>
      <c r="M427" s="173" t="s">
        <v>150</v>
      </c>
      <c r="N427" s="174" t="s">
        <v>77</v>
      </c>
      <c r="O427" s="174" t="s">
        <v>77</v>
      </c>
      <c r="P427" s="174" t="s">
        <v>96</v>
      </c>
      <c r="Q427" s="174" t="s">
        <v>78</v>
      </c>
      <c r="R427" s="174" t="str">
        <f t="shared" si="295"/>
        <v>主要Major</v>
      </c>
      <c r="S427" s="175" t="s">
        <v>107</v>
      </c>
      <c r="T427" s="175" t="s">
        <v>1294</v>
      </c>
      <c r="U427" s="175" t="s">
        <v>1295</v>
      </c>
      <c r="V427" s="171" t="s">
        <v>1296</v>
      </c>
      <c r="W427" s="171" t="s">
        <v>111</v>
      </c>
      <c r="X427" s="176">
        <f t="shared" si="296"/>
        <v>1</v>
      </c>
      <c r="Y427" s="171" t="s">
        <v>83</v>
      </c>
      <c r="Z427" s="176">
        <f t="shared" si="297"/>
        <v>6</v>
      </c>
      <c r="AA427" s="171" t="s">
        <v>84</v>
      </c>
      <c r="AB427" s="176">
        <f t="shared" si="298"/>
        <v>3</v>
      </c>
      <c r="AC427" s="171" t="s">
        <v>85</v>
      </c>
      <c r="AD427" s="176">
        <f t="shared" si="299"/>
        <v>4</v>
      </c>
      <c r="AE427" s="171" t="s">
        <v>210</v>
      </c>
      <c r="AF427" s="176" cm="1">
        <f t="array" ref="AF427">IF(OR(AE427="/",AE427=""),"/",IF(ISNUMBER(SEARCH("普通",AE427)),0,IF(ISNUMBER(SEARCH("专用",AE427)),4,IF(ISNUMBER(SEARCH("定制",AE427)),7,IF(ISNUMBER(SEARCH("多个定制",AE427)),9,””)))))</f>
        <v>0</v>
      </c>
      <c r="AG427" s="176">
        <f t="shared" si="300"/>
        <v>14</v>
      </c>
      <c r="AH427" s="176" t="str">
        <f t="shared" si="301"/>
        <v>中Medium</v>
      </c>
      <c r="AI427" s="176" t="s">
        <v>934</v>
      </c>
      <c r="AJ427" s="176" t="str">
        <f t="shared" si="280"/>
        <v>保留
Retaining</v>
      </c>
      <c r="AK427" s="171" t="s">
        <v>145</v>
      </c>
      <c r="AL427" s="177" t="s">
        <v>145</v>
      </c>
      <c r="AM427" s="171" t="s">
        <v>145</v>
      </c>
      <c r="AN427" s="178" t="s">
        <v>429</v>
      </c>
      <c r="AO427" s="178" t="s">
        <v>430</v>
      </c>
    </row>
    <row r="428" s="116" customFormat="1" ht="17" customHeight="1" spans="1:41">
      <c r="A428" s="171">
        <v>425</v>
      </c>
      <c r="B428" s="179"/>
      <c r="C428" s="179"/>
      <c r="D428" s="179"/>
      <c r="E428" s="171"/>
      <c r="F428" s="171"/>
      <c r="G428" s="171"/>
      <c r="H428" s="171" t="s">
        <v>73</v>
      </c>
      <c r="I428" s="171"/>
      <c r="J428" s="171"/>
      <c r="K428" s="173" t="s">
        <v>1297</v>
      </c>
      <c r="L428" s="173" t="s">
        <v>1319</v>
      </c>
      <c r="M428" s="173" t="s">
        <v>589</v>
      </c>
      <c r="N428" s="174" t="s">
        <v>77</v>
      </c>
      <c r="O428" s="174" t="s">
        <v>77</v>
      </c>
      <c r="P428" s="174" t="s">
        <v>96</v>
      </c>
      <c r="Q428" s="174" t="s">
        <v>78</v>
      </c>
      <c r="R428" s="174" t="str">
        <f t="shared" si="295"/>
        <v>主要Major</v>
      </c>
      <c r="S428" s="175" t="s">
        <v>107</v>
      </c>
      <c r="T428" s="175" t="s">
        <v>1299</v>
      </c>
      <c r="U428" s="175" t="s">
        <v>1300</v>
      </c>
      <c r="V428" s="171" t="s">
        <v>1301</v>
      </c>
      <c r="W428" s="171" t="s">
        <v>111</v>
      </c>
      <c r="X428" s="176">
        <f t="shared" si="296"/>
        <v>1</v>
      </c>
      <c r="Y428" s="171" t="s">
        <v>83</v>
      </c>
      <c r="Z428" s="176">
        <f t="shared" si="297"/>
        <v>6</v>
      </c>
      <c r="AA428" s="171" t="s">
        <v>153</v>
      </c>
      <c r="AB428" s="176">
        <f t="shared" si="298"/>
        <v>0</v>
      </c>
      <c r="AC428" s="171" t="s">
        <v>1261</v>
      </c>
      <c r="AD428" s="176">
        <f t="shared" si="299"/>
        <v>0</v>
      </c>
      <c r="AE428" s="171" t="s">
        <v>210</v>
      </c>
      <c r="AF428" s="176" cm="1">
        <f t="array" ref="AF428">IF(OR(AE428="/",AE428=""),"/",IF(ISNUMBER(SEARCH("普通",AE428)),0,IF(ISNUMBER(SEARCH("专用",AE428)),4,IF(ISNUMBER(SEARCH("定制",AE428)),7,IF(ISNUMBER(SEARCH("多个定制",AE428)),9,””)))))</f>
        <v>0</v>
      </c>
      <c r="AG428" s="176">
        <f t="shared" si="300"/>
        <v>7</v>
      </c>
      <c r="AH428" s="176" t="str">
        <f t="shared" si="301"/>
        <v>高High</v>
      </c>
      <c r="AI428" s="176" t="s">
        <v>87</v>
      </c>
      <c r="AJ428" s="176" t="str">
        <f t="shared" si="280"/>
        <v>降低
Reucing</v>
      </c>
      <c r="AK428" s="171" t="s">
        <v>1302</v>
      </c>
      <c r="AL428" s="177" t="s">
        <v>1303</v>
      </c>
      <c r="AM428" s="180" t="s">
        <v>213</v>
      </c>
      <c r="AN428" s="178" t="s">
        <v>270</v>
      </c>
      <c r="AO428" s="178" t="s">
        <v>1304</v>
      </c>
    </row>
    <row r="429" s="116" customFormat="1" ht="17" customHeight="1" spans="1:41">
      <c r="A429" s="171">
        <v>426</v>
      </c>
      <c r="B429" s="179"/>
      <c r="C429" s="179"/>
      <c r="D429" s="179"/>
      <c r="E429" s="171"/>
      <c r="F429" s="171"/>
      <c r="G429" s="171"/>
      <c r="H429" s="171" t="s">
        <v>73</v>
      </c>
      <c r="I429" s="171"/>
      <c r="J429" s="171"/>
      <c r="K429" s="173" t="s">
        <v>1305</v>
      </c>
      <c r="L429" s="173" t="s">
        <v>1320</v>
      </c>
      <c r="M429" s="173" t="s">
        <v>589</v>
      </c>
      <c r="N429" s="174" t="s">
        <v>77</v>
      </c>
      <c r="O429" s="174" t="s">
        <v>77</v>
      </c>
      <c r="P429" s="174" t="s">
        <v>96</v>
      </c>
      <c r="Q429" s="174" t="s">
        <v>78</v>
      </c>
      <c r="R429" s="174" t="str">
        <f t="shared" si="295"/>
        <v>主要Major</v>
      </c>
      <c r="S429" s="175" t="s">
        <v>107</v>
      </c>
      <c r="T429" s="175" t="s">
        <v>1307</v>
      </c>
      <c r="U429" s="175" t="s">
        <v>1308</v>
      </c>
      <c r="V429" s="171" t="s">
        <v>1309</v>
      </c>
      <c r="W429" s="171" t="s">
        <v>82</v>
      </c>
      <c r="X429" s="176">
        <f t="shared" si="296"/>
        <v>0</v>
      </c>
      <c r="Y429" s="171" t="s">
        <v>83</v>
      </c>
      <c r="Z429" s="176">
        <f t="shared" si="297"/>
        <v>6</v>
      </c>
      <c r="AA429" s="171" t="s">
        <v>153</v>
      </c>
      <c r="AB429" s="176">
        <f t="shared" si="298"/>
        <v>0</v>
      </c>
      <c r="AC429" s="171" t="s">
        <v>85</v>
      </c>
      <c r="AD429" s="176">
        <f t="shared" si="299"/>
        <v>4</v>
      </c>
      <c r="AE429" s="171" t="s">
        <v>143</v>
      </c>
      <c r="AF429" s="176" cm="1">
        <f t="array" ref="AF429">IF(OR(AE429="/",AE429=""),"/",IF(ISNUMBER(SEARCH("普通",AE429)),0,IF(ISNUMBER(SEARCH("专用",AE429)),4,IF(ISNUMBER(SEARCH("定制",AE429)),7,IF(ISNUMBER(SEARCH("多个定制",AE429)),9,””)))))</f>
        <v>7</v>
      </c>
      <c r="AG429" s="176">
        <f t="shared" si="300"/>
        <v>17</v>
      </c>
      <c r="AH429" s="176" t="str">
        <f t="shared" si="301"/>
        <v>中Medium</v>
      </c>
      <c r="AI429" s="176" t="s">
        <v>144</v>
      </c>
      <c r="AJ429" s="176" t="str">
        <f t="shared" si="280"/>
        <v>保留
Retaining</v>
      </c>
      <c r="AK429" s="171" t="s">
        <v>145</v>
      </c>
      <c r="AL429" s="177" t="s">
        <v>145</v>
      </c>
      <c r="AM429" s="171" t="s">
        <v>145</v>
      </c>
      <c r="AN429" s="178" t="s">
        <v>592</v>
      </c>
      <c r="AO429" s="178" t="s">
        <v>593</v>
      </c>
    </row>
    <row r="430" s="116" customFormat="1" ht="17" customHeight="1" spans="1:41">
      <c r="A430" s="171">
        <v>427</v>
      </c>
      <c r="B430" s="179"/>
      <c r="C430" s="179"/>
      <c r="D430" s="179"/>
      <c r="E430" s="171"/>
      <c r="F430" s="171"/>
      <c r="G430" s="171"/>
      <c r="H430" s="171"/>
      <c r="I430" s="171" t="s">
        <v>183</v>
      </c>
      <c r="J430" s="171"/>
      <c r="K430" s="173" t="s">
        <v>145</v>
      </c>
      <c r="L430" s="173" t="s">
        <v>145</v>
      </c>
      <c r="M430" s="173" t="s">
        <v>145</v>
      </c>
      <c r="N430" s="174" t="s">
        <v>145</v>
      </c>
      <c r="O430" s="174" t="s">
        <v>145</v>
      </c>
      <c r="P430" s="174" t="s">
        <v>145</v>
      </c>
      <c r="Q430" s="174" t="s">
        <v>145</v>
      </c>
      <c r="R430" s="174" t="s">
        <v>145</v>
      </c>
      <c r="S430" s="175" t="s">
        <v>145</v>
      </c>
      <c r="T430" s="175" t="s">
        <v>145</v>
      </c>
      <c r="U430" s="175" t="s">
        <v>145</v>
      </c>
      <c r="V430" s="171" t="s">
        <v>145</v>
      </c>
      <c r="W430" s="171" t="s">
        <v>145</v>
      </c>
      <c r="X430" s="176" t="s">
        <v>145</v>
      </c>
      <c r="Y430" s="171" t="s">
        <v>145</v>
      </c>
      <c r="Z430" s="176" t="s">
        <v>145</v>
      </c>
      <c r="AA430" s="171" t="s">
        <v>145</v>
      </c>
      <c r="AB430" s="176" t="s">
        <v>145</v>
      </c>
      <c r="AC430" s="171" t="s">
        <v>145</v>
      </c>
      <c r="AD430" s="176" t="s">
        <v>145</v>
      </c>
      <c r="AE430" s="171" t="s">
        <v>145</v>
      </c>
      <c r="AF430" s="176" t="str" cm="1">
        <f t="array" ref="AF430">IF(OR(AE430="/",AE430=""),"/",IF(ISNUMBER(SEARCH("普通",AE430)),0,IF(ISNUMBER(SEARCH("专用",AE430)),4,IF(ISNUMBER(SEARCH("定制",AE430)),7,IF(ISNUMBER(SEARCH("多个定制",AE430)),9,””)))))</f>
        <v>/</v>
      </c>
      <c r="AG430" s="176" t="s">
        <v>145</v>
      </c>
      <c r="AH430" s="176" t="s">
        <v>145</v>
      </c>
      <c r="AI430" s="176" t="s">
        <v>145</v>
      </c>
      <c r="AJ430" s="176" t="str">
        <f t="shared" si="280"/>
        <v>/</v>
      </c>
      <c r="AK430" s="171" t="s">
        <v>145</v>
      </c>
      <c r="AL430" s="177" t="s">
        <v>145</v>
      </c>
      <c r="AM430" s="177" t="s">
        <v>145</v>
      </c>
      <c r="AN430" s="177" t="s">
        <v>145</v>
      </c>
      <c r="AO430" s="177" t="s">
        <v>145</v>
      </c>
    </row>
    <row r="431" s="116" customFormat="1" ht="17" customHeight="1" spans="1:41">
      <c r="A431" s="171">
        <v>428</v>
      </c>
      <c r="B431" s="181"/>
      <c r="C431" s="181"/>
      <c r="D431" s="181"/>
      <c r="E431" s="171"/>
      <c r="F431" s="171"/>
      <c r="G431" s="171"/>
      <c r="H431" s="171"/>
      <c r="I431" s="171"/>
      <c r="J431" s="171" t="s">
        <v>183</v>
      </c>
      <c r="K431" s="173" t="s">
        <v>145</v>
      </c>
      <c r="L431" s="173" t="s">
        <v>145</v>
      </c>
      <c r="M431" s="173" t="s">
        <v>145</v>
      </c>
      <c r="N431" s="174" t="s">
        <v>145</v>
      </c>
      <c r="O431" s="174" t="s">
        <v>145</v>
      </c>
      <c r="P431" s="174" t="s">
        <v>145</v>
      </c>
      <c r="Q431" s="174" t="s">
        <v>145</v>
      </c>
      <c r="R431" s="174" t="s">
        <v>145</v>
      </c>
      <c r="S431" s="175" t="s">
        <v>145</v>
      </c>
      <c r="T431" s="175" t="s">
        <v>145</v>
      </c>
      <c r="U431" s="175" t="s">
        <v>145</v>
      </c>
      <c r="V431" s="171" t="s">
        <v>145</v>
      </c>
      <c r="W431" s="171" t="s">
        <v>145</v>
      </c>
      <c r="X431" s="176" t="s">
        <v>145</v>
      </c>
      <c r="Y431" s="171" t="s">
        <v>145</v>
      </c>
      <c r="Z431" s="176" t="s">
        <v>145</v>
      </c>
      <c r="AA431" s="171" t="s">
        <v>145</v>
      </c>
      <c r="AB431" s="176" t="s">
        <v>145</v>
      </c>
      <c r="AC431" s="171" t="s">
        <v>145</v>
      </c>
      <c r="AD431" s="176" t="s">
        <v>145</v>
      </c>
      <c r="AE431" s="171" t="s">
        <v>145</v>
      </c>
      <c r="AF431" s="176" t="str" cm="1">
        <f t="array" ref="AF431">IF(OR(AE431="/",AE431=""),"/",IF(ISNUMBER(SEARCH("普通",AE431)),0,IF(ISNUMBER(SEARCH("专用",AE431)),4,IF(ISNUMBER(SEARCH("定制",AE431)),7,IF(ISNUMBER(SEARCH("多个定制",AE431)),9,””)))))</f>
        <v>/</v>
      </c>
      <c r="AG431" s="176" t="s">
        <v>145</v>
      </c>
      <c r="AH431" s="176" t="s">
        <v>145</v>
      </c>
      <c r="AI431" s="176" t="s">
        <v>145</v>
      </c>
      <c r="AJ431" s="176" t="str">
        <f t="shared" si="280"/>
        <v>/</v>
      </c>
      <c r="AK431" s="171" t="s">
        <v>145</v>
      </c>
      <c r="AL431" s="177" t="s">
        <v>145</v>
      </c>
      <c r="AM431" s="177" t="s">
        <v>145</v>
      </c>
      <c r="AN431" s="177" t="s">
        <v>145</v>
      </c>
      <c r="AO431" s="177" t="s">
        <v>145</v>
      </c>
    </row>
    <row r="432" s="116" customFormat="1" ht="17" customHeight="1" spans="1:41">
      <c r="A432" s="171">
        <v>429</v>
      </c>
      <c r="B432" s="172" t="s">
        <v>1321</v>
      </c>
      <c r="C432" s="171" t="s">
        <v>1221</v>
      </c>
      <c r="D432" s="173" t="s">
        <v>1322</v>
      </c>
      <c r="E432" s="171" t="s">
        <v>73</v>
      </c>
      <c r="F432" s="171"/>
      <c r="G432" s="171"/>
      <c r="H432" s="171"/>
      <c r="I432" s="171"/>
      <c r="J432" s="171"/>
      <c r="K432" s="173" t="s">
        <v>1323</v>
      </c>
      <c r="L432" s="173" t="s">
        <v>1324</v>
      </c>
      <c r="M432" s="173" t="s">
        <v>95</v>
      </c>
      <c r="N432" s="174" t="s">
        <v>77</v>
      </c>
      <c r="O432" s="174" t="s">
        <v>77</v>
      </c>
      <c r="P432" s="174" t="s">
        <v>78</v>
      </c>
      <c r="Q432" s="174" t="s">
        <v>96</v>
      </c>
      <c r="R432" s="174" t="str">
        <f t="shared" ref="R432:R437" si="302">IF(OR(N432="严重Severe",O432="严重Severe",P432="严重Severe",Q432="严重Severe"),"严重Severe",IF(OR(N432="主要Major",O432="主要Major",P432="主要Major",Q432="主要Major"),"主要Major",IF(OR(N432="中等Medium",O432="中等Medium",P432="中等Medium",Q432="中等Medium"),"中等Medium",IF(OR(N432="可忽略不计Negligible",O432="可忽略不计Negligible",P432="可忽略不计Negligible",Q432="可忽略不计Negligible"),"可忽略不计Negligible","/"))))</f>
        <v>主要Major</v>
      </c>
      <c r="S432" s="175" t="s">
        <v>78</v>
      </c>
      <c r="T432" s="175" t="s">
        <v>1325</v>
      </c>
      <c r="U432" s="175" t="s">
        <v>1326</v>
      </c>
      <c r="V432" s="171" t="s">
        <v>1327</v>
      </c>
      <c r="W432" s="171" t="s">
        <v>82</v>
      </c>
      <c r="X432" s="176">
        <f t="shared" ref="X432:X437" si="303">IF(OR(W432="/",W432=""),"/",IF(ISNUMBER(SEARCH("1天",W432)),0,IF(ISNUMBER(SEARCH("一周",W432)),1,IF(ISNUMBER(SEARCH("1个月",W432)),4,IF(ISNUMBER(SEARCH("超过",W432)),19,IF(ISNUMBER(SEARCH("6个月",W432)),17,""))))))</f>
        <v>0</v>
      </c>
      <c r="Y432" s="171" t="s">
        <v>83</v>
      </c>
      <c r="Z432" s="176">
        <f t="shared" ref="Z432:Z437" si="304">IF(OR(Y432="/",Y432=""),"/",IF(ISNUMBER(SEARCH("新手",Y432)),0,IF(ISNUMBER(SEARCH("熟练",Y432)),3,IF(ISNUMBER(SEARCH("多位",Y432)),17,IF(ISNUMBER(SEARCH("专家",Y432)),6,"")))))</f>
        <v>6</v>
      </c>
      <c r="AA432" s="171" t="s">
        <v>84</v>
      </c>
      <c r="AB432" s="176">
        <f t="shared" ref="AB432:AB437" si="305">IF(OR(AA432="/",AA432=""),"/",IF(ISNUMBER(SEARCH("公开",AA432)),0,IF(ISNUMBER(SEARCH("限制性信息",AA432)),3,IF(ISNUMBER(SEARCH("机密信息",AA432)),7,IF(ISNUMBER(SEARCH("严格保密",AA432)),11,"")))))</f>
        <v>3</v>
      </c>
      <c r="AC432" s="171" t="s">
        <v>85</v>
      </c>
      <c r="AD432" s="176">
        <f t="shared" ref="AD432:AD437" si="306">IF(OR(AC432="/",AC432=""),"/",IF(ISNUMBER(SEARCH("无限制",AC432)),0,IF(ISNUMBER(SEARCH("容易",AC432)),1,IF(ISNUMBER(SEARCH("一般",AC432)),4,IF(ISNUMBER(SEARCH("困难",AC432)),10,"")))))</f>
        <v>4</v>
      </c>
      <c r="AE432" s="171" t="s">
        <v>86</v>
      </c>
      <c r="AF432" s="176" cm="1">
        <f t="array" ref="AF432">IF(OR(AE432="/",AE432=""),"/",IF(ISNUMBER(SEARCH("普通",AE432)),0,IF(ISNUMBER(SEARCH("专用",AE432)),4,IF(ISNUMBER(SEARCH("定制",AE432)),7,IF(ISNUMBER(SEARCH("多个定制",AE432)),9,””)))))</f>
        <v>4</v>
      </c>
      <c r="AG432" s="176">
        <f t="shared" ref="AG432:AG437" si="307">IF(OR(X432="/",Z432="/",AB432="/",AD432="/",AF432="/"),"/",X432+Z432+AB432+AD432+AF432)</f>
        <v>17</v>
      </c>
      <c r="AH432" s="176" t="str">
        <f t="shared" ref="AH432:AH437" si="308">IF(AND(AG432&gt;=0,AG432&lt;14),"高High",IF(AND(AG432&gt;=14,AG432&lt;20),"中Medium",IF(AND(AG432&gt;=20,AG432&lt;25),"低Low",IF(AND(AG432&gt;=25,AG432&lt;57),"非常低Very low",""))))</f>
        <v>中Medium</v>
      </c>
      <c r="AI432" s="176" t="s">
        <v>87</v>
      </c>
      <c r="AJ432" s="176" t="str">
        <f t="shared" si="280"/>
        <v>降低
Reucing</v>
      </c>
      <c r="AK432" s="171" t="s">
        <v>1328</v>
      </c>
      <c r="AL432" s="177" t="s">
        <v>100</v>
      </c>
      <c r="AM432" s="180" t="s">
        <v>101</v>
      </c>
      <c r="AN432" s="178" t="s">
        <v>102</v>
      </c>
      <c r="AO432" s="178" t="s">
        <v>103</v>
      </c>
    </row>
    <row r="433" s="116" customFormat="1" ht="17" customHeight="1" spans="1:41">
      <c r="A433" s="171">
        <v>430</v>
      </c>
      <c r="B433" s="179"/>
      <c r="C433" s="179"/>
      <c r="D433" s="179"/>
      <c r="E433" s="171" t="s">
        <v>73</v>
      </c>
      <c r="F433" s="171"/>
      <c r="G433" s="171"/>
      <c r="H433" s="171"/>
      <c r="I433" s="171"/>
      <c r="J433" s="171"/>
      <c r="K433" s="173" t="s">
        <v>1329</v>
      </c>
      <c r="L433" s="173" t="s">
        <v>1330</v>
      </c>
      <c r="M433" s="173" t="s">
        <v>1230</v>
      </c>
      <c r="N433" s="174" t="s">
        <v>77</v>
      </c>
      <c r="O433" s="174" t="s">
        <v>77</v>
      </c>
      <c r="P433" s="174" t="s">
        <v>78</v>
      </c>
      <c r="Q433" s="174" t="s">
        <v>78</v>
      </c>
      <c r="R433" s="174" t="str">
        <f t="shared" si="302"/>
        <v>主要Major</v>
      </c>
      <c r="S433" s="175" t="s">
        <v>78</v>
      </c>
      <c r="T433" s="175" t="s">
        <v>1331</v>
      </c>
      <c r="U433" s="175" t="s">
        <v>1332</v>
      </c>
      <c r="V433" s="171" t="s">
        <v>1327</v>
      </c>
      <c r="W433" s="171" t="s">
        <v>82</v>
      </c>
      <c r="X433" s="176">
        <f t="shared" si="303"/>
        <v>0</v>
      </c>
      <c r="Y433" s="171" t="s">
        <v>83</v>
      </c>
      <c r="Z433" s="176">
        <f t="shared" si="304"/>
        <v>6</v>
      </c>
      <c r="AA433" s="171" t="s">
        <v>84</v>
      </c>
      <c r="AB433" s="176">
        <f t="shared" si="305"/>
        <v>3</v>
      </c>
      <c r="AC433" s="171" t="s">
        <v>85</v>
      </c>
      <c r="AD433" s="176">
        <f t="shared" si="306"/>
        <v>4</v>
      </c>
      <c r="AE433" s="171" t="s">
        <v>86</v>
      </c>
      <c r="AF433" s="176" cm="1">
        <f t="array" ref="AF433">IF(OR(AE433="/",AE433=""),"/",IF(ISNUMBER(SEARCH("普通",AE433)),0,IF(ISNUMBER(SEARCH("专用",AE433)),4,IF(ISNUMBER(SEARCH("定制",AE433)),7,IF(ISNUMBER(SEARCH("多个定制",AE433)),9,””)))))</f>
        <v>4</v>
      </c>
      <c r="AG433" s="176">
        <f t="shared" si="307"/>
        <v>17</v>
      </c>
      <c r="AH433" s="176" t="str">
        <f t="shared" si="308"/>
        <v>中Medium</v>
      </c>
      <c r="AI433" s="176" t="s">
        <v>87</v>
      </c>
      <c r="AJ433" s="176" t="str">
        <f t="shared" si="280"/>
        <v>降低
Reucing</v>
      </c>
      <c r="AK433" s="171" t="s">
        <v>1333</v>
      </c>
      <c r="AL433" s="177" t="s">
        <v>1334</v>
      </c>
      <c r="AM433" s="180" t="s">
        <v>1335</v>
      </c>
      <c r="AN433" s="178" t="s">
        <v>1233</v>
      </c>
      <c r="AO433" s="178" t="s">
        <v>1234</v>
      </c>
    </row>
    <row r="434" s="116" customFormat="1" ht="17" customHeight="1" spans="1:41">
      <c r="A434" s="171">
        <v>431</v>
      </c>
      <c r="B434" s="179"/>
      <c r="C434" s="179"/>
      <c r="D434" s="179"/>
      <c r="E434" s="171"/>
      <c r="F434" s="171" t="s">
        <v>73</v>
      </c>
      <c r="G434" s="171"/>
      <c r="H434" s="171"/>
      <c r="I434" s="171"/>
      <c r="J434" s="171"/>
      <c r="K434" s="173" t="s">
        <v>1336</v>
      </c>
      <c r="L434" s="173" t="s">
        <v>1337</v>
      </c>
      <c r="M434" s="173" t="s">
        <v>553</v>
      </c>
      <c r="N434" s="174" t="s">
        <v>77</v>
      </c>
      <c r="O434" s="174" t="s">
        <v>77</v>
      </c>
      <c r="P434" s="174" t="s">
        <v>96</v>
      </c>
      <c r="Q434" s="174" t="s">
        <v>77</v>
      </c>
      <c r="R434" s="174" t="str">
        <f t="shared" si="302"/>
        <v>中等Medium</v>
      </c>
      <c r="S434" s="175" t="s">
        <v>96</v>
      </c>
      <c r="T434" s="175" t="s">
        <v>1338</v>
      </c>
      <c r="U434" s="175" t="s">
        <v>555</v>
      </c>
      <c r="V434" s="171" t="s">
        <v>1327</v>
      </c>
      <c r="W434" s="171" t="s">
        <v>111</v>
      </c>
      <c r="X434" s="176">
        <f t="shared" si="303"/>
        <v>1</v>
      </c>
      <c r="Y434" s="171" t="s">
        <v>83</v>
      </c>
      <c r="Z434" s="176">
        <f t="shared" si="304"/>
        <v>6</v>
      </c>
      <c r="AA434" s="171" t="s">
        <v>153</v>
      </c>
      <c r="AB434" s="176">
        <f t="shared" si="305"/>
        <v>0</v>
      </c>
      <c r="AC434" s="171" t="s">
        <v>558</v>
      </c>
      <c r="AD434" s="176">
        <f t="shared" si="306"/>
        <v>10</v>
      </c>
      <c r="AE434" s="171" t="s">
        <v>86</v>
      </c>
      <c r="AF434" s="176" cm="1">
        <f t="array" ref="AF434">IF(OR(AE434="/",AE434=""),"/",IF(ISNUMBER(SEARCH("普通",AE434)),0,IF(ISNUMBER(SEARCH("专用",AE434)),4,IF(ISNUMBER(SEARCH("定制",AE434)),7,IF(ISNUMBER(SEARCH("多个定制",AE434)),9,””)))))</f>
        <v>4</v>
      </c>
      <c r="AG434" s="176">
        <f t="shared" si="307"/>
        <v>21</v>
      </c>
      <c r="AH434" s="176" t="str">
        <f t="shared" si="308"/>
        <v>低Low</v>
      </c>
      <c r="AI434" s="176" t="s">
        <v>144</v>
      </c>
      <c r="AJ434" s="176" t="str">
        <f t="shared" si="280"/>
        <v>保留
Retaining</v>
      </c>
      <c r="AK434" s="171" t="s">
        <v>145</v>
      </c>
      <c r="AL434" s="177" t="s">
        <v>145</v>
      </c>
      <c r="AM434" s="171" t="s">
        <v>145</v>
      </c>
      <c r="AN434" s="178" t="s">
        <v>270</v>
      </c>
      <c r="AO434" s="178" t="s">
        <v>271</v>
      </c>
    </row>
    <row r="435" s="116" customFormat="1" ht="17" customHeight="1" spans="1:41">
      <c r="A435" s="171">
        <v>432</v>
      </c>
      <c r="B435" s="179"/>
      <c r="C435" s="179"/>
      <c r="D435" s="179"/>
      <c r="E435" s="171"/>
      <c r="F435" s="171"/>
      <c r="G435" s="171" t="s">
        <v>73</v>
      </c>
      <c r="H435" s="171"/>
      <c r="I435" s="171"/>
      <c r="J435" s="171"/>
      <c r="K435" s="173" t="s">
        <v>1339</v>
      </c>
      <c r="L435" s="173" t="s">
        <v>1340</v>
      </c>
      <c r="M435" s="173" t="s">
        <v>1240</v>
      </c>
      <c r="N435" s="174" t="s">
        <v>77</v>
      </c>
      <c r="O435" s="174" t="s">
        <v>77</v>
      </c>
      <c r="P435" s="174" t="s">
        <v>78</v>
      </c>
      <c r="Q435" s="174" t="s">
        <v>77</v>
      </c>
      <c r="R435" s="174" t="str">
        <f t="shared" si="302"/>
        <v>主要Major</v>
      </c>
      <c r="S435" s="175" t="s">
        <v>78</v>
      </c>
      <c r="T435" s="175" t="s">
        <v>1341</v>
      </c>
      <c r="U435" s="175" t="s">
        <v>1242</v>
      </c>
      <c r="V435" s="171" t="s">
        <v>1327</v>
      </c>
      <c r="W435" s="171" t="s">
        <v>82</v>
      </c>
      <c r="X435" s="176">
        <f t="shared" si="303"/>
        <v>0</v>
      </c>
      <c r="Y435" s="171" t="s">
        <v>83</v>
      </c>
      <c r="Z435" s="176">
        <f t="shared" si="304"/>
        <v>6</v>
      </c>
      <c r="AA435" s="171" t="s">
        <v>84</v>
      </c>
      <c r="AB435" s="176">
        <f t="shared" si="305"/>
        <v>3</v>
      </c>
      <c r="AC435" s="171" t="s">
        <v>85</v>
      </c>
      <c r="AD435" s="176">
        <f t="shared" si="306"/>
        <v>4</v>
      </c>
      <c r="AE435" s="171" t="s">
        <v>86</v>
      </c>
      <c r="AF435" s="176" cm="1">
        <f t="array" ref="AF435">IF(OR(AE435="/",AE435=""),"/",IF(ISNUMBER(SEARCH("普通",AE435)),0,IF(ISNUMBER(SEARCH("专用",AE435)),4,IF(ISNUMBER(SEARCH("定制",AE435)),7,IF(ISNUMBER(SEARCH("多个定制",AE435)),9,””)))))</f>
        <v>4</v>
      </c>
      <c r="AG435" s="176">
        <f t="shared" si="307"/>
        <v>17</v>
      </c>
      <c r="AH435" s="176" t="str">
        <f t="shared" si="308"/>
        <v>中Medium</v>
      </c>
      <c r="AI435" s="176" t="s">
        <v>87</v>
      </c>
      <c r="AJ435" s="176" t="str">
        <f t="shared" si="280"/>
        <v>降低
Reucing</v>
      </c>
      <c r="AK435" s="171" t="s">
        <v>1342</v>
      </c>
      <c r="AL435" s="177" t="s">
        <v>1343</v>
      </c>
      <c r="AM435" s="180" t="s">
        <v>1344</v>
      </c>
      <c r="AN435" s="178" t="s">
        <v>1243</v>
      </c>
      <c r="AO435" s="178" t="s">
        <v>1244</v>
      </c>
    </row>
    <row r="436" s="116" customFormat="1" ht="17" customHeight="1" spans="1:41">
      <c r="A436" s="171">
        <v>433</v>
      </c>
      <c r="B436" s="179"/>
      <c r="C436" s="179"/>
      <c r="D436" s="179"/>
      <c r="E436" s="171"/>
      <c r="F436" s="171"/>
      <c r="G436" s="171" t="s">
        <v>73</v>
      </c>
      <c r="H436" s="171"/>
      <c r="I436" s="171"/>
      <c r="J436" s="171"/>
      <c r="K436" s="173" t="s">
        <v>1345</v>
      </c>
      <c r="L436" s="173" t="s">
        <v>1346</v>
      </c>
      <c r="M436" s="173" t="s">
        <v>150</v>
      </c>
      <c r="N436" s="174" t="s">
        <v>77</v>
      </c>
      <c r="O436" s="174" t="s">
        <v>77</v>
      </c>
      <c r="P436" s="174" t="s">
        <v>78</v>
      </c>
      <c r="Q436" s="174" t="s">
        <v>77</v>
      </c>
      <c r="R436" s="174" t="str">
        <f t="shared" si="302"/>
        <v>主要Major</v>
      </c>
      <c r="S436" s="175" t="s">
        <v>78</v>
      </c>
      <c r="T436" s="175" t="s">
        <v>1347</v>
      </c>
      <c r="U436" s="175" t="s">
        <v>1248</v>
      </c>
      <c r="V436" s="171" t="s">
        <v>1327</v>
      </c>
      <c r="W436" s="171" t="s">
        <v>82</v>
      </c>
      <c r="X436" s="176">
        <f t="shared" si="303"/>
        <v>0</v>
      </c>
      <c r="Y436" s="171" t="s">
        <v>83</v>
      </c>
      <c r="Z436" s="176">
        <f t="shared" si="304"/>
        <v>6</v>
      </c>
      <c r="AA436" s="171" t="s">
        <v>84</v>
      </c>
      <c r="AB436" s="176">
        <f t="shared" si="305"/>
        <v>3</v>
      </c>
      <c r="AC436" s="171" t="s">
        <v>85</v>
      </c>
      <c r="AD436" s="176">
        <f t="shared" si="306"/>
        <v>4</v>
      </c>
      <c r="AE436" s="171" t="s">
        <v>86</v>
      </c>
      <c r="AF436" s="176" cm="1">
        <f t="array" ref="AF436">IF(OR(AE436="/",AE436=""),"/",IF(ISNUMBER(SEARCH("普通",AE436)),0,IF(ISNUMBER(SEARCH("专用",AE436)),4,IF(ISNUMBER(SEARCH("定制",AE436)),7,IF(ISNUMBER(SEARCH("多个定制",AE436)),9,””)))))</f>
        <v>4</v>
      </c>
      <c r="AG436" s="176">
        <f t="shared" si="307"/>
        <v>17</v>
      </c>
      <c r="AH436" s="176" t="str">
        <f t="shared" si="308"/>
        <v>中Medium</v>
      </c>
      <c r="AI436" s="176" t="s">
        <v>87</v>
      </c>
      <c r="AJ436" s="176" t="str">
        <f t="shared" si="280"/>
        <v>降低
Reucing</v>
      </c>
      <c r="AK436" s="171" t="s">
        <v>1348</v>
      </c>
      <c r="AL436" s="177" t="s">
        <v>1349</v>
      </c>
      <c r="AM436" s="180" t="s">
        <v>1350</v>
      </c>
      <c r="AN436" s="178" t="s">
        <v>1249</v>
      </c>
      <c r="AO436" s="178" t="s">
        <v>1250</v>
      </c>
    </row>
    <row r="437" s="116" customFormat="1" ht="17" customHeight="1" spans="1:41">
      <c r="A437" s="171">
        <v>434</v>
      </c>
      <c r="B437" s="179"/>
      <c r="C437" s="179"/>
      <c r="D437" s="179"/>
      <c r="E437" s="171"/>
      <c r="F437" s="171"/>
      <c r="G437" s="171"/>
      <c r="H437" s="171" t="s">
        <v>73</v>
      </c>
      <c r="I437" s="171"/>
      <c r="J437" s="171"/>
      <c r="K437" s="173" t="s">
        <v>1351</v>
      </c>
      <c r="L437" s="173" t="s">
        <v>1352</v>
      </c>
      <c r="M437" s="173" t="s">
        <v>589</v>
      </c>
      <c r="N437" s="174" t="s">
        <v>77</v>
      </c>
      <c r="O437" s="174" t="s">
        <v>77</v>
      </c>
      <c r="P437" s="174" t="s">
        <v>78</v>
      </c>
      <c r="Q437" s="174" t="s">
        <v>77</v>
      </c>
      <c r="R437" s="174" t="str">
        <f t="shared" si="302"/>
        <v>主要Major</v>
      </c>
      <c r="S437" s="175" t="s">
        <v>78</v>
      </c>
      <c r="T437" s="175" t="s">
        <v>1353</v>
      </c>
      <c r="U437" s="175" t="s">
        <v>591</v>
      </c>
      <c r="V437" s="171" t="s">
        <v>1327</v>
      </c>
      <c r="W437" s="171" t="s">
        <v>82</v>
      </c>
      <c r="X437" s="176">
        <f t="shared" si="303"/>
        <v>0</v>
      </c>
      <c r="Y437" s="171" t="s">
        <v>83</v>
      </c>
      <c r="Z437" s="176">
        <f t="shared" si="304"/>
        <v>6</v>
      </c>
      <c r="AA437" s="171" t="s">
        <v>153</v>
      </c>
      <c r="AB437" s="176">
        <f t="shared" si="305"/>
        <v>0</v>
      </c>
      <c r="AC437" s="171" t="s">
        <v>558</v>
      </c>
      <c r="AD437" s="176">
        <f t="shared" si="306"/>
        <v>10</v>
      </c>
      <c r="AE437" s="171" t="s">
        <v>86</v>
      </c>
      <c r="AF437" s="176" cm="1">
        <f t="array" ref="AF437">IF(OR(AE437="/",AE437=""),"/",IF(ISNUMBER(SEARCH("普通",AE437)),0,IF(ISNUMBER(SEARCH("专用",AE437)),4,IF(ISNUMBER(SEARCH("定制",AE437)),7,IF(ISNUMBER(SEARCH("多个定制",AE437)),9,””)))))</f>
        <v>4</v>
      </c>
      <c r="AG437" s="176">
        <f t="shared" si="307"/>
        <v>20</v>
      </c>
      <c r="AH437" s="176" t="str">
        <f t="shared" si="308"/>
        <v>低Low</v>
      </c>
      <c r="AI437" s="176" t="s">
        <v>87</v>
      </c>
      <c r="AJ437" s="176" t="str">
        <f t="shared" si="280"/>
        <v>降低
Reucing</v>
      </c>
      <c r="AK437" s="171" t="s">
        <v>1354</v>
      </c>
      <c r="AL437" s="177" t="s">
        <v>1355</v>
      </c>
      <c r="AM437" s="180" t="s">
        <v>101</v>
      </c>
      <c r="AN437" s="178" t="s">
        <v>592</v>
      </c>
      <c r="AO437" s="178" t="s">
        <v>593</v>
      </c>
    </row>
    <row r="438" s="116" customFormat="1" ht="17" customHeight="1" spans="1:41">
      <c r="A438" s="171">
        <v>435</v>
      </c>
      <c r="B438" s="179"/>
      <c r="C438" s="179"/>
      <c r="D438" s="179"/>
      <c r="E438" s="171"/>
      <c r="F438" s="171"/>
      <c r="G438" s="171"/>
      <c r="H438" s="171"/>
      <c r="I438" s="171" t="s">
        <v>183</v>
      </c>
      <c r="J438" s="171"/>
      <c r="K438" s="173" t="s">
        <v>145</v>
      </c>
      <c r="L438" s="173" t="s">
        <v>145</v>
      </c>
      <c r="M438" s="173" t="s">
        <v>145</v>
      </c>
      <c r="N438" s="174" t="s">
        <v>145</v>
      </c>
      <c r="O438" s="174" t="s">
        <v>145</v>
      </c>
      <c r="P438" s="174" t="s">
        <v>145</v>
      </c>
      <c r="Q438" s="174" t="s">
        <v>145</v>
      </c>
      <c r="R438" s="174" t="s">
        <v>145</v>
      </c>
      <c r="S438" s="175" t="s">
        <v>145</v>
      </c>
      <c r="T438" s="175" t="s">
        <v>145</v>
      </c>
      <c r="U438" s="175" t="s">
        <v>145</v>
      </c>
      <c r="V438" s="171" t="s">
        <v>145</v>
      </c>
      <c r="W438" s="171" t="s">
        <v>145</v>
      </c>
      <c r="X438" s="176" t="s">
        <v>145</v>
      </c>
      <c r="Y438" s="171" t="s">
        <v>145</v>
      </c>
      <c r="Z438" s="176" t="s">
        <v>145</v>
      </c>
      <c r="AA438" s="171" t="s">
        <v>145</v>
      </c>
      <c r="AB438" s="176" t="s">
        <v>145</v>
      </c>
      <c r="AC438" s="171" t="s">
        <v>145</v>
      </c>
      <c r="AD438" s="176" t="s">
        <v>145</v>
      </c>
      <c r="AE438" s="171" t="s">
        <v>145</v>
      </c>
      <c r="AF438" s="176" t="str" cm="1">
        <f t="array" ref="AF438">IF(OR(AE438="/",AE438=""),"/",IF(ISNUMBER(SEARCH("普通",AE438)),0,IF(ISNUMBER(SEARCH("专用",AE438)),4,IF(ISNUMBER(SEARCH("定制",AE438)),7,IF(ISNUMBER(SEARCH("多个定制",AE438)),9,””)))))</f>
        <v>/</v>
      </c>
      <c r="AG438" s="176" t="s">
        <v>145</v>
      </c>
      <c r="AH438" s="176" t="s">
        <v>145</v>
      </c>
      <c r="AI438" s="176" t="s">
        <v>145</v>
      </c>
      <c r="AJ438" s="176" t="str">
        <f t="shared" si="280"/>
        <v>/</v>
      </c>
      <c r="AK438" s="171" t="s">
        <v>145</v>
      </c>
      <c r="AL438" s="177" t="s">
        <v>145</v>
      </c>
      <c r="AM438" s="177" t="s">
        <v>145</v>
      </c>
      <c r="AN438" s="177" t="s">
        <v>145</v>
      </c>
      <c r="AO438" s="177" t="s">
        <v>145</v>
      </c>
    </row>
    <row r="439" s="116" customFormat="1" ht="17" customHeight="1" spans="1:41">
      <c r="A439" s="171">
        <v>436</v>
      </c>
      <c r="B439" s="181"/>
      <c r="C439" s="181"/>
      <c r="D439" s="181"/>
      <c r="E439" s="171"/>
      <c r="F439" s="171"/>
      <c r="G439" s="171"/>
      <c r="H439" s="171"/>
      <c r="I439" s="171"/>
      <c r="J439" s="171" t="s">
        <v>183</v>
      </c>
      <c r="K439" s="173" t="s">
        <v>145</v>
      </c>
      <c r="L439" s="173" t="s">
        <v>145</v>
      </c>
      <c r="M439" s="173" t="s">
        <v>145</v>
      </c>
      <c r="N439" s="174" t="s">
        <v>145</v>
      </c>
      <c r="O439" s="174" t="s">
        <v>145</v>
      </c>
      <c r="P439" s="174" t="s">
        <v>145</v>
      </c>
      <c r="Q439" s="174" t="s">
        <v>145</v>
      </c>
      <c r="R439" s="174" t="s">
        <v>145</v>
      </c>
      <c r="S439" s="175" t="s">
        <v>145</v>
      </c>
      <c r="T439" s="175" t="s">
        <v>145</v>
      </c>
      <c r="U439" s="175" t="s">
        <v>145</v>
      </c>
      <c r="V439" s="171" t="s">
        <v>145</v>
      </c>
      <c r="W439" s="171" t="s">
        <v>145</v>
      </c>
      <c r="X439" s="176" t="s">
        <v>145</v>
      </c>
      <c r="Y439" s="171" t="s">
        <v>145</v>
      </c>
      <c r="Z439" s="176" t="s">
        <v>145</v>
      </c>
      <c r="AA439" s="171" t="s">
        <v>145</v>
      </c>
      <c r="AB439" s="176" t="s">
        <v>145</v>
      </c>
      <c r="AC439" s="171" t="s">
        <v>145</v>
      </c>
      <c r="AD439" s="176" t="s">
        <v>145</v>
      </c>
      <c r="AE439" s="171" t="s">
        <v>145</v>
      </c>
      <c r="AF439" s="176" t="str" cm="1">
        <f t="array" ref="AF439">IF(OR(AE439="/",AE439=""),"/",IF(ISNUMBER(SEARCH("普通",AE439)),0,IF(ISNUMBER(SEARCH("专用",AE439)),4,IF(ISNUMBER(SEARCH("定制",AE439)),7,IF(ISNUMBER(SEARCH("多个定制",AE439)),9,””)))))</f>
        <v>/</v>
      </c>
      <c r="AG439" s="176" t="s">
        <v>145</v>
      </c>
      <c r="AH439" s="176" t="s">
        <v>145</v>
      </c>
      <c r="AI439" s="176" t="s">
        <v>145</v>
      </c>
      <c r="AJ439" s="176" t="str">
        <f t="shared" si="280"/>
        <v>/</v>
      </c>
      <c r="AK439" s="171" t="s">
        <v>145</v>
      </c>
      <c r="AL439" s="177" t="s">
        <v>145</v>
      </c>
      <c r="AM439" s="177" t="s">
        <v>145</v>
      </c>
      <c r="AN439" s="177" t="s">
        <v>145</v>
      </c>
      <c r="AO439" s="177" t="s">
        <v>145</v>
      </c>
    </row>
    <row r="440" s="116" customFormat="1" ht="17" customHeight="1" spans="1:41">
      <c r="A440" s="171">
        <v>437</v>
      </c>
      <c r="B440" s="172" t="s">
        <v>1356</v>
      </c>
      <c r="C440" s="171" t="s">
        <v>1221</v>
      </c>
      <c r="D440" s="173" t="s">
        <v>1357</v>
      </c>
      <c r="E440" s="171" t="s">
        <v>73</v>
      </c>
      <c r="F440" s="171"/>
      <c r="G440" s="171"/>
      <c r="H440" s="171"/>
      <c r="I440" s="171"/>
      <c r="J440" s="171"/>
      <c r="K440" s="173" t="s">
        <v>1323</v>
      </c>
      <c r="L440" s="173" t="s">
        <v>1358</v>
      </c>
      <c r="M440" s="173" t="s">
        <v>95</v>
      </c>
      <c r="N440" s="174" t="s">
        <v>77</v>
      </c>
      <c r="O440" s="174" t="s">
        <v>77</v>
      </c>
      <c r="P440" s="174" t="s">
        <v>78</v>
      </c>
      <c r="Q440" s="174" t="s">
        <v>96</v>
      </c>
      <c r="R440" s="174" t="str">
        <f t="shared" ref="R440:R445" si="309">IF(OR(N440="严重Severe",O440="严重Severe",P440="严重Severe",Q440="严重Severe"),"严重Severe",IF(OR(N440="主要Major",O440="主要Major",P440="主要Major",Q440="主要Major"),"主要Major",IF(OR(N440="中等Medium",O440="中等Medium",P440="中等Medium",Q440="中等Medium"),"中等Medium",IF(OR(N440="可忽略不计Negligible",O440="可忽略不计Negligible",P440="可忽略不计Negligible",Q440="可忽略不计Negligible"),"可忽略不计Negligible","/"))))</f>
        <v>主要Major</v>
      </c>
      <c r="S440" s="175" t="s">
        <v>78</v>
      </c>
      <c r="T440" s="175" t="s">
        <v>1325</v>
      </c>
      <c r="U440" s="175" t="s">
        <v>1359</v>
      </c>
      <c r="V440" s="171" t="s">
        <v>1360</v>
      </c>
      <c r="W440" s="171" t="s">
        <v>82</v>
      </c>
      <c r="X440" s="176">
        <f t="shared" ref="X440:X445" si="310">IF(OR(W440="/",W440=""),"/",IF(ISNUMBER(SEARCH("1天",W440)),0,IF(ISNUMBER(SEARCH("一周",W440)),1,IF(ISNUMBER(SEARCH("1个月",W440)),4,IF(ISNUMBER(SEARCH("超过",W440)),19,IF(ISNUMBER(SEARCH("6个月",W440)),17,""))))))</f>
        <v>0</v>
      </c>
      <c r="Y440" s="171" t="s">
        <v>83</v>
      </c>
      <c r="Z440" s="176">
        <f t="shared" ref="Z440:Z445" si="311">IF(OR(Y440="/",Y440=""),"/",IF(ISNUMBER(SEARCH("新手",Y440)),0,IF(ISNUMBER(SEARCH("熟练",Y440)),3,IF(ISNUMBER(SEARCH("多位",Y440)),17,IF(ISNUMBER(SEARCH("专家",Y440)),6,"")))))</f>
        <v>6</v>
      </c>
      <c r="AA440" s="171" t="s">
        <v>84</v>
      </c>
      <c r="AB440" s="176">
        <f t="shared" ref="AB440:AB445" si="312">IF(OR(AA440="/",AA440=""),"/",IF(ISNUMBER(SEARCH("公开",AA440)),0,IF(ISNUMBER(SEARCH("限制性信息",AA440)),3,IF(ISNUMBER(SEARCH("机密信息",AA440)),7,IF(ISNUMBER(SEARCH("严格保密",AA440)),11,"")))))</f>
        <v>3</v>
      </c>
      <c r="AC440" s="171" t="s">
        <v>85</v>
      </c>
      <c r="AD440" s="176">
        <f t="shared" ref="AD440:AD445" si="313">IF(OR(AC440="/",AC440=""),"/",IF(ISNUMBER(SEARCH("无限制",AC440)),0,IF(ISNUMBER(SEARCH("容易",AC440)),1,IF(ISNUMBER(SEARCH("一般",AC440)),4,IF(ISNUMBER(SEARCH("困难",AC440)),10,"")))))</f>
        <v>4</v>
      </c>
      <c r="AE440" s="171" t="s">
        <v>86</v>
      </c>
      <c r="AF440" s="176" cm="1">
        <f t="array" ref="AF440">IF(OR(AE440="/",AE440=""),"/",IF(ISNUMBER(SEARCH("普通",AE440)),0,IF(ISNUMBER(SEARCH("专用",AE440)),4,IF(ISNUMBER(SEARCH("定制",AE440)),7,IF(ISNUMBER(SEARCH("多个定制",AE440)),9,””)))))</f>
        <v>4</v>
      </c>
      <c r="AG440" s="176">
        <f t="shared" ref="AG440:AG445" si="314">IF(OR(X440="/",Z440="/",AB440="/",AD440="/",AF440="/"),"/",X440+Z440+AB440+AD440+AF440)</f>
        <v>17</v>
      </c>
      <c r="AH440" s="176" t="str">
        <f t="shared" ref="AH440:AH445" si="315">IF(AND(AG440&gt;=0,AG440&lt;14),"高High",IF(AND(AG440&gt;=14,AG440&lt;20),"中Medium",IF(AND(AG440&gt;=20,AG440&lt;25),"低Low",IF(AND(AG440&gt;=25,AG440&lt;57),"非常低Very low",""))))</f>
        <v>中Medium</v>
      </c>
      <c r="AI440" s="176" t="s">
        <v>87</v>
      </c>
      <c r="AJ440" s="176" t="str">
        <f t="shared" si="280"/>
        <v>降低
Reucing</v>
      </c>
      <c r="AK440" s="171" t="s">
        <v>1328</v>
      </c>
      <c r="AL440" s="177" t="s">
        <v>100</v>
      </c>
      <c r="AM440" s="180" t="s">
        <v>101</v>
      </c>
      <c r="AN440" s="178" t="s">
        <v>102</v>
      </c>
      <c r="AO440" s="178" t="s">
        <v>103</v>
      </c>
    </row>
    <row r="441" s="116" customFormat="1" ht="17" customHeight="1" spans="1:41">
      <c r="A441" s="171">
        <v>438</v>
      </c>
      <c r="B441" s="179"/>
      <c r="C441" s="179"/>
      <c r="D441" s="179"/>
      <c r="E441" s="171" t="s">
        <v>73</v>
      </c>
      <c r="F441" s="171"/>
      <c r="G441" s="171"/>
      <c r="H441" s="171"/>
      <c r="I441" s="171"/>
      <c r="J441" s="171"/>
      <c r="K441" s="173" t="s">
        <v>1329</v>
      </c>
      <c r="L441" s="173" t="s">
        <v>1361</v>
      </c>
      <c r="M441" s="173" t="s">
        <v>1230</v>
      </c>
      <c r="N441" s="174" t="s">
        <v>77</v>
      </c>
      <c r="O441" s="174" t="s">
        <v>77</v>
      </c>
      <c r="P441" s="174" t="s">
        <v>78</v>
      </c>
      <c r="Q441" s="174" t="s">
        <v>78</v>
      </c>
      <c r="R441" s="174" t="str">
        <f t="shared" si="309"/>
        <v>主要Major</v>
      </c>
      <c r="S441" s="175" t="s">
        <v>78</v>
      </c>
      <c r="T441" s="175" t="s">
        <v>1331</v>
      </c>
      <c r="U441" s="175" t="s">
        <v>1362</v>
      </c>
      <c r="V441" s="171" t="s">
        <v>1360</v>
      </c>
      <c r="W441" s="171" t="s">
        <v>82</v>
      </c>
      <c r="X441" s="176">
        <f t="shared" si="310"/>
        <v>0</v>
      </c>
      <c r="Y441" s="171" t="s">
        <v>83</v>
      </c>
      <c r="Z441" s="176">
        <f t="shared" si="311"/>
        <v>6</v>
      </c>
      <c r="AA441" s="171" t="s">
        <v>84</v>
      </c>
      <c r="AB441" s="176">
        <f t="shared" si="312"/>
        <v>3</v>
      </c>
      <c r="AC441" s="171" t="s">
        <v>85</v>
      </c>
      <c r="AD441" s="176">
        <f t="shared" si="313"/>
        <v>4</v>
      </c>
      <c r="AE441" s="171" t="s">
        <v>86</v>
      </c>
      <c r="AF441" s="176" cm="1">
        <f t="array" ref="AF441">IF(OR(AE441="/",AE441=""),"/",IF(ISNUMBER(SEARCH("普通",AE441)),0,IF(ISNUMBER(SEARCH("专用",AE441)),4,IF(ISNUMBER(SEARCH("定制",AE441)),7,IF(ISNUMBER(SEARCH("多个定制",AE441)),9,””)))))</f>
        <v>4</v>
      </c>
      <c r="AG441" s="176">
        <f t="shared" si="314"/>
        <v>17</v>
      </c>
      <c r="AH441" s="176" t="str">
        <f t="shared" si="315"/>
        <v>中Medium</v>
      </c>
      <c r="AI441" s="176" t="s">
        <v>87</v>
      </c>
      <c r="AJ441" s="176" t="str">
        <f t="shared" si="280"/>
        <v>降低
Reucing</v>
      </c>
      <c r="AK441" s="171" t="s">
        <v>1333</v>
      </c>
      <c r="AL441" s="177" t="s">
        <v>1334</v>
      </c>
      <c r="AM441" s="180" t="s">
        <v>1335</v>
      </c>
      <c r="AN441" s="178" t="s">
        <v>1233</v>
      </c>
      <c r="AO441" s="178" t="s">
        <v>1234</v>
      </c>
    </row>
    <row r="442" s="116" customFormat="1" ht="17" customHeight="1" spans="1:41">
      <c r="A442" s="171">
        <v>439</v>
      </c>
      <c r="B442" s="179"/>
      <c r="C442" s="179"/>
      <c r="D442" s="179"/>
      <c r="E442" s="171"/>
      <c r="F442" s="171" t="s">
        <v>73</v>
      </c>
      <c r="G442" s="171"/>
      <c r="H442" s="171"/>
      <c r="I442" s="171"/>
      <c r="J442" s="171"/>
      <c r="K442" s="173" t="s">
        <v>1336</v>
      </c>
      <c r="L442" s="173" t="s">
        <v>1363</v>
      </c>
      <c r="M442" s="173" t="s">
        <v>553</v>
      </c>
      <c r="N442" s="174" t="s">
        <v>77</v>
      </c>
      <c r="O442" s="174" t="s">
        <v>77</v>
      </c>
      <c r="P442" s="174" t="s">
        <v>96</v>
      </c>
      <c r="Q442" s="174" t="s">
        <v>77</v>
      </c>
      <c r="R442" s="174" t="str">
        <f t="shared" si="309"/>
        <v>中等Medium</v>
      </c>
      <c r="S442" s="175" t="s">
        <v>96</v>
      </c>
      <c r="T442" s="175" t="s">
        <v>1338</v>
      </c>
      <c r="U442" s="175" t="s">
        <v>555</v>
      </c>
      <c r="V442" s="171" t="s">
        <v>1360</v>
      </c>
      <c r="W442" s="171" t="s">
        <v>111</v>
      </c>
      <c r="X442" s="176">
        <f t="shared" si="310"/>
        <v>1</v>
      </c>
      <c r="Y442" s="171" t="s">
        <v>83</v>
      </c>
      <c r="Z442" s="176">
        <f t="shared" si="311"/>
        <v>6</v>
      </c>
      <c r="AA442" s="171" t="s">
        <v>153</v>
      </c>
      <c r="AB442" s="176">
        <f t="shared" si="312"/>
        <v>0</v>
      </c>
      <c r="AC442" s="171" t="s">
        <v>558</v>
      </c>
      <c r="AD442" s="176">
        <f t="shared" si="313"/>
        <v>10</v>
      </c>
      <c r="AE442" s="171" t="s">
        <v>86</v>
      </c>
      <c r="AF442" s="176" cm="1">
        <f t="array" ref="AF442">IF(OR(AE442="/",AE442=""),"/",IF(ISNUMBER(SEARCH("普通",AE442)),0,IF(ISNUMBER(SEARCH("专用",AE442)),4,IF(ISNUMBER(SEARCH("定制",AE442)),7,IF(ISNUMBER(SEARCH("多个定制",AE442)),9,””)))))</f>
        <v>4</v>
      </c>
      <c r="AG442" s="176">
        <f t="shared" si="314"/>
        <v>21</v>
      </c>
      <c r="AH442" s="176" t="str">
        <f t="shared" si="315"/>
        <v>低Low</v>
      </c>
      <c r="AI442" s="176" t="s">
        <v>144</v>
      </c>
      <c r="AJ442" s="176" t="str">
        <f t="shared" si="280"/>
        <v>保留
Retaining</v>
      </c>
      <c r="AK442" s="171" t="s">
        <v>145</v>
      </c>
      <c r="AL442" s="177" t="s">
        <v>145</v>
      </c>
      <c r="AM442" s="171" t="s">
        <v>145</v>
      </c>
      <c r="AN442" s="178" t="s">
        <v>270</v>
      </c>
      <c r="AO442" s="178" t="s">
        <v>271</v>
      </c>
    </row>
    <row r="443" s="116" customFormat="1" ht="17" customHeight="1" spans="1:41">
      <c r="A443" s="171">
        <v>440</v>
      </c>
      <c r="B443" s="179"/>
      <c r="C443" s="179"/>
      <c r="D443" s="179"/>
      <c r="E443" s="171"/>
      <c r="F443" s="171"/>
      <c r="G443" s="171" t="s">
        <v>73</v>
      </c>
      <c r="H443" s="171"/>
      <c r="I443" s="171"/>
      <c r="J443" s="171"/>
      <c r="K443" s="173" t="s">
        <v>1339</v>
      </c>
      <c r="L443" s="173" t="s">
        <v>1364</v>
      </c>
      <c r="M443" s="173" t="s">
        <v>1240</v>
      </c>
      <c r="N443" s="174" t="s">
        <v>77</v>
      </c>
      <c r="O443" s="174" t="s">
        <v>77</v>
      </c>
      <c r="P443" s="174" t="s">
        <v>78</v>
      </c>
      <c r="Q443" s="174" t="s">
        <v>77</v>
      </c>
      <c r="R443" s="174" t="str">
        <f t="shared" si="309"/>
        <v>主要Major</v>
      </c>
      <c r="S443" s="175" t="s">
        <v>78</v>
      </c>
      <c r="T443" s="175" t="s">
        <v>1341</v>
      </c>
      <c r="U443" s="175" t="s">
        <v>1242</v>
      </c>
      <c r="V443" s="171" t="s">
        <v>1360</v>
      </c>
      <c r="W443" s="171" t="s">
        <v>82</v>
      </c>
      <c r="X443" s="176">
        <f t="shared" si="310"/>
        <v>0</v>
      </c>
      <c r="Y443" s="171" t="s">
        <v>83</v>
      </c>
      <c r="Z443" s="176">
        <f t="shared" si="311"/>
        <v>6</v>
      </c>
      <c r="AA443" s="171" t="s">
        <v>84</v>
      </c>
      <c r="AB443" s="176">
        <f t="shared" si="312"/>
        <v>3</v>
      </c>
      <c r="AC443" s="171" t="s">
        <v>85</v>
      </c>
      <c r="AD443" s="176">
        <f t="shared" si="313"/>
        <v>4</v>
      </c>
      <c r="AE443" s="171" t="s">
        <v>86</v>
      </c>
      <c r="AF443" s="176" cm="1">
        <f t="array" ref="AF443">IF(OR(AE443="/",AE443=""),"/",IF(ISNUMBER(SEARCH("普通",AE443)),0,IF(ISNUMBER(SEARCH("专用",AE443)),4,IF(ISNUMBER(SEARCH("定制",AE443)),7,IF(ISNUMBER(SEARCH("多个定制",AE443)),9,””)))))</f>
        <v>4</v>
      </c>
      <c r="AG443" s="176">
        <f t="shared" si="314"/>
        <v>17</v>
      </c>
      <c r="AH443" s="176" t="str">
        <f t="shared" si="315"/>
        <v>中Medium</v>
      </c>
      <c r="AI443" s="176" t="s">
        <v>87</v>
      </c>
      <c r="AJ443" s="176" t="str">
        <f t="shared" si="280"/>
        <v>降低
Reucing</v>
      </c>
      <c r="AK443" s="171" t="s">
        <v>1342</v>
      </c>
      <c r="AL443" s="177" t="s">
        <v>1343</v>
      </c>
      <c r="AM443" s="180" t="s">
        <v>1344</v>
      </c>
      <c r="AN443" s="178" t="s">
        <v>1243</v>
      </c>
      <c r="AO443" s="178" t="s">
        <v>1244</v>
      </c>
    </row>
    <row r="444" s="116" customFormat="1" ht="17" customHeight="1" spans="1:41">
      <c r="A444" s="171">
        <v>441</v>
      </c>
      <c r="B444" s="179"/>
      <c r="C444" s="179"/>
      <c r="D444" s="179"/>
      <c r="E444" s="171"/>
      <c r="F444" s="171"/>
      <c r="G444" s="171" t="s">
        <v>73</v>
      </c>
      <c r="H444" s="171"/>
      <c r="I444" s="171"/>
      <c r="J444" s="171"/>
      <c r="K444" s="173" t="s">
        <v>1345</v>
      </c>
      <c r="L444" s="173" t="s">
        <v>1365</v>
      </c>
      <c r="M444" s="173" t="s">
        <v>150</v>
      </c>
      <c r="N444" s="174" t="s">
        <v>77</v>
      </c>
      <c r="O444" s="174" t="s">
        <v>77</v>
      </c>
      <c r="P444" s="174" t="s">
        <v>78</v>
      </c>
      <c r="Q444" s="174" t="s">
        <v>77</v>
      </c>
      <c r="R444" s="174" t="str">
        <f t="shared" si="309"/>
        <v>主要Major</v>
      </c>
      <c r="S444" s="175" t="s">
        <v>78</v>
      </c>
      <c r="T444" s="175" t="s">
        <v>1347</v>
      </c>
      <c r="U444" s="175" t="s">
        <v>1248</v>
      </c>
      <c r="V444" s="171" t="s">
        <v>1360</v>
      </c>
      <c r="W444" s="171" t="s">
        <v>82</v>
      </c>
      <c r="X444" s="176">
        <f t="shared" si="310"/>
        <v>0</v>
      </c>
      <c r="Y444" s="171" t="s">
        <v>83</v>
      </c>
      <c r="Z444" s="176">
        <f t="shared" si="311"/>
        <v>6</v>
      </c>
      <c r="AA444" s="171" t="s">
        <v>84</v>
      </c>
      <c r="AB444" s="176">
        <f t="shared" si="312"/>
        <v>3</v>
      </c>
      <c r="AC444" s="171" t="s">
        <v>85</v>
      </c>
      <c r="AD444" s="176">
        <f t="shared" si="313"/>
        <v>4</v>
      </c>
      <c r="AE444" s="171" t="s">
        <v>86</v>
      </c>
      <c r="AF444" s="176" cm="1">
        <f t="array" ref="AF444">IF(OR(AE444="/",AE444=""),"/",IF(ISNUMBER(SEARCH("普通",AE444)),0,IF(ISNUMBER(SEARCH("专用",AE444)),4,IF(ISNUMBER(SEARCH("定制",AE444)),7,IF(ISNUMBER(SEARCH("多个定制",AE444)),9,””)))))</f>
        <v>4</v>
      </c>
      <c r="AG444" s="176">
        <f t="shared" si="314"/>
        <v>17</v>
      </c>
      <c r="AH444" s="176" t="str">
        <f t="shared" si="315"/>
        <v>中Medium</v>
      </c>
      <c r="AI444" s="176" t="s">
        <v>87</v>
      </c>
      <c r="AJ444" s="176" t="str">
        <f t="shared" si="280"/>
        <v>降低
Reucing</v>
      </c>
      <c r="AK444" s="171" t="s">
        <v>1348</v>
      </c>
      <c r="AL444" s="177" t="s">
        <v>1349</v>
      </c>
      <c r="AM444" s="180" t="s">
        <v>1350</v>
      </c>
      <c r="AN444" s="178" t="s">
        <v>1249</v>
      </c>
      <c r="AO444" s="178" t="s">
        <v>1250</v>
      </c>
    </row>
    <row r="445" s="116" customFormat="1" ht="17" customHeight="1" spans="1:41">
      <c r="A445" s="171">
        <v>442</v>
      </c>
      <c r="B445" s="179"/>
      <c r="C445" s="179"/>
      <c r="D445" s="179"/>
      <c r="E445" s="171"/>
      <c r="F445" s="171"/>
      <c r="G445" s="171"/>
      <c r="H445" s="171" t="s">
        <v>73</v>
      </c>
      <c r="I445" s="171"/>
      <c r="J445" s="171"/>
      <c r="K445" s="173" t="s">
        <v>1351</v>
      </c>
      <c r="L445" s="173" t="s">
        <v>1366</v>
      </c>
      <c r="M445" s="173" t="s">
        <v>589</v>
      </c>
      <c r="N445" s="174" t="s">
        <v>77</v>
      </c>
      <c r="O445" s="174" t="s">
        <v>77</v>
      </c>
      <c r="P445" s="174" t="s">
        <v>78</v>
      </c>
      <c r="Q445" s="174" t="s">
        <v>77</v>
      </c>
      <c r="R445" s="174" t="str">
        <f t="shared" si="309"/>
        <v>主要Major</v>
      </c>
      <c r="S445" s="175" t="s">
        <v>78</v>
      </c>
      <c r="T445" s="175" t="s">
        <v>1353</v>
      </c>
      <c r="U445" s="175" t="s">
        <v>591</v>
      </c>
      <c r="V445" s="171" t="s">
        <v>1360</v>
      </c>
      <c r="W445" s="171" t="s">
        <v>82</v>
      </c>
      <c r="X445" s="176">
        <f t="shared" si="310"/>
        <v>0</v>
      </c>
      <c r="Y445" s="171" t="s">
        <v>83</v>
      </c>
      <c r="Z445" s="176">
        <f t="shared" si="311"/>
        <v>6</v>
      </c>
      <c r="AA445" s="171" t="s">
        <v>153</v>
      </c>
      <c r="AB445" s="176">
        <f t="shared" si="312"/>
        <v>0</v>
      </c>
      <c r="AC445" s="171" t="s">
        <v>558</v>
      </c>
      <c r="AD445" s="176">
        <f t="shared" si="313"/>
        <v>10</v>
      </c>
      <c r="AE445" s="171" t="s">
        <v>86</v>
      </c>
      <c r="AF445" s="176" cm="1">
        <f t="array" ref="AF445">IF(OR(AE445="/",AE445=""),"/",IF(ISNUMBER(SEARCH("普通",AE445)),0,IF(ISNUMBER(SEARCH("专用",AE445)),4,IF(ISNUMBER(SEARCH("定制",AE445)),7,IF(ISNUMBER(SEARCH("多个定制",AE445)),9,””)))))</f>
        <v>4</v>
      </c>
      <c r="AG445" s="176">
        <f t="shared" si="314"/>
        <v>20</v>
      </c>
      <c r="AH445" s="176" t="str">
        <f t="shared" si="315"/>
        <v>低Low</v>
      </c>
      <c r="AI445" s="176" t="s">
        <v>87</v>
      </c>
      <c r="AJ445" s="176" t="str">
        <f t="shared" si="280"/>
        <v>降低
Reucing</v>
      </c>
      <c r="AK445" s="171" t="s">
        <v>1354</v>
      </c>
      <c r="AL445" s="177" t="s">
        <v>1355</v>
      </c>
      <c r="AM445" s="180" t="s">
        <v>101</v>
      </c>
      <c r="AN445" s="178" t="s">
        <v>592</v>
      </c>
      <c r="AO445" s="178" t="s">
        <v>593</v>
      </c>
    </row>
    <row r="446" s="116" customFormat="1" ht="17" customHeight="1" spans="1:41">
      <c r="A446" s="171">
        <v>443</v>
      </c>
      <c r="B446" s="179"/>
      <c r="C446" s="179"/>
      <c r="D446" s="179"/>
      <c r="E446" s="171"/>
      <c r="F446" s="171"/>
      <c r="G446" s="171"/>
      <c r="H446" s="171"/>
      <c r="I446" s="171" t="s">
        <v>183</v>
      </c>
      <c r="J446" s="171"/>
      <c r="K446" s="173" t="s">
        <v>145</v>
      </c>
      <c r="L446" s="173" t="s">
        <v>145</v>
      </c>
      <c r="M446" s="173" t="s">
        <v>145</v>
      </c>
      <c r="N446" s="174" t="s">
        <v>145</v>
      </c>
      <c r="O446" s="174" t="s">
        <v>145</v>
      </c>
      <c r="P446" s="174" t="s">
        <v>145</v>
      </c>
      <c r="Q446" s="174" t="s">
        <v>145</v>
      </c>
      <c r="R446" s="174" t="s">
        <v>145</v>
      </c>
      <c r="S446" s="175" t="s">
        <v>145</v>
      </c>
      <c r="T446" s="175" t="s">
        <v>145</v>
      </c>
      <c r="U446" s="175" t="s">
        <v>145</v>
      </c>
      <c r="V446" s="171" t="s">
        <v>145</v>
      </c>
      <c r="W446" s="171" t="s">
        <v>145</v>
      </c>
      <c r="X446" s="176" t="s">
        <v>145</v>
      </c>
      <c r="Y446" s="171" t="s">
        <v>145</v>
      </c>
      <c r="Z446" s="176" t="s">
        <v>145</v>
      </c>
      <c r="AA446" s="171" t="s">
        <v>145</v>
      </c>
      <c r="AB446" s="176" t="s">
        <v>145</v>
      </c>
      <c r="AC446" s="171" t="s">
        <v>145</v>
      </c>
      <c r="AD446" s="176" t="s">
        <v>145</v>
      </c>
      <c r="AE446" s="171" t="s">
        <v>145</v>
      </c>
      <c r="AF446" s="176" t="str" cm="1">
        <f t="array" ref="AF446">IF(OR(AE446="/",AE446=""),"/",IF(ISNUMBER(SEARCH("普通",AE446)),0,IF(ISNUMBER(SEARCH("专用",AE446)),4,IF(ISNUMBER(SEARCH("定制",AE446)),7,IF(ISNUMBER(SEARCH("多个定制",AE446)),9,””)))))</f>
        <v>/</v>
      </c>
      <c r="AG446" s="176" t="s">
        <v>145</v>
      </c>
      <c r="AH446" s="176" t="s">
        <v>145</v>
      </c>
      <c r="AI446" s="176" t="s">
        <v>145</v>
      </c>
      <c r="AJ446" s="176" t="str">
        <f t="shared" si="280"/>
        <v>/</v>
      </c>
      <c r="AK446" s="171" t="s">
        <v>145</v>
      </c>
      <c r="AL446" s="177" t="s">
        <v>145</v>
      </c>
      <c r="AM446" s="177" t="s">
        <v>145</v>
      </c>
      <c r="AN446" s="177" t="s">
        <v>145</v>
      </c>
      <c r="AO446" s="177" t="s">
        <v>145</v>
      </c>
    </row>
    <row r="447" s="116" customFormat="1" ht="17" customHeight="1" spans="1:41">
      <c r="A447" s="171">
        <v>444</v>
      </c>
      <c r="B447" s="181"/>
      <c r="C447" s="181"/>
      <c r="D447" s="181"/>
      <c r="E447" s="171"/>
      <c r="F447" s="171"/>
      <c r="G447" s="171"/>
      <c r="H447" s="171"/>
      <c r="I447" s="171"/>
      <c r="J447" s="171" t="s">
        <v>183</v>
      </c>
      <c r="K447" s="173" t="s">
        <v>145</v>
      </c>
      <c r="L447" s="173" t="s">
        <v>145</v>
      </c>
      <c r="M447" s="173" t="s">
        <v>145</v>
      </c>
      <c r="N447" s="174" t="s">
        <v>145</v>
      </c>
      <c r="O447" s="174" t="s">
        <v>145</v>
      </c>
      <c r="P447" s="174" t="s">
        <v>145</v>
      </c>
      <c r="Q447" s="174" t="s">
        <v>145</v>
      </c>
      <c r="R447" s="174" t="s">
        <v>145</v>
      </c>
      <c r="S447" s="175" t="s">
        <v>145</v>
      </c>
      <c r="T447" s="175" t="s">
        <v>145</v>
      </c>
      <c r="U447" s="175" t="s">
        <v>145</v>
      </c>
      <c r="V447" s="171" t="s">
        <v>145</v>
      </c>
      <c r="W447" s="171" t="s">
        <v>145</v>
      </c>
      <c r="X447" s="176" t="s">
        <v>145</v>
      </c>
      <c r="Y447" s="171" t="s">
        <v>145</v>
      </c>
      <c r="Z447" s="176" t="s">
        <v>145</v>
      </c>
      <c r="AA447" s="171" t="s">
        <v>145</v>
      </c>
      <c r="AB447" s="176" t="s">
        <v>145</v>
      </c>
      <c r="AC447" s="171" t="s">
        <v>145</v>
      </c>
      <c r="AD447" s="176" t="s">
        <v>145</v>
      </c>
      <c r="AE447" s="171" t="s">
        <v>145</v>
      </c>
      <c r="AF447" s="176" t="str" cm="1">
        <f t="array" ref="AF447">IF(OR(AE447="/",AE447=""),"/",IF(ISNUMBER(SEARCH("普通",AE447)),0,IF(ISNUMBER(SEARCH("专用",AE447)),4,IF(ISNUMBER(SEARCH("定制",AE447)),7,IF(ISNUMBER(SEARCH("多个定制",AE447)),9,””)))))</f>
        <v>/</v>
      </c>
      <c r="AG447" s="176" t="s">
        <v>145</v>
      </c>
      <c r="AH447" s="176" t="s">
        <v>145</v>
      </c>
      <c r="AI447" s="176" t="s">
        <v>145</v>
      </c>
      <c r="AJ447" s="176" t="str">
        <f t="shared" si="280"/>
        <v>/</v>
      </c>
      <c r="AK447" s="171" t="s">
        <v>145</v>
      </c>
      <c r="AL447" s="177" t="s">
        <v>145</v>
      </c>
      <c r="AM447" s="177" t="s">
        <v>145</v>
      </c>
      <c r="AN447" s="177" t="s">
        <v>145</v>
      </c>
      <c r="AO447" s="177" t="s">
        <v>145</v>
      </c>
    </row>
    <row r="448" s="116" customFormat="1" ht="17" customHeight="1" spans="1:41">
      <c r="A448" s="171">
        <v>445</v>
      </c>
      <c r="B448" s="172" t="s">
        <v>1367</v>
      </c>
      <c r="C448" s="171" t="s">
        <v>1221</v>
      </c>
      <c r="D448" s="173" t="s">
        <v>1368</v>
      </c>
      <c r="E448" s="171" t="s">
        <v>73</v>
      </c>
      <c r="F448" s="171"/>
      <c r="G448" s="171"/>
      <c r="H448" s="171"/>
      <c r="I448" s="171"/>
      <c r="J448" s="171"/>
      <c r="K448" s="173" t="s">
        <v>1323</v>
      </c>
      <c r="L448" s="173" t="s">
        <v>1369</v>
      </c>
      <c r="M448" s="173" t="s">
        <v>95</v>
      </c>
      <c r="N448" s="174" t="s">
        <v>77</v>
      </c>
      <c r="O448" s="174" t="s">
        <v>77</v>
      </c>
      <c r="P448" s="174" t="s">
        <v>78</v>
      </c>
      <c r="Q448" s="174" t="s">
        <v>96</v>
      </c>
      <c r="R448" s="174" t="str">
        <f t="shared" ref="R448:R453" si="316">IF(OR(N448="严重Severe",O448="严重Severe",P448="严重Severe",Q448="严重Severe"),"严重Severe",IF(OR(N448="主要Major",O448="主要Major",P448="主要Major",Q448="主要Major"),"主要Major",IF(OR(N448="中等Medium",O448="中等Medium",P448="中等Medium",Q448="中等Medium"),"中等Medium",IF(OR(N448="可忽略不计Negligible",O448="可忽略不计Negligible",P448="可忽略不计Negligible",Q448="可忽略不计Negligible"),"可忽略不计Negligible","/"))))</f>
        <v>主要Major</v>
      </c>
      <c r="S448" s="175" t="s">
        <v>78</v>
      </c>
      <c r="T448" s="175" t="s">
        <v>1325</v>
      </c>
      <c r="U448" s="175" t="s">
        <v>1370</v>
      </c>
      <c r="V448" s="171" t="s">
        <v>1371</v>
      </c>
      <c r="W448" s="171" t="s">
        <v>82</v>
      </c>
      <c r="X448" s="176">
        <f t="shared" ref="X448:X453" si="317">IF(OR(W448="/",W448=""),"/",IF(ISNUMBER(SEARCH("1天",W448)),0,IF(ISNUMBER(SEARCH("一周",W448)),1,IF(ISNUMBER(SEARCH("1个月",W448)),4,IF(ISNUMBER(SEARCH("超过",W448)),19,IF(ISNUMBER(SEARCH("6个月",W448)),17,""))))))</f>
        <v>0</v>
      </c>
      <c r="Y448" s="171" t="s">
        <v>83</v>
      </c>
      <c r="Z448" s="176">
        <f t="shared" ref="Z448:Z453" si="318">IF(OR(Y448="/",Y448=""),"/",IF(ISNUMBER(SEARCH("新手",Y448)),0,IF(ISNUMBER(SEARCH("熟练",Y448)),3,IF(ISNUMBER(SEARCH("多位",Y448)),17,IF(ISNUMBER(SEARCH("专家",Y448)),6,"")))))</f>
        <v>6</v>
      </c>
      <c r="AA448" s="171" t="s">
        <v>84</v>
      </c>
      <c r="AB448" s="176">
        <f t="shared" ref="AB448:AB453" si="319">IF(OR(AA448="/",AA448=""),"/",IF(ISNUMBER(SEARCH("公开",AA448)),0,IF(ISNUMBER(SEARCH("限制性信息",AA448)),3,IF(ISNUMBER(SEARCH("机密信息",AA448)),7,IF(ISNUMBER(SEARCH("严格保密",AA448)),11,"")))))</f>
        <v>3</v>
      </c>
      <c r="AC448" s="171" t="s">
        <v>85</v>
      </c>
      <c r="AD448" s="176">
        <f t="shared" ref="AD448:AD453" si="320">IF(OR(AC448="/",AC448=""),"/",IF(ISNUMBER(SEARCH("无限制",AC448)),0,IF(ISNUMBER(SEARCH("容易",AC448)),1,IF(ISNUMBER(SEARCH("一般",AC448)),4,IF(ISNUMBER(SEARCH("困难",AC448)),10,"")))))</f>
        <v>4</v>
      </c>
      <c r="AE448" s="171" t="s">
        <v>86</v>
      </c>
      <c r="AF448" s="176" cm="1">
        <f t="array" ref="AF448">IF(OR(AE448="/",AE448=""),"/",IF(ISNUMBER(SEARCH("普通",AE448)),0,IF(ISNUMBER(SEARCH("专用",AE448)),4,IF(ISNUMBER(SEARCH("定制",AE448)),7,IF(ISNUMBER(SEARCH("多个定制",AE448)),9,””)))))</f>
        <v>4</v>
      </c>
      <c r="AG448" s="176">
        <f t="shared" ref="AG448:AG453" si="321">IF(OR(X448="/",Z448="/",AB448="/",AD448="/",AF448="/"),"/",X448+Z448+AB448+AD448+AF448)</f>
        <v>17</v>
      </c>
      <c r="AH448" s="176" t="str">
        <f t="shared" ref="AH448:AH453" si="322">IF(AND(AG448&gt;=0,AG448&lt;14),"高High",IF(AND(AG448&gt;=14,AG448&lt;20),"中Medium",IF(AND(AG448&gt;=20,AG448&lt;25),"低Low",IF(AND(AG448&gt;=25,AG448&lt;57),"非常低Very low",""))))</f>
        <v>中Medium</v>
      </c>
      <c r="AI448" s="176" t="s">
        <v>87</v>
      </c>
      <c r="AJ448" s="176" t="str">
        <f t="shared" si="280"/>
        <v>降低
Reucing</v>
      </c>
      <c r="AK448" s="171" t="s">
        <v>1328</v>
      </c>
      <c r="AL448" s="177" t="s">
        <v>100</v>
      </c>
      <c r="AM448" s="180" t="s">
        <v>101</v>
      </c>
      <c r="AN448" s="178" t="s">
        <v>102</v>
      </c>
      <c r="AO448" s="178" t="s">
        <v>103</v>
      </c>
    </row>
    <row r="449" s="116" customFormat="1" ht="17" customHeight="1" spans="1:41">
      <c r="A449" s="171">
        <v>446</v>
      </c>
      <c r="B449" s="179"/>
      <c r="C449" s="179"/>
      <c r="D449" s="179"/>
      <c r="E449" s="171" t="s">
        <v>73</v>
      </c>
      <c r="F449" s="171"/>
      <c r="G449" s="171"/>
      <c r="H449" s="171"/>
      <c r="I449" s="171"/>
      <c r="J449" s="171"/>
      <c r="K449" s="173" t="s">
        <v>1329</v>
      </c>
      <c r="L449" s="173" t="s">
        <v>1372</v>
      </c>
      <c r="M449" s="173" t="s">
        <v>1230</v>
      </c>
      <c r="N449" s="174" t="s">
        <v>77</v>
      </c>
      <c r="O449" s="174" t="s">
        <v>77</v>
      </c>
      <c r="P449" s="174" t="s">
        <v>78</v>
      </c>
      <c r="Q449" s="174" t="s">
        <v>78</v>
      </c>
      <c r="R449" s="174" t="str">
        <f t="shared" si="316"/>
        <v>主要Major</v>
      </c>
      <c r="S449" s="175" t="s">
        <v>78</v>
      </c>
      <c r="T449" s="175" t="s">
        <v>1331</v>
      </c>
      <c r="U449" s="175" t="s">
        <v>1373</v>
      </c>
      <c r="V449" s="171" t="s">
        <v>1371</v>
      </c>
      <c r="W449" s="171" t="s">
        <v>82</v>
      </c>
      <c r="X449" s="176">
        <f t="shared" si="317"/>
        <v>0</v>
      </c>
      <c r="Y449" s="171" t="s">
        <v>83</v>
      </c>
      <c r="Z449" s="176">
        <f t="shared" si="318"/>
        <v>6</v>
      </c>
      <c r="AA449" s="171" t="s">
        <v>84</v>
      </c>
      <c r="AB449" s="176">
        <f t="shared" si="319"/>
        <v>3</v>
      </c>
      <c r="AC449" s="171" t="s">
        <v>85</v>
      </c>
      <c r="AD449" s="176">
        <f t="shared" si="320"/>
        <v>4</v>
      </c>
      <c r="AE449" s="171" t="s">
        <v>86</v>
      </c>
      <c r="AF449" s="176" cm="1">
        <f t="array" ref="AF449">IF(OR(AE449="/",AE449=""),"/",IF(ISNUMBER(SEARCH("普通",AE449)),0,IF(ISNUMBER(SEARCH("专用",AE449)),4,IF(ISNUMBER(SEARCH("定制",AE449)),7,IF(ISNUMBER(SEARCH("多个定制",AE449)),9,””)))))</f>
        <v>4</v>
      </c>
      <c r="AG449" s="176">
        <f t="shared" si="321"/>
        <v>17</v>
      </c>
      <c r="AH449" s="176" t="str">
        <f t="shared" si="322"/>
        <v>中Medium</v>
      </c>
      <c r="AI449" s="176" t="s">
        <v>87</v>
      </c>
      <c r="AJ449" s="176" t="str">
        <f t="shared" si="280"/>
        <v>降低
Reucing</v>
      </c>
      <c r="AK449" s="171" t="s">
        <v>1333</v>
      </c>
      <c r="AL449" s="177" t="s">
        <v>1334</v>
      </c>
      <c r="AM449" s="180" t="s">
        <v>1335</v>
      </c>
      <c r="AN449" s="178" t="s">
        <v>1233</v>
      </c>
      <c r="AO449" s="178" t="s">
        <v>1234</v>
      </c>
    </row>
    <row r="450" s="116" customFormat="1" ht="17" customHeight="1" spans="1:41">
      <c r="A450" s="171">
        <v>447</v>
      </c>
      <c r="B450" s="179"/>
      <c r="C450" s="179"/>
      <c r="D450" s="179"/>
      <c r="E450" s="171"/>
      <c r="F450" s="171" t="s">
        <v>73</v>
      </c>
      <c r="G450" s="171"/>
      <c r="H450" s="171"/>
      <c r="I450" s="171"/>
      <c r="J450" s="171"/>
      <c r="K450" s="173" t="s">
        <v>1336</v>
      </c>
      <c r="L450" s="173" t="s">
        <v>1374</v>
      </c>
      <c r="M450" s="173" t="s">
        <v>553</v>
      </c>
      <c r="N450" s="174" t="s">
        <v>77</v>
      </c>
      <c r="O450" s="174" t="s">
        <v>77</v>
      </c>
      <c r="P450" s="174" t="s">
        <v>96</v>
      </c>
      <c r="Q450" s="174" t="s">
        <v>77</v>
      </c>
      <c r="R450" s="174" t="str">
        <f t="shared" si="316"/>
        <v>中等Medium</v>
      </c>
      <c r="S450" s="175" t="s">
        <v>96</v>
      </c>
      <c r="T450" s="175" t="s">
        <v>1338</v>
      </c>
      <c r="U450" s="175" t="s">
        <v>555</v>
      </c>
      <c r="V450" s="171" t="s">
        <v>1371</v>
      </c>
      <c r="W450" s="171" t="s">
        <v>111</v>
      </c>
      <c r="X450" s="176">
        <f t="shared" si="317"/>
        <v>1</v>
      </c>
      <c r="Y450" s="171" t="s">
        <v>83</v>
      </c>
      <c r="Z450" s="176">
        <f t="shared" si="318"/>
        <v>6</v>
      </c>
      <c r="AA450" s="171" t="s">
        <v>153</v>
      </c>
      <c r="AB450" s="176">
        <f t="shared" si="319"/>
        <v>0</v>
      </c>
      <c r="AC450" s="171" t="s">
        <v>558</v>
      </c>
      <c r="AD450" s="176">
        <f t="shared" si="320"/>
        <v>10</v>
      </c>
      <c r="AE450" s="171" t="s">
        <v>86</v>
      </c>
      <c r="AF450" s="176" cm="1">
        <f t="array" ref="AF450">IF(OR(AE450="/",AE450=""),"/",IF(ISNUMBER(SEARCH("普通",AE450)),0,IF(ISNUMBER(SEARCH("专用",AE450)),4,IF(ISNUMBER(SEARCH("定制",AE450)),7,IF(ISNUMBER(SEARCH("多个定制",AE450)),9,””)))))</f>
        <v>4</v>
      </c>
      <c r="AG450" s="176">
        <f t="shared" si="321"/>
        <v>21</v>
      </c>
      <c r="AH450" s="176" t="str">
        <f t="shared" si="322"/>
        <v>低Low</v>
      </c>
      <c r="AI450" s="176" t="s">
        <v>144</v>
      </c>
      <c r="AJ450" s="176" t="str">
        <f t="shared" si="280"/>
        <v>保留
Retaining</v>
      </c>
      <c r="AK450" s="171" t="s">
        <v>145</v>
      </c>
      <c r="AL450" s="177" t="s">
        <v>145</v>
      </c>
      <c r="AM450" s="171" t="s">
        <v>145</v>
      </c>
      <c r="AN450" s="178" t="s">
        <v>270</v>
      </c>
      <c r="AO450" s="178" t="s">
        <v>271</v>
      </c>
    </row>
    <row r="451" s="116" customFormat="1" ht="17" customHeight="1" spans="1:41">
      <c r="A451" s="171">
        <v>448</v>
      </c>
      <c r="B451" s="179"/>
      <c r="C451" s="179"/>
      <c r="D451" s="179"/>
      <c r="E451" s="171"/>
      <c r="F451" s="171"/>
      <c r="G451" s="171" t="s">
        <v>73</v>
      </c>
      <c r="H451" s="171"/>
      <c r="I451" s="171"/>
      <c r="J451" s="171"/>
      <c r="K451" s="173" t="s">
        <v>1339</v>
      </c>
      <c r="L451" s="173" t="s">
        <v>1375</v>
      </c>
      <c r="M451" s="173" t="s">
        <v>1240</v>
      </c>
      <c r="N451" s="174" t="s">
        <v>77</v>
      </c>
      <c r="O451" s="174" t="s">
        <v>77</v>
      </c>
      <c r="P451" s="174" t="s">
        <v>78</v>
      </c>
      <c r="Q451" s="174" t="s">
        <v>77</v>
      </c>
      <c r="R451" s="174" t="str">
        <f t="shared" si="316"/>
        <v>主要Major</v>
      </c>
      <c r="S451" s="175" t="s">
        <v>78</v>
      </c>
      <c r="T451" s="175" t="s">
        <v>1341</v>
      </c>
      <c r="U451" s="175" t="s">
        <v>1242</v>
      </c>
      <c r="V451" s="171" t="s">
        <v>1371</v>
      </c>
      <c r="W451" s="171" t="s">
        <v>82</v>
      </c>
      <c r="X451" s="176">
        <f t="shared" si="317"/>
        <v>0</v>
      </c>
      <c r="Y451" s="171" t="s">
        <v>83</v>
      </c>
      <c r="Z451" s="176">
        <f t="shared" si="318"/>
        <v>6</v>
      </c>
      <c r="AA451" s="171" t="s">
        <v>84</v>
      </c>
      <c r="AB451" s="176">
        <f t="shared" si="319"/>
        <v>3</v>
      </c>
      <c r="AC451" s="171" t="s">
        <v>85</v>
      </c>
      <c r="AD451" s="176">
        <f t="shared" si="320"/>
        <v>4</v>
      </c>
      <c r="AE451" s="171" t="s">
        <v>86</v>
      </c>
      <c r="AF451" s="176" cm="1">
        <f t="array" ref="AF451">IF(OR(AE451="/",AE451=""),"/",IF(ISNUMBER(SEARCH("普通",AE451)),0,IF(ISNUMBER(SEARCH("专用",AE451)),4,IF(ISNUMBER(SEARCH("定制",AE451)),7,IF(ISNUMBER(SEARCH("多个定制",AE451)),9,””)))))</f>
        <v>4</v>
      </c>
      <c r="AG451" s="176">
        <f t="shared" si="321"/>
        <v>17</v>
      </c>
      <c r="AH451" s="176" t="str">
        <f t="shared" si="322"/>
        <v>中Medium</v>
      </c>
      <c r="AI451" s="176" t="s">
        <v>87</v>
      </c>
      <c r="AJ451" s="176" t="str">
        <f t="shared" si="280"/>
        <v>降低
Reucing</v>
      </c>
      <c r="AK451" s="171" t="s">
        <v>1342</v>
      </c>
      <c r="AL451" s="177" t="s">
        <v>1343</v>
      </c>
      <c r="AM451" s="180" t="s">
        <v>1344</v>
      </c>
      <c r="AN451" s="178" t="s">
        <v>1243</v>
      </c>
      <c r="AO451" s="178" t="s">
        <v>1244</v>
      </c>
    </row>
    <row r="452" s="116" customFormat="1" ht="17" customHeight="1" spans="1:41">
      <c r="A452" s="171">
        <v>449</v>
      </c>
      <c r="B452" s="179"/>
      <c r="C452" s="179"/>
      <c r="D452" s="179"/>
      <c r="E452" s="171"/>
      <c r="F452" s="171"/>
      <c r="G452" s="171" t="s">
        <v>73</v>
      </c>
      <c r="H452" s="171"/>
      <c r="I452" s="171"/>
      <c r="J452" s="171"/>
      <c r="K452" s="173" t="s">
        <v>1345</v>
      </c>
      <c r="L452" s="173" t="s">
        <v>1376</v>
      </c>
      <c r="M452" s="173" t="s">
        <v>150</v>
      </c>
      <c r="N452" s="174" t="s">
        <v>77</v>
      </c>
      <c r="O452" s="174" t="s">
        <v>77</v>
      </c>
      <c r="P452" s="174" t="s">
        <v>78</v>
      </c>
      <c r="Q452" s="174" t="s">
        <v>77</v>
      </c>
      <c r="R452" s="174" t="str">
        <f t="shared" si="316"/>
        <v>主要Major</v>
      </c>
      <c r="S452" s="175" t="s">
        <v>78</v>
      </c>
      <c r="T452" s="175" t="s">
        <v>1347</v>
      </c>
      <c r="U452" s="175" t="s">
        <v>1248</v>
      </c>
      <c r="V452" s="171" t="s">
        <v>1371</v>
      </c>
      <c r="W452" s="171" t="s">
        <v>82</v>
      </c>
      <c r="X452" s="176">
        <f t="shared" si="317"/>
        <v>0</v>
      </c>
      <c r="Y452" s="171" t="s">
        <v>83</v>
      </c>
      <c r="Z452" s="176">
        <f t="shared" si="318"/>
        <v>6</v>
      </c>
      <c r="AA452" s="171" t="s">
        <v>84</v>
      </c>
      <c r="AB452" s="176">
        <f t="shared" si="319"/>
        <v>3</v>
      </c>
      <c r="AC452" s="171" t="s">
        <v>85</v>
      </c>
      <c r="AD452" s="176">
        <f t="shared" si="320"/>
        <v>4</v>
      </c>
      <c r="AE452" s="171" t="s">
        <v>86</v>
      </c>
      <c r="AF452" s="176" cm="1">
        <f t="array" ref="AF452">IF(OR(AE452="/",AE452=""),"/",IF(ISNUMBER(SEARCH("普通",AE452)),0,IF(ISNUMBER(SEARCH("专用",AE452)),4,IF(ISNUMBER(SEARCH("定制",AE452)),7,IF(ISNUMBER(SEARCH("多个定制",AE452)),9,””)))))</f>
        <v>4</v>
      </c>
      <c r="AG452" s="176">
        <f t="shared" si="321"/>
        <v>17</v>
      </c>
      <c r="AH452" s="176" t="str">
        <f t="shared" si="322"/>
        <v>中Medium</v>
      </c>
      <c r="AI452" s="176" t="s">
        <v>87</v>
      </c>
      <c r="AJ452" s="176" t="str">
        <f t="shared" si="280"/>
        <v>降低
Reucing</v>
      </c>
      <c r="AK452" s="171" t="s">
        <v>1348</v>
      </c>
      <c r="AL452" s="177" t="s">
        <v>1349</v>
      </c>
      <c r="AM452" s="180" t="s">
        <v>1350</v>
      </c>
      <c r="AN452" s="178" t="s">
        <v>1249</v>
      </c>
      <c r="AO452" s="178" t="s">
        <v>1250</v>
      </c>
    </row>
    <row r="453" s="116" customFormat="1" ht="17" customHeight="1" spans="1:41">
      <c r="A453" s="171">
        <v>450</v>
      </c>
      <c r="B453" s="179"/>
      <c r="C453" s="179"/>
      <c r="D453" s="179"/>
      <c r="E453" s="171"/>
      <c r="F453" s="171"/>
      <c r="G453" s="171"/>
      <c r="H453" s="171" t="s">
        <v>73</v>
      </c>
      <c r="I453" s="171"/>
      <c r="J453" s="171"/>
      <c r="K453" s="173" t="s">
        <v>1351</v>
      </c>
      <c r="L453" s="173" t="s">
        <v>1377</v>
      </c>
      <c r="M453" s="173" t="s">
        <v>589</v>
      </c>
      <c r="N453" s="174" t="s">
        <v>77</v>
      </c>
      <c r="O453" s="174" t="s">
        <v>77</v>
      </c>
      <c r="P453" s="174" t="s">
        <v>78</v>
      </c>
      <c r="Q453" s="174" t="s">
        <v>77</v>
      </c>
      <c r="R453" s="174" t="str">
        <f t="shared" si="316"/>
        <v>主要Major</v>
      </c>
      <c r="S453" s="175" t="s">
        <v>78</v>
      </c>
      <c r="T453" s="175" t="s">
        <v>1353</v>
      </c>
      <c r="U453" s="175" t="s">
        <v>591</v>
      </c>
      <c r="V453" s="171" t="s">
        <v>1371</v>
      </c>
      <c r="W453" s="171" t="s">
        <v>82</v>
      </c>
      <c r="X453" s="176">
        <f t="shared" si="317"/>
        <v>0</v>
      </c>
      <c r="Y453" s="171" t="s">
        <v>83</v>
      </c>
      <c r="Z453" s="176">
        <f t="shared" si="318"/>
        <v>6</v>
      </c>
      <c r="AA453" s="171" t="s">
        <v>153</v>
      </c>
      <c r="AB453" s="176">
        <f t="shared" si="319"/>
        <v>0</v>
      </c>
      <c r="AC453" s="171" t="s">
        <v>558</v>
      </c>
      <c r="AD453" s="176">
        <f t="shared" si="320"/>
        <v>10</v>
      </c>
      <c r="AE453" s="171" t="s">
        <v>86</v>
      </c>
      <c r="AF453" s="176" cm="1">
        <f t="array" ref="AF453">IF(OR(AE453="/",AE453=""),"/",IF(ISNUMBER(SEARCH("普通",AE453)),0,IF(ISNUMBER(SEARCH("专用",AE453)),4,IF(ISNUMBER(SEARCH("定制",AE453)),7,IF(ISNUMBER(SEARCH("多个定制",AE453)),9,””)))))</f>
        <v>4</v>
      </c>
      <c r="AG453" s="176">
        <f t="shared" si="321"/>
        <v>20</v>
      </c>
      <c r="AH453" s="176" t="str">
        <f t="shared" si="322"/>
        <v>低Low</v>
      </c>
      <c r="AI453" s="176" t="s">
        <v>87</v>
      </c>
      <c r="AJ453" s="176" t="str">
        <f t="shared" si="280"/>
        <v>降低
Reucing</v>
      </c>
      <c r="AK453" s="171" t="s">
        <v>1354</v>
      </c>
      <c r="AL453" s="177" t="s">
        <v>1355</v>
      </c>
      <c r="AM453" s="180" t="s">
        <v>101</v>
      </c>
      <c r="AN453" s="178" t="s">
        <v>592</v>
      </c>
      <c r="AO453" s="178" t="s">
        <v>593</v>
      </c>
    </row>
    <row r="454" s="116" customFormat="1" ht="17" customHeight="1" spans="1:41">
      <c r="A454" s="171">
        <v>451</v>
      </c>
      <c r="B454" s="179"/>
      <c r="C454" s="179"/>
      <c r="D454" s="179"/>
      <c r="E454" s="171"/>
      <c r="F454" s="171"/>
      <c r="G454" s="171"/>
      <c r="H454" s="171"/>
      <c r="I454" s="171" t="s">
        <v>183</v>
      </c>
      <c r="J454" s="171"/>
      <c r="K454" s="173" t="s">
        <v>145</v>
      </c>
      <c r="L454" s="173" t="s">
        <v>145</v>
      </c>
      <c r="M454" s="173" t="s">
        <v>145</v>
      </c>
      <c r="N454" s="174" t="s">
        <v>145</v>
      </c>
      <c r="O454" s="174" t="s">
        <v>145</v>
      </c>
      <c r="P454" s="174" t="s">
        <v>145</v>
      </c>
      <c r="Q454" s="174" t="s">
        <v>145</v>
      </c>
      <c r="R454" s="174" t="s">
        <v>145</v>
      </c>
      <c r="S454" s="175" t="s">
        <v>145</v>
      </c>
      <c r="T454" s="175" t="s">
        <v>145</v>
      </c>
      <c r="U454" s="175" t="s">
        <v>145</v>
      </c>
      <c r="V454" s="171" t="s">
        <v>145</v>
      </c>
      <c r="W454" s="171" t="s">
        <v>145</v>
      </c>
      <c r="X454" s="176" t="s">
        <v>145</v>
      </c>
      <c r="Y454" s="171" t="s">
        <v>145</v>
      </c>
      <c r="Z454" s="176" t="s">
        <v>145</v>
      </c>
      <c r="AA454" s="171" t="s">
        <v>145</v>
      </c>
      <c r="AB454" s="176" t="s">
        <v>145</v>
      </c>
      <c r="AC454" s="171" t="s">
        <v>145</v>
      </c>
      <c r="AD454" s="176" t="s">
        <v>145</v>
      </c>
      <c r="AE454" s="171" t="s">
        <v>145</v>
      </c>
      <c r="AF454" s="176" t="str" cm="1">
        <f t="array" ref="AF454">IF(OR(AE454="/",AE454=""),"/",IF(ISNUMBER(SEARCH("普通",AE454)),0,IF(ISNUMBER(SEARCH("专用",AE454)),4,IF(ISNUMBER(SEARCH("定制",AE454)),7,IF(ISNUMBER(SEARCH("多个定制",AE454)),9,””)))))</f>
        <v>/</v>
      </c>
      <c r="AG454" s="176" t="s">
        <v>145</v>
      </c>
      <c r="AH454" s="176" t="s">
        <v>145</v>
      </c>
      <c r="AI454" s="176" t="s">
        <v>145</v>
      </c>
      <c r="AJ454" s="176" t="str">
        <f t="shared" si="280"/>
        <v>/</v>
      </c>
      <c r="AK454" s="171" t="s">
        <v>145</v>
      </c>
      <c r="AL454" s="177" t="s">
        <v>145</v>
      </c>
      <c r="AM454" s="177" t="s">
        <v>145</v>
      </c>
      <c r="AN454" s="177" t="s">
        <v>145</v>
      </c>
      <c r="AO454" s="177" t="s">
        <v>145</v>
      </c>
    </row>
    <row r="455" s="116" customFormat="1" ht="17" customHeight="1" spans="1:41">
      <c r="A455" s="171">
        <v>452</v>
      </c>
      <c r="B455" s="181"/>
      <c r="C455" s="181"/>
      <c r="D455" s="181"/>
      <c r="E455" s="171"/>
      <c r="F455" s="171"/>
      <c r="G455" s="171"/>
      <c r="H455" s="171"/>
      <c r="I455" s="171"/>
      <c r="J455" s="171" t="s">
        <v>183</v>
      </c>
      <c r="K455" s="173" t="s">
        <v>145</v>
      </c>
      <c r="L455" s="173" t="s">
        <v>145</v>
      </c>
      <c r="M455" s="173" t="s">
        <v>145</v>
      </c>
      <c r="N455" s="174" t="s">
        <v>145</v>
      </c>
      <c r="O455" s="174" t="s">
        <v>145</v>
      </c>
      <c r="P455" s="174" t="s">
        <v>145</v>
      </c>
      <c r="Q455" s="174" t="s">
        <v>145</v>
      </c>
      <c r="R455" s="174" t="s">
        <v>145</v>
      </c>
      <c r="S455" s="175" t="s">
        <v>145</v>
      </c>
      <c r="T455" s="175" t="s">
        <v>145</v>
      </c>
      <c r="U455" s="175" t="s">
        <v>145</v>
      </c>
      <c r="V455" s="171" t="s">
        <v>145</v>
      </c>
      <c r="W455" s="171" t="s">
        <v>145</v>
      </c>
      <c r="X455" s="176" t="s">
        <v>145</v>
      </c>
      <c r="Y455" s="171" t="s">
        <v>145</v>
      </c>
      <c r="Z455" s="176" t="s">
        <v>145</v>
      </c>
      <c r="AA455" s="171" t="s">
        <v>145</v>
      </c>
      <c r="AB455" s="176" t="s">
        <v>145</v>
      </c>
      <c r="AC455" s="171" t="s">
        <v>145</v>
      </c>
      <c r="AD455" s="176" t="s">
        <v>145</v>
      </c>
      <c r="AE455" s="171" t="s">
        <v>145</v>
      </c>
      <c r="AF455" s="176" t="str" cm="1">
        <f t="array" ref="AF455">IF(OR(AE455="/",AE455=""),"/",IF(ISNUMBER(SEARCH("普通",AE455)),0,IF(ISNUMBER(SEARCH("专用",AE455)),4,IF(ISNUMBER(SEARCH("定制",AE455)),7,IF(ISNUMBER(SEARCH("多个定制",AE455)),9,””)))))</f>
        <v>/</v>
      </c>
      <c r="AG455" s="176" t="s">
        <v>145</v>
      </c>
      <c r="AH455" s="176" t="s">
        <v>145</v>
      </c>
      <c r="AI455" s="176" t="s">
        <v>145</v>
      </c>
      <c r="AJ455" s="176" t="str">
        <f t="shared" si="280"/>
        <v>/</v>
      </c>
      <c r="AK455" s="171" t="s">
        <v>145</v>
      </c>
      <c r="AL455" s="177" t="s">
        <v>145</v>
      </c>
      <c r="AM455" s="177" t="s">
        <v>145</v>
      </c>
      <c r="AN455" s="177" t="s">
        <v>145</v>
      </c>
      <c r="AO455" s="177" t="s">
        <v>145</v>
      </c>
    </row>
    <row r="456" s="116" customFormat="1" ht="17" customHeight="1" spans="1:41">
      <c r="A456" s="171">
        <v>453</v>
      </c>
      <c r="B456" s="172" t="s">
        <v>1378</v>
      </c>
      <c r="C456" s="171" t="s">
        <v>1221</v>
      </c>
      <c r="D456" s="173" t="s">
        <v>1379</v>
      </c>
      <c r="E456" s="171" t="s">
        <v>73</v>
      </c>
      <c r="F456" s="171"/>
      <c r="G456" s="171"/>
      <c r="H456" s="171"/>
      <c r="I456" s="171"/>
      <c r="J456" s="171"/>
      <c r="K456" s="173" t="s">
        <v>1323</v>
      </c>
      <c r="L456" s="173" t="s">
        <v>1380</v>
      </c>
      <c r="M456" s="173" t="s">
        <v>95</v>
      </c>
      <c r="N456" s="174" t="s">
        <v>77</v>
      </c>
      <c r="O456" s="174" t="s">
        <v>77</v>
      </c>
      <c r="P456" s="174" t="s">
        <v>78</v>
      </c>
      <c r="Q456" s="174" t="s">
        <v>96</v>
      </c>
      <c r="R456" s="174" t="str">
        <f t="shared" ref="R456:R461" si="323">IF(OR(N456="严重Severe",O456="严重Severe",P456="严重Severe",Q456="严重Severe"),"严重Severe",IF(OR(N456="主要Major",O456="主要Major",P456="主要Major",Q456="主要Major"),"主要Major",IF(OR(N456="中等Medium",O456="中等Medium",P456="中等Medium",Q456="中等Medium"),"中等Medium",IF(OR(N456="可忽略不计Negligible",O456="可忽略不计Negligible",P456="可忽略不计Negligible",Q456="可忽略不计Negligible"),"可忽略不计Negligible","/"))))</f>
        <v>主要Major</v>
      </c>
      <c r="S456" s="175" t="s">
        <v>78</v>
      </c>
      <c r="T456" s="175" t="s">
        <v>1325</v>
      </c>
      <c r="U456" s="175" t="s">
        <v>1381</v>
      </c>
      <c r="V456" s="171" t="s">
        <v>1382</v>
      </c>
      <c r="W456" s="171" t="s">
        <v>82</v>
      </c>
      <c r="X456" s="176">
        <f t="shared" ref="X456:X461" si="324">IF(OR(W456="/",W456=""),"/",IF(ISNUMBER(SEARCH("1天",W456)),0,IF(ISNUMBER(SEARCH("一周",W456)),1,IF(ISNUMBER(SEARCH("1个月",W456)),4,IF(ISNUMBER(SEARCH("超过",W456)),19,IF(ISNUMBER(SEARCH("6个月",W456)),17,""))))))</f>
        <v>0</v>
      </c>
      <c r="Y456" s="171" t="s">
        <v>83</v>
      </c>
      <c r="Z456" s="176">
        <f t="shared" ref="Z456:Z461" si="325">IF(OR(Y456="/",Y456=""),"/",IF(ISNUMBER(SEARCH("新手",Y456)),0,IF(ISNUMBER(SEARCH("熟练",Y456)),3,IF(ISNUMBER(SEARCH("多位",Y456)),17,IF(ISNUMBER(SEARCH("专家",Y456)),6,"")))))</f>
        <v>6</v>
      </c>
      <c r="AA456" s="171" t="s">
        <v>84</v>
      </c>
      <c r="AB456" s="176">
        <f t="shared" ref="AB456:AB461" si="326">IF(OR(AA456="/",AA456=""),"/",IF(ISNUMBER(SEARCH("公开",AA456)),0,IF(ISNUMBER(SEARCH("限制性信息",AA456)),3,IF(ISNUMBER(SEARCH("机密信息",AA456)),7,IF(ISNUMBER(SEARCH("严格保密",AA456)),11,"")))))</f>
        <v>3</v>
      </c>
      <c r="AC456" s="171" t="s">
        <v>85</v>
      </c>
      <c r="AD456" s="176">
        <f t="shared" ref="AD456:AD461" si="327">IF(OR(AC456="/",AC456=""),"/",IF(ISNUMBER(SEARCH("无限制",AC456)),0,IF(ISNUMBER(SEARCH("容易",AC456)),1,IF(ISNUMBER(SEARCH("一般",AC456)),4,IF(ISNUMBER(SEARCH("困难",AC456)),10,"")))))</f>
        <v>4</v>
      </c>
      <c r="AE456" s="171" t="s">
        <v>86</v>
      </c>
      <c r="AF456" s="176" cm="1">
        <f t="array" ref="AF456">IF(OR(AE456="/",AE456=""),"/",IF(ISNUMBER(SEARCH("普通",AE456)),0,IF(ISNUMBER(SEARCH("专用",AE456)),4,IF(ISNUMBER(SEARCH("定制",AE456)),7,IF(ISNUMBER(SEARCH("多个定制",AE456)),9,””)))))</f>
        <v>4</v>
      </c>
      <c r="AG456" s="176">
        <f t="shared" ref="AG456:AG461" si="328">IF(OR(X456="/",Z456="/",AB456="/",AD456="/",AF456="/"),"/",X456+Z456+AB456+AD456+AF456)</f>
        <v>17</v>
      </c>
      <c r="AH456" s="176" t="str">
        <f t="shared" ref="AH456:AH461" si="329">IF(AND(AG456&gt;=0,AG456&lt;14),"高High",IF(AND(AG456&gt;=14,AG456&lt;20),"中Medium",IF(AND(AG456&gt;=20,AG456&lt;25),"低Low",IF(AND(AG456&gt;=25,AG456&lt;57),"非常低Very low",""))))</f>
        <v>中Medium</v>
      </c>
      <c r="AI456" s="176" t="s">
        <v>87</v>
      </c>
      <c r="AJ456" s="176" t="str">
        <f t="shared" si="280"/>
        <v>降低
Reucing</v>
      </c>
      <c r="AK456" s="171" t="s">
        <v>1328</v>
      </c>
      <c r="AL456" s="177" t="s">
        <v>100</v>
      </c>
      <c r="AM456" s="180" t="s">
        <v>101</v>
      </c>
      <c r="AN456" s="178" t="s">
        <v>102</v>
      </c>
      <c r="AO456" s="178" t="s">
        <v>103</v>
      </c>
    </row>
    <row r="457" s="116" customFormat="1" ht="17" customHeight="1" spans="1:41">
      <c r="A457" s="171">
        <v>454</v>
      </c>
      <c r="B457" s="179"/>
      <c r="C457" s="179"/>
      <c r="D457" s="179"/>
      <c r="E457" s="171" t="s">
        <v>73</v>
      </c>
      <c r="F457" s="171"/>
      <c r="G457" s="171"/>
      <c r="H457" s="171"/>
      <c r="I457" s="171"/>
      <c r="J457" s="171"/>
      <c r="K457" s="173" t="s">
        <v>1329</v>
      </c>
      <c r="L457" s="173" t="s">
        <v>1383</v>
      </c>
      <c r="M457" s="173" t="s">
        <v>1230</v>
      </c>
      <c r="N457" s="174" t="s">
        <v>77</v>
      </c>
      <c r="O457" s="174" t="s">
        <v>77</v>
      </c>
      <c r="P457" s="174" t="s">
        <v>78</v>
      </c>
      <c r="Q457" s="174" t="s">
        <v>78</v>
      </c>
      <c r="R457" s="174" t="str">
        <f t="shared" si="323"/>
        <v>主要Major</v>
      </c>
      <c r="S457" s="175" t="s">
        <v>78</v>
      </c>
      <c r="T457" s="175" t="s">
        <v>1331</v>
      </c>
      <c r="U457" s="175" t="s">
        <v>1384</v>
      </c>
      <c r="V457" s="171" t="s">
        <v>1382</v>
      </c>
      <c r="W457" s="171" t="s">
        <v>82</v>
      </c>
      <c r="X457" s="176">
        <f t="shared" si="324"/>
        <v>0</v>
      </c>
      <c r="Y457" s="171" t="s">
        <v>83</v>
      </c>
      <c r="Z457" s="176">
        <f t="shared" si="325"/>
        <v>6</v>
      </c>
      <c r="AA457" s="171" t="s">
        <v>84</v>
      </c>
      <c r="AB457" s="176">
        <f t="shared" si="326"/>
        <v>3</v>
      </c>
      <c r="AC457" s="171" t="s">
        <v>85</v>
      </c>
      <c r="AD457" s="176">
        <f t="shared" si="327"/>
        <v>4</v>
      </c>
      <c r="AE457" s="171" t="s">
        <v>86</v>
      </c>
      <c r="AF457" s="176" cm="1">
        <f t="array" ref="AF457">IF(OR(AE457="/",AE457=""),"/",IF(ISNUMBER(SEARCH("普通",AE457)),0,IF(ISNUMBER(SEARCH("专用",AE457)),4,IF(ISNUMBER(SEARCH("定制",AE457)),7,IF(ISNUMBER(SEARCH("多个定制",AE457)),9,””)))))</f>
        <v>4</v>
      </c>
      <c r="AG457" s="176">
        <f t="shared" si="328"/>
        <v>17</v>
      </c>
      <c r="AH457" s="176" t="str">
        <f t="shared" si="329"/>
        <v>中Medium</v>
      </c>
      <c r="AI457" s="176" t="s">
        <v>87</v>
      </c>
      <c r="AJ457" s="176" t="str">
        <f t="shared" ref="AJ457:AJ520" si="330">IF(AI457="/","/",IF(AI457="CAL3","降低"&amp;CHAR(10)&amp;"Reucing",IF(AI457="CAL4","消除"&amp;CHAR(10)&amp;"Avoiding",IF(AI457="CAL2","保留"&amp;CHAR(10)&amp;"Retaining",IF(AI457="CAL1","保留"&amp;CHAR(10)&amp;"Retaining","")))))</f>
        <v>降低
Reucing</v>
      </c>
      <c r="AK457" s="171" t="s">
        <v>1333</v>
      </c>
      <c r="AL457" s="177" t="s">
        <v>1334</v>
      </c>
      <c r="AM457" s="180" t="s">
        <v>1335</v>
      </c>
      <c r="AN457" s="178" t="s">
        <v>1233</v>
      </c>
      <c r="AO457" s="178" t="s">
        <v>1234</v>
      </c>
    </row>
    <row r="458" s="116" customFormat="1" ht="17" customHeight="1" spans="1:41">
      <c r="A458" s="171">
        <v>455</v>
      </c>
      <c r="B458" s="179"/>
      <c r="C458" s="179"/>
      <c r="D458" s="179"/>
      <c r="E458" s="171"/>
      <c r="F458" s="171" t="s">
        <v>73</v>
      </c>
      <c r="G458" s="171"/>
      <c r="H458" s="171"/>
      <c r="I458" s="171"/>
      <c r="J458" s="171"/>
      <c r="K458" s="173" t="s">
        <v>1336</v>
      </c>
      <c r="L458" s="173" t="s">
        <v>1385</v>
      </c>
      <c r="M458" s="173" t="s">
        <v>553</v>
      </c>
      <c r="N458" s="174" t="s">
        <v>77</v>
      </c>
      <c r="O458" s="174" t="s">
        <v>77</v>
      </c>
      <c r="P458" s="174" t="s">
        <v>96</v>
      </c>
      <c r="Q458" s="174" t="s">
        <v>77</v>
      </c>
      <c r="R458" s="174" t="str">
        <f t="shared" si="323"/>
        <v>中等Medium</v>
      </c>
      <c r="S458" s="175" t="s">
        <v>96</v>
      </c>
      <c r="T458" s="175" t="s">
        <v>1338</v>
      </c>
      <c r="U458" s="175" t="s">
        <v>555</v>
      </c>
      <c r="V458" s="171" t="s">
        <v>1382</v>
      </c>
      <c r="W458" s="171" t="s">
        <v>111</v>
      </c>
      <c r="X458" s="176">
        <f t="shared" si="324"/>
        <v>1</v>
      </c>
      <c r="Y458" s="171" t="s">
        <v>83</v>
      </c>
      <c r="Z458" s="176">
        <f t="shared" si="325"/>
        <v>6</v>
      </c>
      <c r="AA458" s="171" t="s">
        <v>153</v>
      </c>
      <c r="AB458" s="176">
        <f t="shared" si="326"/>
        <v>0</v>
      </c>
      <c r="AC458" s="171" t="s">
        <v>558</v>
      </c>
      <c r="AD458" s="176">
        <f t="shared" si="327"/>
        <v>10</v>
      </c>
      <c r="AE458" s="171" t="s">
        <v>86</v>
      </c>
      <c r="AF458" s="176" cm="1">
        <f t="array" ref="AF458">IF(OR(AE458="/",AE458=""),"/",IF(ISNUMBER(SEARCH("普通",AE458)),0,IF(ISNUMBER(SEARCH("专用",AE458)),4,IF(ISNUMBER(SEARCH("定制",AE458)),7,IF(ISNUMBER(SEARCH("多个定制",AE458)),9,””)))))</f>
        <v>4</v>
      </c>
      <c r="AG458" s="176">
        <f t="shared" si="328"/>
        <v>21</v>
      </c>
      <c r="AH458" s="176" t="str">
        <f t="shared" si="329"/>
        <v>低Low</v>
      </c>
      <c r="AI458" s="176" t="s">
        <v>144</v>
      </c>
      <c r="AJ458" s="176" t="str">
        <f t="shared" si="330"/>
        <v>保留
Retaining</v>
      </c>
      <c r="AK458" s="171" t="s">
        <v>145</v>
      </c>
      <c r="AL458" s="177" t="s">
        <v>145</v>
      </c>
      <c r="AM458" s="171" t="s">
        <v>145</v>
      </c>
      <c r="AN458" s="178" t="s">
        <v>270</v>
      </c>
      <c r="AO458" s="178" t="s">
        <v>271</v>
      </c>
    </row>
    <row r="459" s="116" customFormat="1" ht="17" customHeight="1" spans="1:41">
      <c r="A459" s="171">
        <v>456</v>
      </c>
      <c r="B459" s="179"/>
      <c r="C459" s="179"/>
      <c r="D459" s="179"/>
      <c r="E459" s="171"/>
      <c r="F459" s="171"/>
      <c r="G459" s="171" t="s">
        <v>73</v>
      </c>
      <c r="H459" s="171"/>
      <c r="I459" s="171"/>
      <c r="J459" s="171"/>
      <c r="K459" s="173" t="s">
        <v>1339</v>
      </c>
      <c r="L459" s="173" t="s">
        <v>1386</v>
      </c>
      <c r="M459" s="173" t="s">
        <v>1240</v>
      </c>
      <c r="N459" s="174" t="s">
        <v>77</v>
      </c>
      <c r="O459" s="174" t="s">
        <v>77</v>
      </c>
      <c r="P459" s="174" t="s">
        <v>78</v>
      </c>
      <c r="Q459" s="174" t="s">
        <v>77</v>
      </c>
      <c r="R459" s="174" t="str">
        <f t="shared" si="323"/>
        <v>主要Major</v>
      </c>
      <c r="S459" s="175" t="s">
        <v>78</v>
      </c>
      <c r="T459" s="175" t="s">
        <v>1341</v>
      </c>
      <c r="U459" s="175" t="s">
        <v>1242</v>
      </c>
      <c r="V459" s="171" t="s">
        <v>1382</v>
      </c>
      <c r="W459" s="171" t="s">
        <v>82</v>
      </c>
      <c r="X459" s="176">
        <f t="shared" si="324"/>
        <v>0</v>
      </c>
      <c r="Y459" s="171" t="s">
        <v>83</v>
      </c>
      <c r="Z459" s="176">
        <f t="shared" si="325"/>
        <v>6</v>
      </c>
      <c r="AA459" s="171" t="s">
        <v>84</v>
      </c>
      <c r="AB459" s="176">
        <f t="shared" si="326"/>
        <v>3</v>
      </c>
      <c r="AC459" s="171" t="s">
        <v>85</v>
      </c>
      <c r="AD459" s="176">
        <f t="shared" si="327"/>
        <v>4</v>
      </c>
      <c r="AE459" s="171" t="s">
        <v>86</v>
      </c>
      <c r="AF459" s="176" cm="1">
        <f t="array" ref="AF459">IF(OR(AE459="/",AE459=""),"/",IF(ISNUMBER(SEARCH("普通",AE459)),0,IF(ISNUMBER(SEARCH("专用",AE459)),4,IF(ISNUMBER(SEARCH("定制",AE459)),7,IF(ISNUMBER(SEARCH("多个定制",AE459)),9,””)))))</f>
        <v>4</v>
      </c>
      <c r="AG459" s="176">
        <f t="shared" si="328"/>
        <v>17</v>
      </c>
      <c r="AH459" s="176" t="str">
        <f t="shared" si="329"/>
        <v>中Medium</v>
      </c>
      <c r="AI459" s="176" t="s">
        <v>87</v>
      </c>
      <c r="AJ459" s="176" t="str">
        <f t="shared" si="330"/>
        <v>降低
Reucing</v>
      </c>
      <c r="AK459" s="171" t="s">
        <v>1342</v>
      </c>
      <c r="AL459" s="177" t="s">
        <v>1343</v>
      </c>
      <c r="AM459" s="180" t="s">
        <v>1344</v>
      </c>
      <c r="AN459" s="178" t="s">
        <v>1243</v>
      </c>
      <c r="AO459" s="178" t="s">
        <v>1244</v>
      </c>
    </row>
    <row r="460" s="116" customFormat="1" ht="17" customHeight="1" spans="1:41">
      <c r="A460" s="171">
        <v>457</v>
      </c>
      <c r="B460" s="179"/>
      <c r="C460" s="179"/>
      <c r="D460" s="179"/>
      <c r="E460" s="171"/>
      <c r="F460" s="171"/>
      <c r="G460" s="171" t="s">
        <v>73</v>
      </c>
      <c r="H460" s="171"/>
      <c r="I460" s="171"/>
      <c r="J460" s="171"/>
      <c r="K460" s="173" t="s">
        <v>1345</v>
      </c>
      <c r="L460" s="173" t="s">
        <v>1387</v>
      </c>
      <c r="M460" s="173" t="s">
        <v>150</v>
      </c>
      <c r="N460" s="174" t="s">
        <v>77</v>
      </c>
      <c r="O460" s="174" t="s">
        <v>77</v>
      </c>
      <c r="P460" s="174" t="s">
        <v>78</v>
      </c>
      <c r="Q460" s="174" t="s">
        <v>77</v>
      </c>
      <c r="R460" s="174" t="str">
        <f t="shared" si="323"/>
        <v>主要Major</v>
      </c>
      <c r="S460" s="175" t="s">
        <v>78</v>
      </c>
      <c r="T460" s="175" t="s">
        <v>1347</v>
      </c>
      <c r="U460" s="175" t="s">
        <v>1248</v>
      </c>
      <c r="V460" s="171" t="s">
        <v>1382</v>
      </c>
      <c r="W460" s="171" t="s">
        <v>82</v>
      </c>
      <c r="X460" s="176">
        <f t="shared" si="324"/>
        <v>0</v>
      </c>
      <c r="Y460" s="171" t="s">
        <v>83</v>
      </c>
      <c r="Z460" s="176">
        <f t="shared" si="325"/>
        <v>6</v>
      </c>
      <c r="AA460" s="171" t="s">
        <v>84</v>
      </c>
      <c r="AB460" s="176">
        <f t="shared" si="326"/>
        <v>3</v>
      </c>
      <c r="AC460" s="171" t="s">
        <v>85</v>
      </c>
      <c r="AD460" s="176">
        <f t="shared" si="327"/>
        <v>4</v>
      </c>
      <c r="AE460" s="171" t="s">
        <v>86</v>
      </c>
      <c r="AF460" s="176" cm="1">
        <f t="array" ref="AF460">IF(OR(AE460="/",AE460=""),"/",IF(ISNUMBER(SEARCH("普通",AE460)),0,IF(ISNUMBER(SEARCH("专用",AE460)),4,IF(ISNUMBER(SEARCH("定制",AE460)),7,IF(ISNUMBER(SEARCH("多个定制",AE460)),9,””)))))</f>
        <v>4</v>
      </c>
      <c r="AG460" s="176">
        <f t="shared" si="328"/>
        <v>17</v>
      </c>
      <c r="AH460" s="176" t="str">
        <f t="shared" si="329"/>
        <v>中Medium</v>
      </c>
      <c r="AI460" s="176" t="s">
        <v>87</v>
      </c>
      <c r="AJ460" s="176" t="str">
        <f t="shared" si="330"/>
        <v>降低
Reucing</v>
      </c>
      <c r="AK460" s="171" t="s">
        <v>1348</v>
      </c>
      <c r="AL460" s="177" t="s">
        <v>1349</v>
      </c>
      <c r="AM460" s="180" t="s">
        <v>1350</v>
      </c>
      <c r="AN460" s="178" t="s">
        <v>1249</v>
      </c>
      <c r="AO460" s="178" t="s">
        <v>1250</v>
      </c>
    </row>
    <row r="461" s="116" customFormat="1" ht="17" customHeight="1" spans="1:41">
      <c r="A461" s="171">
        <v>458</v>
      </c>
      <c r="B461" s="179"/>
      <c r="C461" s="179"/>
      <c r="D461" s="179"/>
      <c r="E461" s="171"/>
      <c r="F461" s="171"/>
      <c r="G461" s="171"/>
      <c r="H461" s="171" t="s">
        <v>73</v>
      </c>
      <c r="I461" s="171"/>
      <c r="J461" s="171"/>
      <c r="K461" s="173" t="s">
        <v>1351</v>
      </c>
      <c r="L461" s="173" t="s">
        <v>1388</v>
      </c>
      <c r="M461" s="173" t="s">
        <v>589</v>
      </c>
      <c r="N461" s="174" t="s">
        <v>77</v>
      </c>
      <c r="O461" s="174" t="s">
        <v>77</v>
      </c>
      <c r="P461" s="174" t="s">
        <v>78</v>
      </c>
      <c r="Q461" s="174" t="s">
        <v>77</v>
      </c>
      <c r="R461" s="174" t="str">
        <f t="shared" si="323"/>
        <v>主要Major</v>
      </c>
      <c r="S461" s="175" t="s">
        <v>78</v>
      </c>
      <c r="T461" s="175" t="s">
        <v>1353</v>
      </c>
      <c r="U461" s="175" t="s">
        <v>591</v>
      </c>
      <c r="V461" s="171" t="s">
        <v>1382</v>
      </c>
      <c r="W461" s="171" t="s">
        <v>82</v>
      </c>
      <c r="X461" s="176">
        <f t="shared" si="324"/>
        <v>0</v>
      </c>
      <c r="Y461" s="171" t="s">
        <v>83</v>
      </c>
      <c r="Z461" s="176">
        <f t="shared" si="325"/>
        <v>6</v>
      </c>
      <c r="AA461" s="171" t="s">
        <v>153</v>
      </c>
      <c r="AB461" s="176">
        <f t="shared" si="326"/>
        <v>0</v>
      </c>
      <c r="AC461" s="171" t="s">
        <v>558</v>
      </c>
      <c r="AD461" s="176">
        <f t="shared" si="327"/>
        <v>10</v>
      </c>
      <c r="AE461" s="171" t="s">
        <v>86</v>
      </c>
      <c r="AF461" s="176" cm="1">
        <f t="array" ref="AF461">IF(OR(AE461="/",AE461=""),"/",IF(ISNUMBER(SEARCH("普通",AE461)),0,IF(ISNUMBER(SEARCH("专用",AE461)),4,IF(ISNUMBER(SEARCH("定制",AE461)),7,IF(ISNUMBER(SEARCH("多个定制",AE461)),9,””)))))</f>
        <v>4</v>
      </c>
      <c r="AG461" s="176">
        <f t="shared" si="328"/>
        <v>20</v>
      </c>
      <c r="AH461" s="176" t="str">
        <f t="shared" si="329"/>
        <v>低Low</v>
      </c>
      <c r="AI461" s="176" t="s">
        <v>87</v>
      </c>
      <c r="AJ461" s="176" t="str">
        <f t="shared" si="330"/>
        <v>降低
Reucing</v>
      </c>
      <c r="AK461" s="171" t="s">
        <v>1354</v>
      </c>
      <c r="AL461" s="177" t="s">
        <v>1355</v>
      </c>
      <c r="AM461" s="180" t="s">
        <v>101</v>
      </c>
      <c r="AN461" s="178" t="s">
        <v>592</v>
      </c>
      <c r="AO461" s="178" t="s">
        <v>593</v>
      </c>
    </row>
    <row r="462" s="116" customFormat="1" ht="17" customHeight="1" spans="1:41">
      <c r="A462" s="171">
        <v>459</v>
      </c>
      <c r="B462" s="179"/>
      <c r="C462" s="179"/>
      <c r="D462" s="179"/>
      <c r="E462" s="171"/>
      <c r="F462" s="171"/>
      <c r="G462" s="171"/>
      <c r="H462" s="171"/>
      <c r="I462" s="171" t="s">
        <v>183</v>
      </c>
      <c r="J462" s="171"/>
      <c r="K462" s="173" t="s">
        <v>145</v>
      </c>
      <c r="L462" s="173" t="s">
        <v>145</v>
      </c>
      <c r="M462" s="173" t="s">
        <v>145</v>
      </c>
      <c r="N462" s="174" t="s">
        <v>145</v>
      </c>
      <c r="O462" s="174" t="s">
        <v>145</v>
      </c>
      <c r="P462" s="174" t="s">
        <v>145</v>
      </c>
      <c r="Q462" s="174" t="s">
        <v>145</v>
      </c>
      <c r="R462" s="174" t="s">
        <v>145</v>
      </c>
      <c r="S462" s="175" t="s">
        <v>145</v>
      </c>
      <c r="T462" s="175" t="s">
        <v>145</v>
      </c>
      <c r="U462" s="175" t="s">
        <v>145</v>
      </c>
      <c r="V462" s="171" t="s">
        <v>145</v>
      </c>
      <c r="W462" s="171" t="s">
        <v>145</v>
      </c>
      <c r="X462" s="176" t="s">
        <v>145</v>
      </c>
      <c r="Y462" s="171" t="s">
        <v>145</v>
      </c>
      <c r="Z462" s="176" t="s">
        <v>145</v>
      </c>
      <c r="AA462" s="171" t="s">
        <v>145</v>
      </c>
      <c r="AB462" s="176" t="s">
        <v>145</v>
      </c>
      <c r="AC462" s="171" t="s">
        <v>145</v>
      </c>
      <c r="AD462" s="176" t="s">
        <v>145</v>
      </c>
      <c r="AE462" s="171" t="s">
        <v>145</v>
      </c>
      <c r="AF462" s="176" t="str" cm="1">
        <f t="array" ref="AF462">IF(OR(AE462="/",AE462=""),"/",IF(ISNUMBER(SEARCH("普通",AE462)),0,IF(ISNUMBER(SEARCH("专用",AE462)),4,IF(ISNUMBER(SEARCH("定制",AE462)),7,IF(ISNUMBER(SEARCH("多个定制",AE462)),9,””)))))</f>
        <v>/</v>
      </c>
      <c r="AG462" s="176" t="s">
        <v>145</v>
      </c>
      <c r="AH462" s="176" t="s">
        <v>145</v>
      </c>
      <c r="AI462" s="176" t="s">
        <v>145</v>
      </c>
      <c r="AJ462" s="176" t="str">
        <f t="shared" si="330"/>
        <v>/</v>
      </c>
      <c r="AK462" s="171" t="s">
        <v>145</v>
      </c>
      <c r="AL462" s="177" t="s">
        <v>145</v>
      </c>
      <c r="AM462" s="177" t="s">
        <v>145</v>
      </c>
      <c r="AN462" s="177" t="s">
        <v>145</v>
      </c>
      <c r="AO462" s="177" t="s">
        <v>145</v>
      </c>
    </row>
    <row r="463" s="116" customFormat="1" ht="17" customHeight="1" spans="1:41">
      <c r="A463" s="171">
        <v>460</v>
      </c>
      <c r="B463" s="181"/>
      <c r="C463" s="181"/>
      <c r="D463" s="181"/>
      <c r="E463" s="171"/>
      <c r="F463" s="171"/>
      <c r="G463" s="171"/>
      <c r="H463" s="171"/>
      <c r="I463" s="171"/>
      <c r="J463" s="171" t="s">
        <v>183</v>
      </c>
      <c r="K463" s="173" t="s">
        <v>145</v>
      </c>
      <c r="L463" s="173" t="s">
        <v>145</v>
      </c>
      <c r="M463" s="173" t="s">
        <v>145</v>
      </c>
      <c r="N463" s="174" t="s">
        <v>145</v>
      </c>
      <c r="O463" s="174" t="s">
        <v>145</v>
      </c>
      <c r="P463" s="174" t="s">
        <v>145</v>
      </c>
      <c r="Q463" s="174" t="s">
        <v>145</v>
      </c>
      <c r="R463" s="174" t="s">
        <v>145</v>
      </c>
      <c r="S463" s="175" t="s">
        <v>145</v>
      </c>
      <c r="T463" s="175" t="s">
        <v>145</v>
      </c>
      <c r="U463" s="175" t="s">
        <v>145</v>
      </c>
      <c r="V463" s="171" t="s">
        <v>145</v>
      </c>
      <c r="W463" s="171" t="s">
        <v>145</v>
      </c>
      <c r="X463" s="176" t="s">
        <v>145</v>
      </c>
      <c r="Y463" s="171" t="s">
        <v>145</v>
      </c>
      <c r="Z463" s="176" t="s">
        <v>145</v>
      </c>
      <c r="AA463" s="171" t="s">
        <v>145</v>
      </c>
      <c r="AB463" s="176" t="s">
        <v>145</v>
      </c>
      <c r="AC463" s="171" t="s">
        <v>145</v>
      </c>
      <c r="AD463" s="176" t="s">
        <v>145</v>
      </c>
      <c r="AE463" s="171" t="s">
        <v>145</v>
      </c>
      <c r="AF463" s="176" t="str" cm="1">
        <f t="array" ref="AF463">IF(OR(AE463="/",AE463=""),"/",IF(ISNUMBER(SEARCH("普通",AE463)),0,IF(ISNUMBER(SEARCH("专用",AE463)),4,IF(ISNUMBER(SEARCH("定制",AE463)),7,IF(ISNUMBER(SEARCH("多个定制",AE463)),9,””)))))</f>
        <v>/</v>
      </c>
      <c r="AG463" s="176" t="s">
        <v>145</v>
      </c>
      <c r="AH463" s="176" t="s">
        <v>145</v>
      </c>
      <c r="AI463" s="176" t="s">
        <v>145</v>
      </c>
      <c r="AJ463" s="176" t="str">
        <f t="shared" si="330"/>
        <v>/</v>
      </c>
      <c r="AK463" s="171" t="s">
        <v>145</v>
      </c>
      <c r="AL463" s="177" t="s">
        <v>145</v>
      </c>
      <c r="AM463" s="177" t="s">
        <v>145</v>
      </c>
      <c r="AN463" s="177" t="s">
        <v>145</v>
      </c>
      <c r="AO463" s="177" t="s">
        <v>145</v>
      </c>
    </row>
    <row r="464" s="116" customFormat="1" ht="17" customHeight="1" spans="1:41">
      <c r="A464" s="171">
        <v>461</v>
      </c>
      <c r="B464" s="172" t="s">
        <v>1389</v>
      </c>
      <c r="C464" s="171" t="s">
        <v>1221</v>
      </c>
      <c r="D464" s="173" t="s">
        <v>1390</v>
      </c>
      <c r="E464" s="171" t="s">
        <v>73</v>
      </c>
      <c r="F464" s="171"/>
      <c r="G464" s="171"/>
      <c r="H464" s="171"/>
      <c r="I464" s="171"/>
      <c r="J464" s="171"/>
      <c r="K464" s="173" t="s">
        <v>1323</v>
      </c>
      <c r="L464" s="173" t="s">
        <v>1391</v>
      </c>
      <c r="M464" s="173" t="s">
        <v>95</v>
      </c>
      <c r="N464" s="174" t="s">
        <v>77</v>
      </c>
      <c r="O464" s="174" t="s">
        <v>77</v>
      </c>
      <c r="P464" s="174" t="s">
        <v>78</v>
      </c>
      <c r="Q464" s="174" t="s">
        <v>96</v>
      </c>
      <c r="R464" s="174" t="str">
        <f t="shared" ref="R464:R469" si="331">IF(OR(N464="严重Severe",O464="严重Severe",P464="严重Severe",Q464="严重Severe"),"严重Severe",IF(OR(N464="主要Major",O464="主要Major",P464="主要Major",Q464="主要Major"),"主要Major",IF(OR(N464="中等Medium",O464="中等Medium",P464="中等Medium",Q464="中等Medium"),"中等Medium",IF(OR(N464="可忽略不计Negligible",O464="可忽略不计Negligible",P464="可忽略不计Negligible",Q464="可忽略不计Negligible"),"可忽略不计Negligible","/"))))</f>
        <v>主要Major</v>
      </c>
      <c r="S464" s="175" t="s">
        <v>78</v>
      </c>
      <c r="T464" s="175" t="s">
        <v>1325</v>
      </c>
      <c r="U464" s="175" t="s">
        <v>1392</v>
      </c>
      <c r="V464" s="171" t="s">
        <v>1393</v>
      </c>
      <c r="W464" s="171" t="s">
        <v>82</v>
      </c>
      <c r="X464" s="176">
        <f t="shared" ref="X464:X469" si="332">IF(OR(W464="/",W464=""),"/",IF(ISNUMBER(SEARCH("1天",W464)),0,IF(ISNUMBER(SEARCH("一周",W464)),1,IF(ISNUMBER(SEARCH("1个月",W464)),4,IF(ISNUMBER(SEARCH("超过",W464)),19,IF(ISNUMBER(SEARCH("6个月",W464)),17,""))))))</f>
        <v>0</v>
      </c>
      <c r="Y464" s="171" t="s">
        <v>83</v>
      </c>
      <c r="Z464" s="176">
        <f t="shared" ref="Z464:Z469" si="333">IF(OR(Y464="/",Y464=""),"/",IF(ISNUMBER(SEARCH("新手",Y464)),0,IF(ISNUMBER(SEARCH("熟练",Y464)),3,IF(ISNUMBER(SEARCH("多位",Y464)),17,IF(ISNUMBER(SEARCH("专家",Y464)),6,"")))))</f>
        <v>6</v>
      </c>
      <c r="AA464" s="171" t="s">
        <v>84</v>
      </c>
      <c r="AB464" s="176">
        <f t="shared" ref="AB464:AB469" si="334">IF(OR(AA464="/",AA464=""),"/",IF(ISNUMBER(SEARCH("公开",AA464)),0,IF(ISNUMBER(SEARCH("限制性信息",AA464)),3,IF(ISNUMBER(SEARCH("机密信息",AA464)),7,IF(ISNUMBER(SEARCH("严格保密",AA464)),11,"")))))</f>
        <v>3</v>
      </c>
      <c r="AC464" s="171" t="s">
        <v>85</v>
      </c>
      <c r="AD464" s="176">
        <f t="shared" ref="AD464:AD469" si="335">IF(OR(AC464="/",AC464=""),"/",IF(ISNUMBER(SEARCH("无限制",AC464)),0,IF(ISNUMBER(SEARCH("容易",AC464)),1,IF(ISNUMBER(SEARCH("一般",AC464)),4,IF(ISNUMBER(SEARCH("困难",AC464)),10,"")))))</f>
        <v>4</v>
      </c>
      <c r="AE464" s="171" t="s">
        <v>86</v>
      </c>
      <c r="AF464" s="176" cm="1">
        <f t="array" ref="AF464">IF(OR(AE464="/",AE464=""),"/",IF(ISNUMBER(SEARCH("普通",AE464)),0,IF(ISNUMBER(SEARCH("专用",AE464)),4,IF(ISNUMBER(SEARCH("定制",AE464)),7,IF(ISNUMBER(SEARCH("多个定制",AE464)),9,””)))))</f>
        <v>4</v>
      </c>
      <c r="AG464" s="176">
        <f t="shared" ref="AG464:AG469" si="336">IF(OR(X464="/",Z464="/",AB464="/",AD464="/",AF464="/"),"/",X464+Z464+AB464+AD464+AF464)</f>
        <v>17</v>
      </c>
      <c r="AH464" s="176" t="str">
        <f t="shared" ref="AH464:AH469" si="337">IF(AND(AG464&gt;=0,AG464&lt;14),"高High",IF(AND(AG464&gt;=14,AG464&lt;20),"中Medium",IF(AND(AG464&gt;=20,AG464&lt;25),"低Low",IF(AND(AG464&gt;=25,AG464&lt;57),"非常低Very low",""))))</f>
        <v>中Medium</v>
      </c>
      <c r="AI464" s="176" t="s">
        <v>87</v>
      </c>
      <c r="AJ464" s="176" t="str">
        <f t="shared" si="330"/>
        <v>降低
Reucing</v>
      </c>
      <c r="AK464" s="171" t="s">
        <v>1328</v>
      </c>
      <c r="AL464" s="177" t="s">
        <v>100</v>
      </c>
      <c r="AM464" s="180" t="s">
        <v>101</v>
      </c>
      <c r="AN464" s="178" t="s">
        <v>102</v>
      </c>
      <c r="AO464" s="178" t="s">
        <v>103</v>
      </c>
    </row>
    <row r="465" s="116" customFormat="1" ht="17" customHeight="1" spans="1:41">
      <c r="A465" s="171">
        <v>462</v>
      </c>
      <c r="B465" s="179"/>
      <c r="C465" s="179"/>
      <c r="D465" s="179"/>
      <c r="E465" s="171" t="s">
        <v>73</v>
      </c>
      <c r="F465" s="171"/>
      <c r="G465" s="171"/>
      <c r="H465" s="171"/>
      <c r="I465" s="171"/>
      <c r="J465" s="171"/>
      <c r="K465" s="173" t="s">
        <v>1329</v>
      </c>
      <c r="L465" s="173" t="s">
        <v>1394</v>
      </c>
      <c r="M465" s="173" t="s">
        <v>1230</v>
      </c>
      <c r="N465" s="174" t="s">
        <v>77</v>
      </c>
      <c r="O465" s="174" t="s">
        <v>77</v>
      </c>
      <c r="P465" s="174" t="s">
        <v>78</v>
      </c>
      <c r="Q465" s="174" t="s">
        <v>78</v>
      </c>
      <c r="R465" s="174" t="str">
        <f t="shared" si="331"/>
        <v>主要Major</v>
      </c>
      <c r="S465" s="175" t="s">
        <v>78</v>
      </c>
      <c r="T465" s="175" t="s">
        <v>1331</v>
      </c>
      <c r="U465" s="175" t="s">
        <v>1395</v>
      </c>
      <c r="V465" s="171" t="s">
        <v>1393</v>
      </c>
      <c r="W465" s="171" t="s">
        <v>82</v>
      </c>
      <c r="X465" s="176">
        <f t="shared" si="332"/>
        <v>0</v>
      </c>
      <c r="Y465" s="171" t="s">
        <v>83</v>
      </c>
      <c r="Z465" s="176">
        <f t="shared" si="333"/>
        <v>6</v>
      </c>
      <c r="AA465" s="171" t="s">
        <v>84</v>
      </c>
      <c r="AB465" s="176">
        <f t="shared" si="334"/>
        <v>3</v>
      </c>
      <c r="AC465" s="171" t="s">
        <v>85</v>
      </c>
      <c r="AD465" s="176">
        <f t="shared" si="335"/>
        <v>4</v>
      </c>
      <c r="AE465" s="171" t="s">
        <v>86</v>
      </c>
      <c r="AF465" s="176" cm="1">
        <f t="array" ref="AF465">IF(OR(AE465="/",AE465=""),"/",IF(ISNUMBER(SEARCH("普通",AE465)),0,IF(ISNUMBER(SEARCH("专用",AE465)),4,IF(ISNUMBER(SEARCH("定制",AE465)),7,IF(ISNUMBER(SEARCH("多个定制",AE465)),9,””)))))</f>
        <v>4</v>
      </c>
      <c r="AG465" s="176">
        <f t="shared" si="336"/>
        <v>17</v>
      </c>
      <c r="AH465" s="176" t="str">
        <f t="shared" si="337"/>
        <v>中Medium</v>
      </c>
      <c r="AI465" s="176" t="s">
        <v>87</v>
      </c>
      <c r="AJ465" s="176" t="str">
        <f t="shared" si="330"/>
        <v>降低
Reucing</v>
      </c>
      <c r="AK465" s="171" t="s">
        <v>1333</v>
      </c>
      <c r="AL465" s="177" t="s">
        <v>1334</v>
      </c>
      <c r="AM465" s="180" t="s">
        <v>1335</v>
      </c>
      <c r="AN465" s="178" t="s">
        <v>1233</v>
      </c>
      <c r="AO465" s="178" t="s">
        <v>1234</v>
      </c>
    </row>
    <row r="466" s="116" customFormat="1" ht="17" customHeight="1" spans="1:41">
      <c r="A466" s="171">
        <v>463</v>
      </c>
      <c r="B466" s="179"/>
      <c r="C466" s="179"/>
      <c r="D466" s="179"/>
      <c r="E466" s="171"/>
      <c r="F466" s="171" t="s">
        <v>73</v>
      </c>
      <c r="G466" s="171"/>
      <c r="H466" s="171"/>
      <c r="I466" s="171"/>
      <c r="J466" s="171"/>
      <c r="K466" s="173" t="s">
        <v>1336</v>
      </c>
      <c r="L466" s="173" t="s">
        <v>1396</v>
      </c>
      <c r="M466" s="173" t="s">
        <v>553</v>
      </c>
      <c r="N466" s="174" t="s">
        <v>77</v>
      </c>
      <c r="O466" s="174" t="s">
        <v>77</v>
      </c>
      <c r="P466" s="174" t="s">
        <v>96</v>
      </c>
      <c r="Q466" s="174" t="s">
        <v>77</v>
      </c>
      <c r="R466" s="174" t="str">
        <f t="shared" si="331"/>
        <v>中等Medium</v>
      </c>
      <c r="S466" s="175" t="s">
        <v>96</v>
      </c>
      <c r="T466" s="175" t="s">
        <v>1338</v>
      </c>
      <c r="U466" s="175" t="s">
        <v>555</v>
      </c>
      <c r="V466" s="171" t="s">
        <v>1393</v>
      </c>
      <c r="W466" s="171" t="s">
        <v>111</v>
      </c>
      <c r="X466" s="176">
        <f t="shared" si="332"/>
        <v>1</v>
      </c>
      <c r="Y466" s="171" t="s">
        <v>83</v>
      </c>
      <c r="Z466" s="176">
        <f t="shared" si="333"/>
        <v>6</v>
      </c>
      <c r="AA466" s="171" t="s">
        <v>153</v>
      </c>
      <c r="AB466" s="176">
        <f t="shared" si="334"/>
        <v>0</v>
      </c>
      <c r="AC466" s="171" t="s">
        <v>558</v>
      </c>
      <c r="AD466" s="176">
        <f t="shared" si="335"/>
        <v>10</v>
      </c>
      <c r="AE466" s="171" t="s">
        <v>86</v>
      </c>
      <c r="AF466" s="176" cm="1">
        <f t="array" ref="AF466">IF(OR(AE466="/",AE466=""),"/",IF(ISNUMBER(SEARCH("普通",AE466)),0,IF(ISNUMBER(SEARCH("专用",AE466)),4,IF(ISNUMBER(SEARCH("定制",AE466)),7,IF(ISNUMBER(SEARCH("多个定制",AE466)),9,””)))))</f>
        <v>4</v>
      </c>
      <c r="AG466" s="176">
        <f t="shared" si="336"/>
        <v>21</v>
      </c>
      <c r="AH466" s="176" t="str">
        <f t="shared" si="337"/>
        <v>低Low</v>
      </c>
      <c r="AI466" s="176" t="s">
        <v>144</v>
      </c>
      <c r="AJ466" s="176" t="str">
        <f t="shared" si="330"/>
        <v>保留
Retaining</v>
      </c>
      <c r="AK466" s="171" t="s">
        <v>145</v>
      </c>
      <c r="AL466" s="177" t="s">
        <v>145</v>
      </c>
      <c r="AM466" s="171" t="s">
        <v>145</v>
      </c>
      <c r="AN466" s="178" t="s">
        <v>270</v>
      </c>
      <c r="AO466" s="178" t="s">
        <v>271</v>
      </c>
    </row>
    <row r="467" s="116" customFormat="1" ht="17" customHeight="1" spans="1:41">
      <c r="A467" s="171">
        <v>464</v>
      </c>
      <c r="B467" s="179"/>
      <c r="C467" s="179"/>
      <c r="D467" s="179"/>
      <c r="E467" s="171"/>
      <c r="F467" s="171"/>
      <c r="G467" s="171" t="s">
        <v>73</v>
      </c>
      <c r="H467" s="171"/>
      <c r="I467" s="171"/>
      <c r="J467" s="171"/>
      <c r="K467" s="173" t="s">
        <v>1339</v>
      </c>
      <c r="L467" s="173" t="s">
        <v>1397</v>
      </c>
      <c r="M467" s="173" t="s">
        <v>1240</v>
      </c>
      <c r="N467" s="174" t="s">
        <v>77</v>
      </c>
      <c r="O467" s="174" t="s">
        <v>77</v>
      </c>
      <c r="P467" s="174" t="s">
        <v>78</v>
      </c>
      <c r="Q467" s="174" t="s">
        <v>77</v>
      </c>
      <c r="R467" s="174" t="str">
        <f t="shared" si="331"/>
        <v>主要Major</v>
      </c>
      <c r="S467" s="175" t="s">
        <v>78</v>
      </c>
      <c r="T467" s="175" t="s">
        <v>1341</v>
      </c>
      <c r="U467" s="175" t="s">
        <v>1242</v>
      </c>
      <c r="V467" s="171" t="s">
        <v>1393</v>
      </c>
      <c r="W467" s="171" t="s">
        <v>82</v>
      </c>
      <c r="X467" s="176">
        <f t="shared" si="332"/>
        <v>0</v>
      </c>
      <c r="Y467" s="171" t="s">
        <v>83</v>
      </c>
      <c r="Z467" s="176">
        <f t="shared" si="333"/>
        <v>6</v>
      </c>
      <c r="AA467" s="171" t="s">
        <v>84</v>
      </c>
      <c r="AB467" s="176">
        <f t="shared" si="334"/>
        <v>3</v>
      </c>
      <c r="AC467" s="171" t="s">
        <v>85</v>
      </c>
      <c r="AD467" s="176">
        <f t="shared" si="335"/>
        <v>4</v>
      </c>
      <c r="AE467" s="171" t="s">
        <v>86</v>
      </c>
      <c r="AF467" s="176" cm="1">
        <f t="array" ref="AF467">IF(OR(AE467="/",AE467=""),"/",IF(ISNUMBER(SEARCH("普通",AE467)),0,IF(ISNUMBER(SEARCH("专用",AE467)),4,IF(ISNUMBER(SEARCH("定制",AE467)),7,IF(ISNUMBER(SEARCH("多个定制",AE467)),9,””)))))</f>
        <v>4</v>
      </c>
      <c r="AG467" s="176">
        <f t="shared" si="336"/>
        <v>17</v>
      </c>
      <c r="AH467" s="176" t="str">
        <f t="shared" si="337"/>
        <v>中Medium</v>
      </c>
      <c r="AI467" s="176" t="s">
        <v>87</v>
      </c>
      <c r="AJ467" s="176" t="str">
        <f t="shared" si="330"/>
        <v>降低
Reucing</v>
      </c>
      <c r="AK467" s="171" t="s">
        <v>1342</v>
      </c>
      <c r="AL467" s="177" t="s">
        <v>1343</v>
      </c>
      <c r="AM467" s="180" t="s">
        <v>1344</v>
      </c>
      <c r="AN467" s="178" t="s">
        <v>1243</v>
      </c>
      <c r="AO467" s="178" t="s">
        <v>1244</v>
      </c>
    </row>
    <row r="468" s="116" customFormat="1" ht="17" customHeight="1" spans="1:41">
      <c r="A468" s="171">
        <v>465</v>
      </c>
      <c r="B468" s="179"/>
      <c r="C468" s="179"/>
      <c r="D468" s="179"/>
      <c r="E468" s="171"/>
      <c r="F468" s="171"/>
      <c r="G468" s="171" t="s">
        <v>73</v>
      </c>
      <c r="H468" s="171"/>
      <c r="I468" s="171"/>
      <c r="J468" s="171"/>
      <c r="K468" s="173" t="s">
        <v>1345</v>
      </c>
      <c r="L468" s="173" t="s">
        <v>1398</v>
      </c>
      <c r="M468" s="173" t="s">
        <v>150</v>
      </c>
      <c r="N468" s="174" t="s">
        <v>77</v>
      </c>
      <c r="O468" s="174" t="s">
        <v>77</v>
      </c>
      <c r="P468" s="174" t="s">
        <v>78</v>
      </c>
      <c r="Q468" s="174" t="s">
        <v>77</v>
      </c>
      <c r="R468" s="174" t="str">
        <f t="shared" si="331"/>
        <v>主要Major</v>
      </c>
      <c r="S468" s="175" t="s">
        <v>78</v>
      </c>
      <c r="T468" s="175" t="s">
        <v>1347</v>
      </c>
      <c r="U468" s="175" t="s">
        <v>1248</v>
      </c>
      <c r="V468" s="171" t="s">
        <v>1393</v>
      </c>
      <c r="W468" s="171" t="s">
        <v>82</v>
      </c>
      <c r="X468" s="176">
        <f t="shared" si="332"/>
        <v>0</v>
      </c>
      <c r="Y468" s="171" t="s">
        <v>83</v>
      </c>
      <c r="Z468" s="176">
        <f t="shared" si="333"/>
        <v>6</v>
      </c>
      <c r="AA468" s="171" t="s">
        <v>84</v>
      </c>
      <c r="AB468" s="176">
        <f t="shared" si="334"/>
        <v>3</v>
      </c>
      <c r="AC468" s="171" t="s">
        <v>85</v>
      </c>
      <c r="AD468" s="176">
        <f t="shared" si="335"/>
        <v>4</v>
      </c>
      <c r="AE468" s="171" t="s">
        <v>86</v>
      </c>
      <c r="AF468" s="176" cm="1">
        <f t="array" ref="AF468">IF(OR(AE468="/",AE468=""),"/",IF(ISNUMBER(SEARCH("普通",AE468)),0,IF(ISNUMBER(SEARCH("专用",AE468)),4,IF(ISNUMBER(SEARCH("定制",AE468)),7,IF(ISNUMBER(SEARCH("多个定制",AE468)),9,””)))))</f>
        <v>4</v>
      </c>
      <c r="AG468" s="176">
        <f t="shared" si="336"/>
        <v>17</v>
      </c>
      <c r="AH468" s="176" t="str">
        <f t="shared" si="337"/>
        <v>中Medium</v>
      </c>
      <c r="AI468" s="176" t="s">
        <v>87</v>
      </c>
      <c r="AJ468" s="176" t="str">
        <f t="shared" si="330"/>
        <v>降低
Reucing</v>
      </c>
      <c r="AK468" s="171" t="s">
        <v>1348</v>
      </c>
      <c r="AL468" s="177" t="s">
        <v>1349</v>
      </c>
      <c r="AM468" s="180" t="s">
        <v>1350</v>
      </c>
      <c r="AN468" s="178" t="s">
        <v>1249</v>
      </c>
      <c r="AO468" s="178" t="s">
        <v>1250</v>
      </c>
    </row>
    <row r="469" s="116" customFormat="1" ht="17" customHeight="1" spans="1:41">
      <c r="A469" s="171">
        <v>466</v>
      </c>
      <c r="B469" s="179"/>
      <c r="C469" s="179"/>
      <c r="D469" s="179"/>
      <c r="E469" s="171"/>
      <c r="F469" s="171"/>
      <c r="G469" s="171"/>
      <c r="H469" s="171" t="s">
        <v>73</v>
      </c>
      <c r="I469" s="171"/>
      <c r="J469" s="171"/>
      <c r="K469" s="173" t="s">
        <v>1351</v>
      </c>
      <c r="L469" s="173" t="s">
        <v>1399</v>
      </c>
      <c r="M469" s="173" t="s">
        <v>589</v>
      </c>
      <c r="N469" s="174" t="s">
        <v>77</v>
      </c>
      <c r="O469" s="174" t="s">
        <v>77</v>
      </c>
      <c r="P469" s="174" t="s">
        <v>78</v>
      </c>
      <c r="Q469" s="174" t="s">
        <v>77</v>
      </c>
      <c r="R469" s="174" t="str">
        <f t="shared" si="331"/>
        <v>主要Major</v>
      </c>
      <c r="S469" s="175" t="s">
        <v>78</v>
      </c>
      <c r="T469" s="175" t="s">
        <v>1353</v>
      </c>
      <c r="U469" s="175" t="s">
        <v>591</v>
      </c>
      <c r="V469" s="171" t="s">
        <v>1393</v>
      </c>
      <c r="W469" s="171" t="s">
        <v>82</v>
      </c>
      <c r="X469" s="176">
        <f t="shared" si="332"/>
        <v>0</v>
      </c>
      <c r="Y469" s="171" t="s">
        <v>83</v>
      </c>
      <c r="Z469" s="176">
        <f t="shared" si="333"/>
        <v>6</v>
      </c>
      <c r="AA469" s="171" t="s">
        <v>153</v>
      </c>
      <c r="AB469" s="176">
        <f t="shared" si="334"/>
        <v>0</v>
      </c>
      <c r="AC469" s="171" t="s">
        <v>558</v>
      </c>
      <c r="AD469" s="176">
        <f t="shared" si="335"/>
        <v>10</v>
      </c>
      <c r="AE469" s="171" t="s">
        <v>86</v>
      </c>
      <c r="AF469" s="176" cm="1">
        <f t="array" ref="AF469">IF(OR(AE469="/",AE469=""),"/",IF(ISNUMBER(SEARCH("普通",AE469)),0,IF(ISNUMBER(SEARCH("专用",AE469)),4,IF(ISNUMBER(SEARCH("定制",AE469)),7,IF(ISNUMBER(SEARCH("多个定制",AE469)),9,””)))))</f>
        <v>4</v>
      </c>
      <c r="AG469" s="176">
        <f t="shared" si="336"/>
        <v>20</v>
      </c>
      <c r="AH469" s="176" t="str">
        <f t="shared" si="337"/>
        <v>低Low</v>
      </c>
      <c r="AI469" s="176" t="s">
        <v>87</v>
      </c>
      <c r="AJ469" s="176" t="str">
        <f t="shared" si="330"/>
        <v>降低
Reucing</v>
      </c>
      <c r="AK469" s="171" t="s">
        <v>1354</v>
      </c>
      <c r="AL469" s="177" t="s">
        <v>1355</v>
      </c>
      <c r="AM469" s="180" t="s">
        <v>101</v>
      </c>
      <c r="AN469" s="178" t="s">
        <v>592</v>
      </c>
      <c r="AO469" s="178" t="s">
        <v>593</v>
      </c>
    </row>
    <row r="470" s="116" customFormat="1" ht="17" customHeight="1" spans="1:41">
      <c r="A470" s="171">
        <v>467</v>
      </c>
      <c r="B470" s="179"/>
      <c r="C470" s="179"/>
      <c r="D470" s="179"/>
      <c r="E470" s="171"/>
      <c r="F470" s="171"/>
      <c r="G470" s="171"/>
      <c r="H470" s="171"/>
      <c r="I470" s="171" t="s">
        <v>183</v>
      </c>
      <c r="J470" s="171"/>
      <c r="K470" s="173" t="s">
        <v>145</v>
      </c>
      <c r="L470" s="173" t="s">
        <v>145</v>
      </c>
      <c r="M470" s="173" t="s">
        <v>145</v>
      </c>
      <c r="N470" s="174" t="s">
        <v>145</v>
      </c>
      <c r="O470" s="174" t="s">
        <v>145</v>
      </c>
      <c r="P470" s="174" t="s">
        <v>145</v>
      </c>
      <c r="Q470" s="174" t="s">
        <v>145</v>
      </c>
      <c r="R470" s="174" t="s">
        <v>145</v>
      </c>
      <c r="S470" s="175" t="s">
        <v>145</v>
      </c>
      <c r="T470" s="175" t="s">
        <v>145</v>
      </c>
      <c r="U470" s="175" t="s">
        <v>145</v>
      </c>
      <c r="V470" s="171" t="s">
        <v>145</v>
      </c>
      <c r="W470" s="171" t="s">
        <v>145</v>
      </c>
      <c r="X470" s="176" t="s">
        <v>145</v>
      </c>
      <c r="Y470" s="171" t="s">
        <v>145</v>
      </c>
      <c r="Z470" s="176" t="s">
        <v>145</v>
      </c>
      <c r="AA470" s="171" t="s">
        <v>145</v>
      </c>
      <c r="AB470" s="176" t="s">
        <v>145</v>
      </c>
      <c r="AC470" s="171" t="s">
        <v>145</v>
      </c>
      <c r="AD470" s="176" t="s">
        <v>145</v>
      </c>
      <c r="AE470" s="171" t="s">
        <v>145</v>
      </c>
      <c r="AF470" s="176" t="str" cm="1">
        <f t="array" ref="AF470">IF(OR(AE470="/",AE470=""),"/",IF(ISNUMBER(SEARCH("普通",AE470)),0,IF(ISNUMBER(SEARCH("专用",AE470)),4,IF(ISNUMBER(SEARCH("定制",AE470)),7,IF(ISNUMBER(SEARCH("多个定制",AE470)),9,””)))))</f>
        <v>/</v>
      </c>
      <c r="AG470" s="176" t="s">
        <v>145</v>
      </c>
      <c r="AH470" s="176" t="s">
        <v>145</v>
      </c>
      <c r="AI470" s="176" t="s">
        <v>145</v>
      </c>
      <c r="AJ470" s="176" t="str">
        <f t="shared" si="330"/>
        <v>/</v>
      </c>
      <c r="AK470" s="171" t="s">
        <v>145</v>
      </c>
      <c r="AL470" s="177" t="s">
        <v>145</v>
      </c>
      <c r="AM470" s="177" t="s">
        <v>145</v>
      </c>
      <c r="AN470" s="177" t="s">
        <v>145</v>
      </c>
      <c r="AO470" s="177" t="s">
        <v>145</v>
      </c>
    </row>
    <row r="471" s="116" customFormat="1" ht="17" customHeight="1" spans="1:41">
      <c r="A471" s="171">
        <v>468</v>
      </c>
      <c r="B471" s="181"/>
      <c r="C471" s="181"/>
      <c r="D471" s="181"/>
      <c r="E471" s="171"/>
      <c r="F471" s="171"/>
      <c r="G471" s="171"/>
      <c r="H471" s="171"/>
      <c r="I471" s="171"/>
      <c r="J471" s="171" t="s">
        <v>183</v>
      </c>
      <c r="K471" s="173" t="s">
        <v>145</v>
      </c>
      <c r="L471" s="173" t="s">
        <v>145</v>
      </c>
      <c r="M471" s="173" t="s">
        <v>145</v>
      </c>
      <c r="N471" s="174" t="s">
        <v>145</v>
      </c>
      <c r="O471" s="174" t="s">
        <v>145</v>
      </c>
      <c r="P471" s="174" t="s">
        <v>145</v>
      </c>
      <c r="Q471" s="174" t="s">
        <v>145</v>
      </c>
      <c r="R471" s="174" t="s">
        <v>145</v>
      </c>
      <c r="S471" s="175" t="s">
        <v>145</v>
      </c>
      <c r="T471" s="175" t="s">
        <v>145</v>
      </c>
      <c r="U471" s="175" t="s">
        <v>145</v>
      </c>
      <c r="V471" s="171" t="s">
        <v>145</v>
      </c>
      <c r="W471" s="171" t="s">
        <v>145</v>
      </c>
      <c r="X471" s="176" t="s">
        <v>145</v>
      </c>
      <c r="Y471" s="171" t="s">
        <v>145</v>
      </c>
      <c r="Z471" s="176" t="s">
        <v>145</v>
      </c>
      <c r="AA471" s="171" t="s">
        <v>145</v>
      </c>
      <c r="AB471" s="176" t="s">
        <v>145</v>
      </c>
      <c r="AC471" s="171" t="s">
        <v>145</v>
      </c>
      <c r="AD471" s="176" t="s">
        <v>145</v>
      </c>
      <c r="AE471" s="171" t="s">
        <v>145</v>
      </c>
      <c r="AF471" s="176" t="str" cm="1">
        <f t="array" ref="AF471">IF(OR(AE471="/",AE471=""),"/",IF(ISNUMBER(SEARCH("普通",AE471)),0,IF(ISNUMBER(SEARCH("专用",AE471)),4,IF(ISNUMBER(SEARCH("定制",AE471)),7,IF(ISNUMBER(SEARCH("多个定制",AE471)),9,””)))))</f>
        <v>/</v>
      </c>
      <c r="AG471" s="176" t="s">
        <v>145</v>
      </c>
      <c r="AH471" s="176" t="s">
        <v>145</v>
      </c>
      <c r="AI471" s="176" t="s">
        <v>145</v>
      </c>
      <c r="AJ471" s="176" t="str">
        <f t="shared" si="330"/>
        <v>/</v>
      </c>
      <c r="AK471" s="171" t="s">
        <v>145</v>
      </c>
      <c r="AL471" s="177" t="s">
        <v>145</v>
      </c>
      <c r="AM471" s="177" t="s">
        <v>145</v>
      </c>
      <c r="AN471" s="177" t="s">
        <v>145</v>
      </c>
      <c r="AO471" s="177" t="s">
        <v>145</v>
      </c>
    </row>
    <row r="472" s="116" customFormat="1" ht="17" customHeight="1" spans="1:41">
      <c r="A472" s="171">
        <v>469</v>
      </c>
      <c r="B472" s="172" t="s">
        <v>1400</v>
      </c>
      <c r="C472" s="171" t="s">
        <v>1221</v>
      </c>
      <c r="D472" s="173" t="s">
        <v>1401</v>
      </c>
      <c r="E472" s="171" t="s">
        <v>73</v>
      </c>
      <c r="F472" s="171"/>
      <c r="G472" s="171"/>
      <c r="H472" s="171"/>
      <c r="I472" s="171"/>
      <c r="J472" s="171"/>
      <c r="K472" s="173" t="s">
        <v>1323</v>
      </c>
      <c r="L472" s="173" t="s">
        <v>1402</v>
      </c>
      <c r="M472" s="173" t="s">
        <v>95</v>
      </c>
      <c r="N472" s="174" t="s">
        <v>77</v>
      </c>
      <c r="O472" s="174" t="s">
        <v>77</v>
      </c>
      <c r="P472" s="174" t="s">
        <v>78</v>
      </c>
      <c r="Q472" s="174" t="s">
        <v>96</v>
      </c>
      <c r="R472" s="174" t="str">
        <f t="shared" ref="R472:R477" si="338">IF(OR(N472="严重Severe",O472="严重Severe",P472="严重Severe",Q472="严重Severe"),"严重Severe",IF(OR(N472="主要Major",O472="主要Major",P472="主要Major",Q472="主要Major"),"主要Major",IF(OR(N472="中等Medium",O472="中等Medium",P472="中等Medium",Q472="中等Medium"),"中等Medium",IF(OR(N472="可忽略不计Negligible",O472="可忽略不计Negligible",P472="可忽略不计Negligible",Q472="可忽略不计Negligible"),"可忽略不计Negligible","/"))))</f>
        <v>主要Major</v>
      </c>
      <c r="S472" s="175" t="s">
        <v>78</v>
      </c>
      <c r="T472" s="175" t="s">
        <v>1325</v>
      </c>
      <c r="U472" s="175" t="s">
        <v>1403</v>
      </c>
      <c r="V472" s="171" t="s">
        <v>1404</v>
      </c>
      <c r="W472" s="171" t="s">
        <v>82</v>
      </c>
      <c r="X472" s="176">
        <f t="shared" ref="X472:X477" si="339">IF(OR(W472="/",W472=""),"/",IF(ISNUMBER(SEARCH("1天",W472)),0,IF(ISNUMBER(SEARCH("一周",W472)),1,IF(ISNUMBER(SEARCH("1个月",W472)),4,IF(ISNUMBER(SEARCH("超过",W472)),19,IF(ISNUMBER(SEARCH("6个月",W472)),17,""))))))</f>
        <v>0</v>
      </c>
      <c r="Y472" s="171" t="s">
        <v>83</v>
      </c>
      <c r="Z472" s="176">
        <f t="shared" ref="Z472:Z477" si="340">IF(OR(Y472="/",Y472=""),"/",IF(ISNUMBER(SEARCH("新手",Y472)),0,IF(ISNUMBER(SEARCH("熟练",Y472)),3,IF(ISNUMBER(SEARCH("多位",Y472)),17,IF(ISNUMBER(SEARCH("专家",Y472)),6,"")))))</f>
        <v>6</v>
      </c>
      <c r="AA472" s="171" t="s">
        <v>84</v>
      </c>
      <c r="AB472" s="176">
        <f t="shared" ref="AB472:AB477" si="341">IF(OR(AA472="/",AA472=""),"/",IF(ISNUMBER(SEARCH("公开",AA472)),0,IF(ISNUMBER(SEARCH("限制性信息",AA472)),3,IF(ISNUMBER(SEARCH("机密信息",AA472)),7,IF(ISNUMBER(SEARCH("严格保密",AA472)),11,"")))))</f>
        <v>3</v>
      </c>
      <c r="AC472" s="171" t="s">
        <v>85</v>
      </c>
      <c r="AD472" s="176">
        <f t="shared" ref="AD472:AD477" si="342">IF(OR(AC472="/",AC472=""),"/",IF(ISNUMBER(SEARCH("无限制",AC472)),0,IF(ISNUMBER(SEARCH("容易",AC472)),1,IF(ISNUMBER(SEARCH("一般",AC472)),4,IF(ISNUMBER(SEARCH("困难",AC472)),10,"")))))</f>
        <v>4</v>
      </c>
      <c r="AE472" s="171" t="s">
        <v>86</v>
      </c>
      <c r="AF472" s="176" cm="1">
        <f t="array" ref="AF472">IF(OR(AE472="/",AE472=""),"/",IF(ISNUMBER(SEARCH("普通",AE472)),0,IF(ISNUMBER(SEARCH("专用",AE472)),4,IF(ISNUMBER(SEARCH("定制",AE472)),7,IF(ISNUMBER(SEARCH("多个定制",AE472)),9,””)))))</f>
        <v>4</v>
      </c>
      <c r="AG472" s="176">
        <f t="shared" ref="AG472:AG477" si="343">IF(OR(X472="/",Z472="/",AB472="/",AD472="/",AF472="/"),"/",X472+Z472+AB472+AD472+AF472)</f>
        <v>17</v>
      </c>
      <c r="AH472" s="176" t="str">
        <f t="shared" ref="AH472:AH477" si="344">IF(AND(AG472&gt;=0,AG472&lt;14),"高High",IF(AND(AG472&gt;=14,AG472&lt;20),"中Medium",IF(AND(AG472&gt;=20,AG472&lt;25),"低Low",IF(AND(AG472&gt;=25,AG472&lt;57),"非常低Very low",""))))</f>
        <v>中Medium</v>
      </c>
      <c r="AI472" s="176" t="s">
        <v>87</v>
      </c>
      <c r="AJ472" s="176" t="str">
        <f t="shared" si="330"/>
        <v>降低
Reucing</v>
      </c>
      <c r="AK472" s="171" t="s">
        <v>1328</v>
      </c>
      <c r="AL472" s="177" t="s">
        <v>100</v>
      </c>
      <c r="AM472" s="180" t="s">
        <v>101</v>
      </c>
      <c r="AN472" s="178" t="s">
        <v>102</v>
      </c>
      <c r="AO472" s="178" t="s">
        <v>103</v>
      </c>
    </row>
    <row r="473" s="116" customFormat="1" ht="17" customHeight="1" spans="1:41">
      <c r="A473" s="171">
        <v>470</v>
      </c>
      <c r="B473" s="179"/>
      <c r="C473" s="179"/>
      <c r="D473" s="179"/>
      <c r="E473" s="171" t="s">
        <v>73</v>
      </c>
      <c r="F473" s="171"/>
      <c r="G473" s="171"/>
      <c r="H473" s="171"/>
      <c r="I473" s="171"/>
      <c r="J473" s="171"/>
      <c r="K473" s="173" t="s">
        <v>1329</v>
      </c>
      <c r="L473" s="173" t="s">
        <v>1405</v>
      </c>
      <c r="M473" s="173" t="s">
        <v>1230</v>
      </c>
      <c r="N473" s="174" t="s">
        <v>77</v>
      </c>
      <c r="O473" s="174" t="s">
        <v>77</v>
      </c>
      <c r="P473" s="174" t="s">
        <v>78</v>
      </c>
      <c r="Q473" s="174" t="s">
        <v>78</v>
      </c>
      <c r="R473" s="174" t="str">
        <f t="shared" si="338"/>
        <v>主要Major</v>
      </c>
      <c r="S473" s="175" t="s">
        <v>78</v>
      </c>
      <c r="T473" s="175" t="s">
        <v>1331</v>
      </c>
      <c r="U473" s="175" t="s">
        <v>1406</v>
      </c>
      <c r="V473" s="171" t="s">
        <v>1404</v>
      </c>
      <c r="W473" s="171" t="s">
        <v>82</v>
      </c>
      <c r="X473" s="176">
        <f t="shared" si="339"/>
        <v>0</v>
      </c>
      <c r="Y473" s="171" t="s">
        <v>83</v>
      </c>
      <c r="Z473" s="176">
        <f t="shared" si="340"/>
        <v>6</v>
      </c>
      <c r="AA473" s="171" t="s">
        <v>84</v>
      </c>
      <c r="AB473" s="176">
        <f t="shared" si="341"/>
        <v>3</v>
      </c>
      <c r="AC473" s="171" t="s">
        <v>85</v>
      </c>
      <c r="AD473" s="176">
        <f t="shared" si="342"/>
        <v>4</v>
      </c>
      <c r="AE473" s="171" t="s">
        <v>86</v>
      </c>
      <c r="AF473" s="176" cm="1">
        <f t="array" ref="AF473">IF(OR(AE473="/",AE473=""),"/",IF(ISNUMBER(SEARCH("普通",AE473)),0,IF(ISNUMBER(SEARCH("专用",AE473)),4,IF(ISNUMBER(SEARCH("定制",AE473)),7,IF(ISNUMBER(SEARCH("多个定制",AE473)),9,””)))))</f>
        <v>4</v>
      </c>
      <c r="AG473" s="176">
        <f t="shared" si="343"/>
        <v>17</v>
      </c>
      <c r="AH473" s="176" t="str">
        <f t="shared" si="344"/>
        <v>中Medium</v>
      </c>
      <c r="AI473" s="176" t="s">
        <v>87</v>
      </c>
      <c r="AJ473" s="176" t="str">
        <f t="shared" si="330"/>
        <v>降低
Reucing</v>
      </c>
      <c r="AK473" s="171" t="s">
        <v>1333</v>
      </c>
      <c r="AL473" s="177" t="s">
        <v>1334</v>
      </c>
      <c r="AM473" s="180" t="s">
        <v>1335</v>
      </c>
      <c r="AN473" s="178" t="s">
        <v>1233</v>
      </c>
      <c r="AO473" s="178" t="s">
        <v>1234</v>
      </c>
    </row>
    <row r="474" s="116" customFormat="1" ht="17" customHeight="1" spans="1:41">
      <c r="A474" s="171">
        <v>471</v>
      </c>
      <c r="B474" s="179"/>
      <c r="C474" s="179"/>
      <c r="D474" s="179"/>
      <c r="E474" s="171"/>
      <c r="F474" s="171" t="s">
        <v>73</v>
      </c>
      <c r="G474" s="171"/>
      <c r="H474" s="171"/>
      <c r="I474" s="171"/>
      <c r="J474" s="171"/>
      <c r="K474" s="173" t="s">
        <v>1336</v>
      </c>
      <c r="L474" s="173" t="s">
        <v>1407</v>
      </c>
      <c r="M474" s="173" t="s">
        <v>553</v>
      </c>
      <c r="N474" s="174" t="s">
        <v>77</v>
      </c>
      <c r="O474" s="174" t="s">
        <v>77</v>
      </c>
      <c r="P474" s="174" t="s">
        <v>96</v>
      </c>
      <c r="Q474" s="174" t="s">
        <v>77</v>
      </c>
      <c r="R474" s="174" t="str">
        <f t="shared" si="338"/>
        <v>中等Medium</v>
      </c>
      <c r="S474" s="175" t="s">
        <v>96</v>
      </c>
      <c r="T474" s="175" t="s">
        <v>1338</v>
      </c>
      <c r="U474" s="175" t="s">
        <v>555</v>
      </c>
      <c r="V474" s="171" t="s">
        <v>1404</v>
      </c>
      <c r="W474" s="171" t="s">
        <v>111</v>
      </c>
      <c r="X474" s="176">
        <f t="shared" si="339"/>
        <v>1</v>
      </c>
      <c r="Y474" s="171" t="s">
        <v>83</v>
      </c>
      <c r="Z474" s="176">
        <f t="shared" si="340"/>
        <v>6</v>
      </c>
      <c r="AA474" s="171" t="s">
        <v>153</v>
      </c>
      <c r="AB474" s="176">
        <f t="shared" si="341"/>
        <v>0</v>
      </c>
      <c r="AC474" s="171" t="s">
        <v>558</v>
      </c>
      <c r="AD474" s="176">
        <f t="shared" si="342"/>
        <v>10</v>
      </c>
      <c r="AE474" s="171" t="s">
        <v>86</v>
      </c>
      <c r="AF474" s="176" cm="1">
        <f t="array" ref="AF474">IF(OR(AE474="/",AE474=""),"/",IF(ISNUMBER(SEARCH("普通",AE474)),0,IF(ISNUMBER(SEARCH("专用",AE474)),4,IF(ISNUMBER(SEARCH("定制",AE474)),7,IF(ISNUMBER(SEARCH("多个定制",AE474)),9,””)))))</f>
        <v>4</v>
      </c>
      <c r="AG474" s="176">
        <f t="shared" si="343"/>
        <v>21</v>
      </c>
      <c r="AH474" s="176" t="str">
        <f t="shared" si="344"/>
        <v>低Low</v>
      </c>
      <c r="AI474" s="176" t="s">
        <v>144</v>
      </c>
      <c r="AJ474" s="176" t="str">
        <f t="shared" si="330"/>
        <v>保留
Retaining</v>
      </c>
      <c r="AK474" s="171" t="s">
        <v>145</v>
      </c>
      <c r="AL474" s="177" t="s">
        <v>145</v>
      </c>
      <c r="AM474" s="171" t="s">
        <v>145</v>
      </c>
      <c r="AN474" s="178" t="s">
        <v>270</v>
      </c>
      <c r="AO474" s="178" t="s">
        <v>271</v>
      </c>
    </row>
    <row r="475" s="116" customFormat="1" ht="17" customHeight="1" spans="1:41">
      <c r="A475" s="171">
        <v>472</v>
      </c>
      <c r="B475" s="179"/>
      <c r="C475" s="179"/>
      <c r="D475" s="179"/>
      <c r="E475" s="171"/>
      <c r="F475" s="171"/>
      <c r="G475" s="171" t="s">
        <v>73</v>
      </c>
      <c r="H475" s="171"/>
      <c r="I475" s="171"/>
      <c r="J475" s="171"/>
      <c r="K475" s="173" t="s">
        <v>1339</v>
      </c>
      <c r="L475" s="173" t="s">
        <v>1408</v>
      </c>
      <c r="M475" s="173" t="s">
        <v>1240</v>
      </c>
      <c r="N475" s="174" t="s">
        <v>77</v>
      </c>
      <c r="O475" s="174" t="s">
        <v>77</v>
      </c>
      <c r="P475" s="174" t="s">
        <v>78</v>
      </c>
      <c r="Q475" s="174" t="s">
        <v>77</v>
      </c>
      <c r="R475" s="174" t="str">
        <f t="shared" si="338"/>
        <v>主要Major</v>
      </c>
      <c r="S475" s="175" t="s">
        <v>78</v>
      </c>
      <c r="T475" s="175" t="s">
        <v>1341</v>
      </c>
      <c r="U475" s="175" t="s">
        <v>1242</v>
      </c>
      <c r="V475" s="171" t="s">
        <v>1404</v>
      </c>
      <c r="W475" s="171" t="s">
        <v>82</v>
      </c>
      <c r="X475" s="176">
        <f t="shared" si="339"/>
        <v>0</v>
      </c>
      <c r="Y475" s="171" t="s">
        <v>83</v>
      </c>
      <c r="Z475" s="176">
        <f t="shared" si="340"/>
        <v>6</v>
      </c>
      <c r="AA475" s="171" t="s">
        <v>84</v>
      </c>
      <c r="AB475" s="176">
        <f t="shared" si="341"/>
        <v>3</v>
      </c>
      <c r="AC475" s="171" t="s">
        <v>85</v>
      </c>
      <c r="AD475" s="176">
        <f t="shared" si="342"/>
        <v>4</v>
      </c>
      <c r="AE475" s="171" t="s">
        <v>86</v>
      </c>
      <c r="AF475" s="176" cm="1">
        <f t="array" ref="AF475">IF(OR(AE475="/",AE475=""),"/",IF(ISNUMBER(SEARCH("普通",AE475)),0,IF(ISNUMBER(SEARCH("专用",AE475)),4,IF(ISNUMBER(SEARCH("定制",AE475)),7,IF(ISNUMBER(SEARCH("多个定制",AE475)),9,””)))))</f>
        <v>4</v>
      </c>
      <c r="AG475" s="176">
        <f t="shared" si="343"/>
        <v>17</v>
      </c>
      <c r="AH475" s="176" t="str">
        <f t="shared" si="344"/>
        <v>中Medium</v>
      </c>
      <c r="AI475" s="176" t="s">
        <v>87</v>
      </c>
      <c r="AJ475" s="176" t="str">
        <f t="shared" si="330"/>
        <v>降低
Reucing</v>
      </c>
      <c r="AK475" s="171" t="s">
        <v>1342</v>
      </c>
      <c r="AL475" s="177" t="s">
        <v>1343</v>
      </c>
      <c r="AM475" s="180" t="s">
        <v>1344</v>
      </c>
      <c r="AN475" s="178" t="s">
        <v>1243</v>
      </c>
      <c r="AO475" s="178" t="s">
        <v>1244</v>
      </c>
    </row>
    <row r="476" s="116" customFormat="1" ht="17" customHeight="1" spans="1:41">
      <c r="A476" s="171">
        <v>473</v>
      </c>
      <c r="B476" s="179"/>
      <c r="C476" s="179"/>
      <c r="D476" s="179"/>
      <c r="E476" s="171"/>
      <c r="F476" s="171"/>
      <c r="G476" s="171" t="s">
        <v>73</v>
      </c>
      <c r="H476" s="171"/>
      <c r="I476" s="171"/>
      <c r="J476" s="171"/>
      <c r="K476" s="173" t="s">
        <v>1345</v>
      </c>
      <c r="L476" s="173" t="s">
        <v>1409</v>
      </c>
      <c r="M476" s="173" t="s">
        <v>150</v>
      </c>
      <c r="N476" s="174" t="s">
        <v>77</v>
      </c>
      <c r="O476" s="174" t="s">
        <v>77</v>
      </c>
      <c r="P476" s="174" t="s">
        <v>78</v>
      </c>
      <c r="Q476" s="174" t="s">
        <v>77</v>
      </c>
      <c r="R476" s="174" t="str">
        <f t="shared" si="338"/>
        <v>主要Major</v>
      </c>
      <c r="S476" s="175" t="s">
        <v>78</v>
      </c>
      <c r="T476" s="175" t="s">
        <v>1347</v>
      </c>
      <c r="U476" s="175" t="s">
        <v>1248</v>
      </c>
      <c r="V476" s="171" t="s">
        <v>1404</v>
      </c>
      <c r="W476" s="171" t="s">
        <v>82</v>
      </c>
      <c r="X476" s="176">
        <f t="shared" si="339"/>
        <v>0</v>
      </c>
      <c r="Y476" s="171" t="s">
        <v>83</v>
      </c>
      <c r="Z476" s="176">
        <f t="shared" si="340"/>
        <v>6</v>
      </c>
      <c r="AA476" s="171" t="s">
        <v>84</v>
      </c>
      <c r="AB476" s="176">
        <f t="shared" si="341"/>
        <v>3</v>
      </c>
      <c r="AC476" s="171" t="s">
        <v>85</v>
      </c>
      <c r="AD476" s="176">
        <f t="shared" si="342"/>
        <v>4</v>
      </c>
      <c r="AE476" s="171" t="s">
        <v>86</v>
      </c>
      <c r="AF476" s="176" cm="1">
        <f t="array" ref="AF476">IF(OR(AE476="/",AE476=""),"/",IF(ISNUMBER(SEARCH("普通",AE476)),0,IF(ISNUMBER(SEARCH("专用",AE476)),4,IF(ISNUMBER(SEARCH("定制",AE476)),7,IF(ISNUMBER(SEARCH("多个定制",AE476)),9,””)))))</f>
        <v>4</v>
      </c>
      <c r="AG476" s="176">
        <f t="shared" si="343"/>
        <v>17</v>
      </c>
      <c r="AH476" s="176" t="str">
        <f t="shared" si="344"/>
        <v>中Medium</v>
      </c>
      <c r="AI476" s="176" t="s">
        <v>87</v>
      </c>
      <c r="AJ476" s="176" t="str">
        <f t="shared" si="330"/>
        <v>降低
Reucing</v>
      </c>
      <c r="AK476" s="171" t="s">
        <v>1348</v>
      </c>
      <c r="AL476" s="177" t="s">
        <v>1349</v>
      </c>
      <c r="AM476" s="180" t="s">
        <v>1350</v>
      </c>
      <c r="AN476" s="178" t="s">
        <v>1249</v>
      </c>
      <c r="AO476" s="178" t="s">
        <v>1250</v>
      </c>
    </row>
    <row r="477" s="116" customFormat="1" ht="17" customHeight="1" spans="1:41">
      <c r="A477" s="171">
        <v>474</v>
      </c>
      <c r="B477" s="179"/>
      <c r="C477" s="179"/>
      <c r="D477" s="179"/>
      <c r="E477" s="171"/>
      <c r="F477" s="171"/>
      <c r="G477" s="171"/>
      <c r="H477" s="171" t="s">
        <v>73</v>
      </c>
      <c r="I477" s="171"/>
      <c r="J477" s="171"/>
      <c r="K477" s="173" t="s">
        <v>1351</v>
      </c>
      <c r="L477" s="173" t="s">
        <v>1410</v>
      </c>
      <c r="M477" s="173" t="s">
        <v>589</v>
      </c>
      <c r="N477" s="174" t="s">
        <v>77</v>
      </c>
      <c r="O477" s="174" t="s">
        <v>77</v>
      </c>
      <c r="P477" s="174" t="s">
        <v>78</v>
      </c>
      <c r="Q477" s="174" t="s">
        <v>77</v>
      </c>
      <c r="R477" s="174" t="str">
        <f t="shared" si="338"/>
        <v>主要Major</v>
      </c>
      <c r="S477" s="175" t="s">
        <v>78</v>
      </c>
      <c r="T477" s="175" t="s">
        <v>1353</v>
      </c>
      <c r="U477" s="175" t="s">
        <v>591</v>
      </c>
      <c r="V477" s="171" t="s">
        <v>1404</v>
      </c>
      <c r="W477" s="171" t="s">
        <v>82</v>
      </c>
      <c r="X477" s="176">
        <f t="shared" si="339"/>
        <v>0</v>
      </c>
      <c r="Y477" s="171" t="s">
        <v>83</v>
      </c>
      <c r="Z477" s="176">
        <f t="shared" si="340"/>
        <v>6</v>
      </c>
      <c r="AA477" s="171" t="s">
        <v>153</v>
      </c>
      <c r="AB477" s="176">
        <f t="shared" si="341"/>
        <v>0</v>
      </c>
      <c r="AC477" s="171" t="s">
        <v>558</v>
      </c>
      <c r="AD477" s="176">
        <f t="shared" si="342"/>
        <v>10</v>
      </c>
      <c r="AE477" s="171" t="s">
        <v>86</v>
      </c>
      <c r="AF477" s="176" cm="1">
        <f t="array" ref="AF477">IF(OR(AE477="/",AE477=""),"/",IF(ISNUMBER(SEARCH("普通",AE477)),0,IF(ISNUMBER(SEARCH("专用",AE477)),4,IF(ISNUMBER(SEARCH("定制",AE477)),7,IF(ISNUMBER(SEARCH("多个定制",AE477)),9,””)))))</f>
        <v>4</v>
      </c>
      <c r="AG477" s="176">
        <f t="shared" si="343"/>
        <v>20</v>
      </c>
      <c r="AH477" s="176" t="str">
        <f t="shared" si="344"/>
        <v>低Low</v>
      </c>
      <c r="AI477" s="176" t="s">
        <v>87</v>
      </c>
      <c r="AJ477" s="176" t="str">
        <f t="shared" si="330"/>
        <v>降低
Reucing</v>
      </c>
      <c r="AK477" s="171" t="s">
        <v>1354</v>
      </c>
      <c r="AL477" s="177" t="s">
        <v>1355</v>
      </c>
      <c r="AM477" s="180" t="s">
        <v>101</v>
      </c>
      <c r="AN477" s="178" t="s">
        <v>592</v>
      </c>
      <c r="AO477" s="178" t="s">
        <v>593</v>
      </c>
    </row>
    <row r="478" s="116" customFormat="1" ht="17" customHeight="1" spans="1:41">
      <c r="A478" s="171">
        <v>475</v>
      </c>
      <c r="B478" s="179"/>
      <c r="C478" s="179"/>
      <c r="D478" s="179"/>
      <c r="E478" s="171"/>
      <c r="F478" s="171"/>
      <c r="G478" s="171"/>
      <c r="H478" s="171"/>
      <c r="I478" s="171" t="s">
        <v>183</v>
      </c>
      <c r="J478" s="171"/>
      <c r="K478" s="173" t="s">
        <v>145</v>
      </c>
      <c r="L478" s="173" t="s">
        <v>145</v>
      </c>
      <c r="M478" s="173" t="s">
        <v>145</v>
      </c>
      <c r="N478" s="174" t="s">
        <v>145</v>
      </c>
      <c r="O478" s="174" t="s">
        <v>145</v>
      </c>
      <c r="P478" s="174" t="s">
        <v>145</v>
      </c>
      <c r="Q478" s="174" t="s">
        <v>145</v>
      </c>
      <c r="R478" s="174" t="s">
        <v>145</v>
      </c>
      <c r="S478" s="175" t="s">
        <v>145</v>
      </c>
      <c r="T478" s="175" t="s">
        <v>145</v>
      </c>
      <c r="U478" s="175" t="s">
        <v>145</v>
      </c>
      <c r="V478" s="171" t="s">
        <v>145</v>
      </c>
      <c r="W478" s="171" t="s">
        <v>145</v>
      </c>
      <c r="X478" s="176" t="s">
        <v>145</v>
      </c>
      <c r="Y478" s="171" t="s">
        <v>145</v>
      </c>
      <c r="Z478" s="176" t="s">
        <v>145</v>
      </c>
      <c r="AA478" s="171" t="s">
        <v>145</v>
      </c>
      <c r="AB478" s="176" t="s">
        <v>145</v>
      </c>
      <c r="AC478" s="171" t="s">
        <v>145</v>
      </c>
      <c r="AD478" s="176" t="s">
        <v>145</v>
      </c>
      <c r="AE478" s="171" t="s">
        <v>145</v>
      </c>
      <c r="AF478" s="176" t="str" cm="1">
        <f t="array" ref="AF478">IF(OR(AE478="/",AE478=""),"/",IF(ISNUMBER(SEARCH("普通",AE478)),0,IF(ISNUMBER(SEARCH("专用",AE478)),4,IF(ISNUMBER(SEARCH("定制",AE478)),7,IF(ISNUMBER(SEARCH("多个定制",AE478)),9,””)))))</f>
        <v>/</v>
      </c>
      <c r="AG478" s="176" t="s">
        <v>145</v>
      </c>
      <c r="AH478" s="176" t="s">
        <v>145</v>
      </c>
      <c r="AI478" s="176" t="s">
        <v>145</v>
      </c>
      <c r="AJ478" s="176" t="str">
        <f t="shared" si="330"/>
        <v>/</v>
      </c>
      <c r="AK478" s="171" t="s">
        <v>145</v>
      </c>
      <c r="AL478" s="177" t="s">
        <v>145</v>
      </c>
      <c r="AM478" s="177" t="s">
        <v>145</v>
      </c>
      <c r="AN478" s="177" t="s">
        <v>145</v>
      </c>
      <c r="AO478" s="177" t="s">
        <v>145</v>
      </c>
    </row>
    <row r="479" s="116" customFormat="1" ht="17" customHeight="1" spans="1:41">
      <c r="A479" s="171">
        <v>476</v>
      </c>
      <c r="B479" s="181"/>
      <c r="C479" s="181"/>
      <c r="D479" s="181"/>
      <c r="E479" s="171"/>
      <c r="F479" s="171"/>
      <c r="G479" s="171"/>
      <c r="H479" s="171"/>
      <c r="I479" s="171"/>
      <c r="J479" s="171" t="s">
        <v>183</v>
      </c>
      <c r="K479" s="173" t="s">
        <v>145</v>
      </c>
      <c r="L479" s="173" t="s">
        <v>145</v>
      </c>
      <c r="M479" s="173" t="s">
        <v>145</v>
      </c>
      <c r="N479" s="174" t="s">
        <v>145</v>
      </c>
      <c r="O479" s="174" t="s">
        <v>145</v>
      </c>
      <c r="P479" s="174" t="s">
        <v>145</v>
      </c>
      <c r="Q479" s="174" t="s">
        <v>145</v>
      </c>
      <c r="R479" s="174" t="s">
        <v>145</v>
      </c>
      <c r="S479" s="175" t="s">
        <v>145</v>
      </c>
      <c r="T479" s="175" t="s">
        <v>145</v>
      </c>
      <c r="U479" s="175" t="s">
        <v>145</v>
      </c>
      <c r="V479" s="171" t="s">
        <v>145</v>
      </c>
      <c r="W479" s="171" t="s">
        <v>145</v>
      </c>
      <c r="X479" s="176" t="s">
        <v>145</v>
      </c>
      <c r="Y479" s="171" t="s">
        <v>145</v>
      </c>
      <c r="Z479" s="176" t="s">
        <v>145</v>
      </c>
      <c r="AA479" s="171" t="s">
        <v>145</v>
      </c>
      <c r="AB479" s="176" t="s">
        <v>145</v>
      </c>
      <c r="AC479" s="171" t="s">
        <v>145</v>
      </c>
      <c r="AD479" s="176" t="s">
        <v>145</v>
      </c>
      <c r="AE479" s="171" t="s">
        <v>145</v>
      </c>
      <c r="AF479" s="176" t="str" cm="1">
        <f t="array" ref="AF479">IF(OR(AE479="/",AE479=""),"/",IF(ISNUMBER(SEARCH("普通",AE479)),0,IF(ISNUMBER(SEARCH("专用",AE479)),4,IF(ISNUMBER(SEARCH("定制",AE479)),7,IF(ISNUMBER(SEARCH("多个定制",AE479)),9,””)))))</f>
        <v>/</v>
      </c>
      <c r="AG479" s="176" t="s">
        <v>145</v>
      </c>
      <c r="AH479" s="176" t="s">
        <v>145</v>
      </c>
      <c r="AI479" s="176" t="s">
        <v>145</v>
      </c>
      <c r="AJ479" s="176" t="str">
        <f t="shared" si="330"/>
        <v>/</v>
      </c>
      <c r="AK479" s="171" t="s">
        <v>145</v>
      </c>
      <c r="AL479" s="177" t="s">
        <v>145</v>
      </c>
      <c r="AM479" s="177" t="s">
        <v>145</v>
      </c>
      <c r="AN479" s="177" t="s">
        <v>145</v>
      </c>
      <c r="AO479" s="177" t="s">
        <v>145</v>
      </c>
    </row>
    <row r="480" s="116" customFormat="1" ht="17" customHeight="1" spans="1:41">
      <c r="A480" s="171">
        <v>477</v>
      </c>
      <c r="B480" s="172" t="s">
        <v>1411</v>
      </c>
      <c r="C480" s="171" t="s">
        <v>1221</v>
      </c>
      <c r="D480" s="173" t="s">
        <v>1412</v>
      </c>
      <c r="E480" s="171" t="s">
        <v>73</v>
      </c>
      <c r="F480" s="171"/>
      <c r="G480" s="171"/>
      <c r="H480" s="171"/>
      <c r="I480" s="171"/>
      <c r="J480" s="171"/>
      <c r="K480" s="173" t="s">
        <v>1413</v>
      </c>
      <c r="L480" s="173" t="s">
        <v>1414</v>
      </c>
      <c r="M480" s="173" t="s">
        <v>95</v>
      </c>
      <c r="N480" s="174" t="s">
        <v>77</v>
      </c>
      <c r="O480" s="174" t="s">
        <v>77</v>
      </c>
      <c r="P480" s="174" t="s">
        <v>78</v>
      </c>
      <c r="Q480" s="174" t="s">
        <v>77</v>
      </c>
      <c r="R480" s="174" t="str">
        <f t="shared" ref="R480:R485" si="345">IF(OR(N480="严重Severe",O480="严重Severe",P480="严重Severe",Q480="严重Severe"),"严重Severe",IF(OR(N480="主要Major",O480="主要Major",P480="主要Major",Q480="主要Major"),"主要Major",IF(OR(N480="中等Medium",O480="中等Medium",P480="中等Medium",Q480="中等Medium"),"中等Medium",IF(OR(N480="可忽略不计Negligible",O480="可忽略不计Negligible",P480="可忽略不计Negligible",Q480="可忽略不计Negligible"),"可忽略不计Negligible","/"))))</f>
        <v>主要Major</v>
      </c>
      <c r="S480" s="175" t="s">
        <v>78</v>
      </c>
      <c r="T480" s="175" t="s">
        <v>1415</v>
      </c>
      <c r="U480" s="175" t="s">
        <v>1416</v>
      </c>
      <c r="V480" s="171" t="s">
        <v>1417</v>
      </c>
      <c r="W480" s="171" t="s">
        <v>82</v>
      </c>
      <c r="X480" s="176">
        <f t="shared" ref="X480:X485" si="346">IF(OR(W480="/",W480=""),"/",IF(ISNUMBER(SEARCH("1天",W480)),0,IF(ISNUMBER(SEARCH("一周",W480)),1,IF(ISNUMBER(SEARCH("1个月",W480)),4,IF(ISNUMBER(SEARCH("超过",W480)),19,IF(ISNUMBER(SEARCH("6个月",W480)),17,""))))))</f>
        <v>0</v>
      </c>
      <c r="Y480" s="171" t="s">
        <v>177</v>
      </c>
      <c r="Z480" s="176">
        <f t="shared" ref="Z480:Z485" si="347">IF(OR(Y480="/",Y480=""),"/",IF(ISNUMBER(SEARCH("新手",Y480)),0,IF(ISNUMBER(SEARCH("熟练",Y480)),3,IF(ISNUMBER(SEARCH("多位",Y480)),17,IF(ISNUMBER(SEARCH("专家",Y480)),6,"")))))</f>
        <v>3</v>
      </c>
      <c r="AA480" s="171" t="s">
        <v>84</v>
      </c>
      <c r="AB480" s="176">
        <f t="shared" ref="AB480:AB485" si="348">IF(OR(AA480="/",AA480=""),"/",IF(ISNUMBER(SEARCH("公开",AA480)),0,IF(ISNUMBER(SEARCH("限制性信息",AA480)),3,IF(ISNUMBER(SEARCH("机密信息",AA480)),7,IF(ISNUMBER(SEARCH("严格保密",AA480)),11,"")))))</f>
        <v>3</v>
      </c>
      <c r="AC480" s="171" t="s">
        <v>85</v>
      </c>
      <c r="AD480" s="176">
        <f t="shared" ref="AD480:AD485" si="349">IF(OR(AC480="/",AC480=""),"/",IF(ISNUMBER(SEARCH("无限制",AC480)),0,IF(ISNUMBER(SEARCH("容易",AC480)),1,IF(ISNUMBER(SEARCH("一般",AC480)),4,IF(ISNUMBER(SEARCH("困难",AC480)),10,"")))))</f>
        <v>4</v>
      </c>
      <c r="AE480" s="171" t="s">
        <v>86</v>
      </c>
      <c r="AF480" s="176" cm="1">
        <f t="array" ref="AF480">IF(OR(AE480="/",AE480=""),"/",IF(ISNUMBER(SEARCH("普通",AE480)),0,IF(ISNUMBER(SEARCH("专用",AE480)),4,IF(ISNUMBER(SEARCH("定制",AE480)),7,IF(ISNUMBER(SEARCH("多个定制",AE480)),9,””)))))</f>
        <v>4</v>
      </c>
      <c r="AG480" s="176">
        <f t="shared" ref="AG480:AG485" si="350">IF(OR(X480="/",Z480="/",AB480="/",AD480="/",AF480="/"),"/",X480+Z480+AB480+AD480+AF480)</f>
        <v>14</v>
      </c>
      <c r="AH480" s="176" t="str">
        <f t="shared" ref="AH480:AH485" si="351">IF(AND(AG480&gt;=0,AG480&lt;14),"高High",IF(AND(AG480&gt;=14,AG480&lt;20),"中Medium",IF(AND(AG480&gt;=20,AG480&lt;25),"低Low",IF(AND(AG480&gt;=25,AG480&lt;57),"非常低Very low",""))))</f>
        <v>中Medium</v>
      </c>
      <c r="AI480" s="176" t="s">
        <v>112</v>
      </c>
      <c r="AJ480" s="176" t="str">
        <f t="shared" si="330"/>
        <v>消除
Avoiding</v>
      </c>
      <c r="AK480" s="171" t="s">
        <v>1418</v>
      </c>
      <c r="AL480" s="177" t="s">
        <v>100</v>
      </c>
      <c r="AM480" s="180" t="s">
        <v>101</v>
      </c>
      <c r="AN480" s="178" t="s">
        <v>102</v>
      </c>
      <c r="AO480" s="178" t="s">
        <v>103</v>
      </c>
    </row>
    <row r="481" s="116" customFormat="1" ht="17" customHeight="1" spans="1:41">
      <c r="A481" s="171">
        <v>478</v>
      </c>
      <c r="B481" s="179"/>
      <c r="C481" s="179"/>
      <c r="D481" s="179"/>
      <c r="E481" s="171" t="s">
        <v>73</v>
      </c>
      <c r="F481" s="171"/>
      <c r="G481" s="171"/>
      <c r="H481" s="171"/>
      <c r="I481" s="171"/>
      <c r="J481" s="171"/>
      <c r="K481" s="173" t="s">
        <v>1419</v>
      </c>
      <c r="L481" s="173" t="s">
        <v>1420</v>
      </c>
      <c r="M481" s="173" t="s">
        <v>1230</v>
      </c>
      <c r="N481" s="174" t="s">
        <v>77</v>
      </c>
      <c r="O481" s="174" t="s">
        <v>77</v>
      </c>
      <c r="P481" s="174" t="s">
        <v>96</v>
      </c>
      <c r="Q481" s="174" t="s">
        <v>78</v>
      </c>
      <c r="R481" s="174" t="str">
        <f t="shared" si="345"/>
        <v>主要Major</v>
      </c>
      <c r="S481" s="175" t="s">
        <v>107</v>
      </c>
      <c r="T481" s="175" t="s">
        <v>1421</v>
      </c>
      <c r="U481" s="175" t="s">
        <v>1422</v>
      </c>
      <c r="V481" s="171" t="s">
        <v>1417</v>
      </c>
      <c r="W481" s="171" t="s">
        <v>82</v>
      </c>
      <c r="X481" s="176">
        <f t="shared" si="346"/>
        <v>0</v>
      </c>
      <c r="Y481" s="171" t="s">
        <v>177</v>
      </c>
      <c r="Z481" s="176">
        <f t="shared" si="347"/>
        <v>3</v>
      </c>
      <c r="AA481" s="171" t="s">
        <v>84</v>
      </c>
      <c r="AB481" s="176">
        <f t="shared" si="348"/>
        <v>3</v>
      </c>
      <c r="AC481" s="171" t="s">
        <v>85</v>
      </c>
      <c r="AD481" s="176">
        <f t="shared" si="349"/>
        <v>4</v>
      </c>
      <c r="AE481" s="171" t="s">
        <v>86</v>
      </c>
      <c r="AF481" s="176" cm="1">
        <f t="array" ref="AF481">IF(OR(AE481="/",AE481=""),"/",IF(ISNUMBER(SEARCH("普通",AE481)),0,IF(ISNUMBER(SEARCH("专用",AE481)),4,IF(ISNUMBER(SEARCH("定制",AE481)),7,IF(ISNUMBER(SEARCH("多个定制",AE481)),9,””)))))</f>
        <v>4</v>
      </c>
      <c r="AG481" s="176">
        <f t="shared" si="350"/>
        <v>14</v>
      </c>
      <c r="AH481" s="176" t="str">
        <f t="shared" si="351"/>
        <v>中Medium</v>
      </c>
      <c r="AI481" s="176" t="s">
        <v>87</v>
      </c>
      <c r="AJ481" s="176" t="str">
        <f t="shared" si="330"/>
        <v>降低
Reucing</v>
      </c>
      <c r="AK481" s="171" t="s">
        <v>1423</v>
      </c>
      <c r="AL481" s="177" t="s">
        <v>1334</v>
      </c>
      <c r="AM481" s="180" t="s">
        <v>1335</v>
      </c>
      <c r="AN481" s="178" t="s">
        <v>1233</v>
      </c>
      <c r="AO481" s="178" t="s">
        <v>1234</v>
      </c>
    </row>
    <row r="482" s="116" customFormat="1" ht="17" customHeight="1" spans="1:41">
      <c r="A482" s="171">
        <v>479</v>
      </c>
      <c r="B482" s="179"/>
      <c r="C482" s="179"/>
      <c r="D482" s="179"/>
      <c r="E482" s="171"/>
      <c r="F482" s="171" t="s">
        <v>73</v>
      </c>
      <c r="G482" s="171"/>
      <c r="H482" s="171"/>
      <c r="I482" s="171"/>
      <c r="J482" s="171"/>
      <c r="K482" s="173" t="s">
        <v>1424</v>
      </c>
      <c r="L482" s="173" t="s">
        <v>1425</v>
      </c>
      <c r="M482" s="173" t="s">
        <v>553</v>
      </c>
      <c r="N482" s="174" t="s">
        <v>77</v>
      </c>
      <c r="O482" s="174" t="s">
        <v>77</v>
      </c>
      <c r="P482" s="174" t="s">
        <v>96</v>
      </c>
      <c r="Q482" s="174" t="s">
        <v>77</v>
      </c>
      <c r="R482" s="174" t="str">
        <f t="shared" si="345"/>
        <v>中等Medium</v>
      </c>
      <c r="S482" s="175" t="s">
        <v>96</v>
      </c>
      <c r="T482" s="175" t="s">
        <v>1426</v>
      </c>
      <c r="U482" s="175" t="s">
        <v>555</v>
      </c>
      <c r="V482" s="171" t="s">
        <v>1417</v>
      </c>
      <c r="W482" s="171" t="s">
        <v>111</v>
      </c>
      <c r="X482" s="176">
        <f t="shared" si="346"/>
        <v>1</v>
      </c>
      <c r="Y482" s="171" t="s">
        <v>83</v>
      </c>
      <c r="Z482" s="176">
        <f t="shared" si="347"/>
        <v>6</v>
      </c>
      <c r="AA482" s="171" t="s">
        <v>153</v>
      </c>
      <c r="AB482" s="176">
        <f t="shared" si="348"/>
        <v>0</v>
      </c>
      <c r="AC482" s="171" t="s">
        <v>558</v>
      </c>
      <c r="AD482" s="176">
        <f t="shared" si="349"/>
        <v>10</v>
      </c>
      <c r="AE482" s="171" t="s">
        <v>86</v>
      </c>
      <c r="AF482" s="176" cm="1">
        <f t="array" ref="AF482">IF(OR(AE482="/",AE482=""),"/",IF(ISNUMBER(SEARCH("普通",AE482)),0,IF(ISNUMBER(SEARCH("专用",AE482)),4,IF(ISNUMBER(SEARCH("定制",AE482)),7,IF(ISNUMBER(SEARCH("多个定制",AE482)),9,””)))))</f>
        <v>4</v>
      </c>
      <c r="AG482" s="176">
        <f t="shared" si="350"/>
        <v>21</v>
      </c>
      <c r="AH482" s="176" t="str">
        <f t="shared" si="351"/>
        <v>低Low</v>
      </c>
      <c r="AI482" s="176" t="s">
        <v>144</v>
      </c>
      <c r="AJ482" s="176" t="str">
        <f t="shared" si="330"/>
        <v>保留
Retaining</v>
      </c>
      <c r="AK482" s="171" t="s">
        <v>145</v>
      </c>
      <c r="AL482" s="177" t="s">
        <v>145</v>
      </c>
      <c r="AM482" s="171" t="s">
        <v>145</v>
      </c>
      <c r="AN482" s="178" t="s">
        <v>270</v>
      </c>
      <c r="AO482" s="178" t="s">
        <v>271</v>
      </c>
    </row>
    <row r="483" s="116" customFormat="1" ht="17" customHeight="1" spans="1:41">
      <c r="A483" s="171">
        <v>480</v>
      </c>
      <c r="B483" s="179"/>
      <c r="C483" s="179"/>
      <c r="D483" s="179"/>
      <c r="E483" s="171"/>
      <c r="F483" s="171"/>
      <c r="G483" s="171" t="s">
        <v>73</v>
      </c>
      <c r="H483" s="171"/>
      <c r="I483" s="171"/>
      <c r="J483" s="171"/>
      <c r="K483" s="173" t="s">
        <v>1427</v>
      </c>
      <c r="L483" s="173" t="s">
        <v>1428</v>
      </c>
      <c r="M483" s="173" t="s">
        <v>1240</v>
      </c>
      <c r="N483" s="174" t="s">
        <v>77</v>
      </c>
      <c r="O483" s="174" t="s">
        <v>77</v>
      </c>
      <c r="P483" s="174" t="s">
        <v>78</v>
      </c>
      <c r="Q483" s="174" t="s">
        <v>77</v>
      </c>
      <c r="R483" s="174" t="str">
        <f t="shared" si="345"/>
        <v>主要Major</v>
      </c>
      <c r="S483" s="175" t="s">
        <v>78</v>
      </c>
      <c r="T483" s="175" t="s">
        <v>1429</v>
      </c>
      <c r="U483" s="175" t="s">
        <v>1242</v>
      </c>
      <c r="V483" s="171" t="s">
        <v>1417</v>
      </c>
      <c r="W483" s="171" t="s">
        <v>82</v>
      </c>
      <c r="X483" s="176">
        <f t="shared" si="346"/>
        <v>0</v>
      </c>
      <c r="Y483" s="171" t="s">
        <v>83</v>
      </c>
      <c r="Z483" s="176">
        <f t="shared" si="347"/>
        <v>6</v>
      </c>
      <c r="AA483" s="171" t="s">
        <v>84</v>
      </c>
      <c r="AB483" s="176">
        <f t="shared" si="348"/>
        <v>3</v>
      </c>
      <c r="AC483" s="171" t="s">
        <v>85</v>
      </c>
      <c r="AD483" s="176">
        <f t="shared" si="349"/>
        <v>4</v>
      </c>
      <c r="AE483" s="171" t="s">
        <v>86</v>
      </c>
      <c r="AF483" s="176" cm="1">
        <f t="array" ref="AF483">IF(OR(AE483="/",AE483=""),"/",IF(ISNUMBER(SEARCH("普通",AE483)),0,IF(ISNUMBER(SEARCH("专用",AE483)),4,IF(ISNUMBER(SEARCH("定制",AE483)),7,IF(ISNUMBER(SEARCH("多个定制",AE483)),9,””)))))</f>
        <v>4</v>
      </c>
      <c r="AG483" s="176">
        <f t="shared" si="350"/>
        <v>17</v>
      </c>
      <c r="AH483" s="176" t="str">
        <f t="shared" si="351"/>
        <v>中Medium</v>
      </c>
      <c r="AI483" s="176" t="s">
        <v>87</v>
      </c>
      <c r="AJ483" s="176" t="str">
        <f t="shared" si="330"/>
        <v>降低
Reucing</v>
      </c>
      <c r="AK483" s="171" t="s">
        <v>1430</v>
      </c>
      <c r="AL483" s="177" t="s">
        <v>1343</v>
      </c>
      <c r="AM483" s="180" t="s">
        <v>1344</v>
      </c>
      <c r="AN483" s="178" t="s">
        <v>1243</v>
      </c>
      <c r="AO483" s="178" t="s">
        <v>1244</v>
      </c>
    </row>
    <row r="484" s="116" customFormat="1" ht="17" customHeight="1" spans="1:41">
      <c r="A484" s="171">
        <v>481</v>
      </c>
      <c r="B484" s="179"/>
      <c r="C484" s="179"/>
      <c r="D484" s="179"/>
      <c r="E484" s="171"/>
      <c r="F484" s="171"/>
      <c r="G484" s="171" t="s">
        <v>73</v>
      </c>
      <c r="H484" s="171"/>
      <c r="I484" s="171"/>
      <c r="J484" s="171"/>
      <c r="K484" s="173" t="s">
        <v>1431</v>
      </c>
      <c r="L484" s="173" t="s">
        <v>1432</v>
      </c>
      <c r="M484" s="173" t="s">
        <v>150</v>
      </c>
      <c r="N484" s="174" t="s">
        <v>77</v>
      </c>
      <c r="O484" s="174" t="s">
        <v>77</v>
      </c>
      <c r="P484" s="174" t="s">
        <v>96</v>
      </c>
      <c r="Q484" s="174" t="s">
        <v>77</v>
      </c>
      <c r="R484" s="174" t="str">
        <f t="shared" si="345"/>
        <v>中等Medium</v>
      </c>
      <c r="S484" s="175" t="s">
        <v>96</v>
      </c>
      <c r="T484" s="175" t="s">
        <v>1433</v>
      </c>
      <c r="U484" s="175" t="s">
        <v>1248</v>
      </c>
      <c r="V484" s="171" t="s">
        <v>1417</v>
      </c>
      <c r="W484" s="171" t="s">
        <v>82</v>
      </c>
      <c r="X484" s="176">
        <f t="shared" si="346"/>
        <v>0</v>
      </c>
      <c r="Y484" s="171" t="s">
        <v>83</v>
      </c>
      <c r="Z484" s="176">
        <f t="shared" si="347"/>
        <v>6</v>
      </c>
      <c r="AA484" s="171" t="s">
        <v>84</v>
      </c>
      <c r="AB484" s="176">
        <f t="shared" si="348"/>
        <v>3</v>
      </c>
      <c r="AC484" s="171" t="s">
        <v>85</v>
      </c>
      <c r="AD484" s="176">
        <f t="shared" si="349"/>
        <v>4</v>
      </c>
      <c r="AE484" s="171" t="s">
        <v>86</v>
      </c>
      <c r="AF484" s="176" cm="1">
        <f t="array" ref="AF484">IF(OR(AE484="/",AE484=""),"/",IF(ISNUMBER(SEARCH("普通",AE484)),0,IF(ISNUMBER(SEARCH("专用",AE484)),4,IF(ISNUMBER(SEARCH("定制",AE484)),7,IF(ISNUMBER(SEARCH("多个定制",AE484)),9,””)))))</f>
        <v>4</v>
      </c>
      <c r="AG484" s="176">
        <f t="shared" si="350"/>
        <v>17</v>
      </c>
      <c r="AH484" s="176" t="str">
        <f t="shared" si="351"/>
        <v>中Medium</v>
      </c>
      <c r="AI484" s="176" t="s">
        <v>144</v>
      </c>
      <c r="AJ484" s="176" t="str">
        <f t="shared" si="330"/>
        <v>保留
Retaining</v>
      </c>
      <c r="AK484" s="171" t="s">
        <v>145</v>
      </c>
      <c r="AL484" s="177" t="s">
        <v>145</v>
      </c>
      <c r="AM484" s="171" t="s">
        <v>145</v>
      </c>
      <c r="AN484" s="178" t="s">
        <v>1249</v>
      </c>
      <c r="AO484" s="178" t="s">
        <v>1250</v>
      </c>
    </row>
    <row r="485" s="116" customFormat="1" ht="17" customHeight="1" spans="1:41">
      <c r="A485" s="171">
        <v>482</v>
      </c>
      <c r="B485" s="179"/>
      <c r="C485" s="179"/>
      <c r="D485" s="179"/>
      <c r="E485" s="171"/>
      <c r="F485" s="171"/>
      <c r="G485" s="171"/>
      <c r="H485" s="171" t="s">
        <v>73</v>
      </c>
      <c r="I485" s="171"/>
      <c r="J485" s="171"/>
      <c r="K485" s="173" t="s">
        <v>1434</v>
      </c>
      <c r="L485" s="173" t="s">
        <v>1435</v>
      </c>
      <c r="M485" s="173" t="s">
        <v>589</v>
      </c>
      <c r="N485" s="174" t="s">
        <v>77</v>
      </c>
      <c r="O485" s="174" t="s">
        <v>77</v>
      </c>
      <c r="P485" s="174" t="s">
        <v>78</v>
      </c>
      <c r="Q485" s="174" t="s">
        <v>77</v>
      </c>
      <c r="R485" s="174" t="str">
        <f t="shared" si="345"/>
        <v>主要Major</v>
      </c>
      <c r="S485" s="175" t="s">
        <v>78</v>
      </c>
      <c r="T485" s="175" t="s">
        <v>1436</v>
      </c>
      <c r="U485" s="175" t="s">
        <v>591</v>
      </c>
      <c r="V485" s="171" t="s">
        <v>1417</v>
      </c>
      <c r="W485" s="171" t="s">
        <v>82</v>
      </c>
      <c r="X485" s="176">
        <f t="shared" si="346"/>
        <v>0</v>
      </c>
      <c r="Y485" s="171" t="s">
        <v>83</v>
      </c>
      <c r="Z485" s="176">
        <f t="shared" si="347"/>
        <v>6</v>
      </c>
      <c r="AA485" s="171" t="s">
        <v>153</v>
      </c>
      <c r="AB485" s="176">
        <f t="shared" si="348"/>
        <v>0</v>
      </c>
      <c r="AC485" s="171" t="s">
        <v>558</v>
      </c>
      <c r="AD485" s="176">
        <f t="shared" si="349"/>
        <v>10</v>
      </c>
      <c r="AE485" s="171" t="s">
        <v>86</v>
      </c>
      <c r="AF485" s="176" cm="1">
        <f t="array" ref="AF485">IF(OR(AE485="/",AE485=""),"/",IF(ISNUMBER(SEARCH("普通",AE485)),0,IF(ISNUMBER(SEARCH("专用",AE485)),4,IF(ISNUMBER(SEARCH("定制",AE485)),7,IF(ISNUMBER(SEARCH("多个定制",AE485)),9,””)))))</f>
        <v>4</v>
      </c>
      <c r="AG485" s="176">
        <f t="shared" si="350"/>
        <v>20</v>
      </c>
      <c r="AH485" s="176" t="str">
        <f t="shared" si="351"/>
        <v>低Low</v>
      </c>
      <c r="AI485" s="176" t="s">
        <v>87</v>
      </c>
      <c r="AJ485" s="176" t="str">
        <f t="shared" si="330"/>
        <v>降低
Reucing</v>
      </c>
      <c r="AK485" s="171" t="s">
        <v>1437</v>
      </c>
      <c r="AL485" s="177" t="s">
        <v>1355</v>
      </c>
      <c r="AM485" s="180" t="s">
        <v>101</v>
      </c>
      <c r="AN485" s="178" t="s">
        <v>592</v>
      </c>
      <c r="AO485" s="178" t="s">
        <v>593</v>
      </c>
    </row>
    <row r="486" s="116" customFormat="1" ht="17" customHeight="1" spans="1:41">
      <c r="A486" s="171">
        <v>483</v>
      </c>
      <c r="B486" s="179"/>
      <c r="C486" s="179"/>
      <c r="D486" s="179"/>
      <c r="E486" s="171"/>
      <c r="F486" s="171"/>
      <c r="G486" s="171"/>
      <c r="H486" s="171"/>
      <c r="I486" s="171" t="s">
        <v>183</v>
      </c>
      <c r="J486" s="171"/>
      <c r="K486" s="173" t="s">
        <v>145</v>
      </c>
      <c r="L486" s="173" t="s">
        <v>145</v>
      </c>
      <c r="M486" s="173" t="s">
        <v>145</v>
      </c>
      <c r="N486" s="174" t="s">
        <v>145</v>
      </c>
      <c r="O486" s="174" t="s">
        <v>145</v>
      </c>
      <c r="P486" s="174" t="s">
        <v>145</v>
      </c>
      <c r="Q486" s="174" t="s">
        <v>145</v>
      </c>
      <c r="R486" s="174" t="s">
        <v>145</v>
      </c>
      <c r="S486" s="175" t="s">
        <v>145</v>
      </c>
      <c r="T486" s="175" t="s">
        <v>145</v>
      </c>
      <c r="U486" s="175" t="s">
        <v>145</v>
      </c>
      <c r="V486" s="171" t="s">
        <v>145</v>
      </c>
      <c r="W486" s="171" t="s">
        <v>145</v>
      </c>
      <c r="X486" s="176" t="s">
        <v>145</v>
      </c>
      <c r="Y486" s="171" t="s">
        <v>145</v>
      </c>
      <c r="Z486" s="176" t="s">
        <v>145</v>
      </c>
      <c r="AA486" s="171" t="s">
        <v>145</v>
      </c>
      <c r="AB486" s="176" t="s">
        <v>145</v>
      </c>
      <c r="AC486" s="171" t="s">
        <v>145</v>
      </c>
      <c r="AD486" s="176" t="s">
        <v>145</v>
      </c>
      <c r="AE486" s="171" t="s">
        <v>145</v>
      </c>
      <c r="AF486" s="176" t="str" cm="1">
        <f t="array" ref="AF486">IF(OR(AE486="/",AE486=""),"/",IF(ISNUMBER(SEARCH("普通",AE486)),0,IF(ISNUMBER(SEARCH("专用",AE486)),4,IF(ISNUMBER(SEARCH("定制",AE486)),7,IF(ISNUMBER(SEARCH("多个定制",AE486)),9,””)))))</f>
        <v>/</v>
      </c>
      <c r="AG486" s="176" t="s">
        <v>145</v>
      </c>
      <c r="AH486" s="176" t="s">
        <v>145</v>
      </c>
      <c r="AI486" s="176" t="s">
        <v>145</v>
      </c>
      <c r="AJ486" s="176" t="str">
        <f t="shared" si="330"/>
        <v>/</v>
      </c>
      <c r="AK486" s="171" t="s">
        <v>145</v>
      </c>
      <c r="AL486" s="177" t="s">
        <v>145</v>
      </c>
      <c r="AM486" s="177" t="s">
        <v>145</v>
      </c>
      <c r="AN486" s="177" t="s">
        <v>145</v>
      </c>
      <c r="AO486" s="177" t="s">
        <v>145</v>
      </c>
    </row>
    <row r="487" s="116" customFormat="1" ht="17" customHeight="1" spans="1:41">
      <c r="A487" s="171">
        <v>484</v>
      </c>
      <c r="B487" s="181"/>
      <c r="C487" s="181"/>
      <c r="D487" s="181"/>
      <c r="E487" s="171"/>
      <c r="F487" s="171"/>
      <c r="G487" s="171"/>
      <c r="H487" s="171"/>
      <c r="I487" s="171"/>
      <c r="J487" s="171" t="s">
        <v>183</v>
      </c>
      <c r="K487" s="173" t="s">
        <v>145</v>
      </c>
      <c r="L487" s="173" t="s">
        <v>145</v>
      </c>
      <c r="M487" s="173" t="s">
        <v>145</v>
      </c>
      <c r="N487" s="174" t="s">
        <v>145</v>
      </c>
      <c r="O487" s="174" t="s">
        <v>145</v>
      </c>
      <c r="P487" s="174" t="s">
        <v>145</v>
      </c>
      <c r="Q487" s="174" t="s">
        <v>145</v>
      </c>
      <c r="R487" s="174" t="s">
        <v>145</v>
      </c>
      <c r="S487" s="175" t="s">
        <v>145</v>
      </c>
      <c r="T487" s="175" t="s">
        <v>145</v>
      </c>
      <c r="U487" s="175" t="s">
        <v>145</v>
      </c>
      <c r="V487" s="171" t="s">
        <v>145</v>
      </c>
      <c r="W487" s="171" t="s">
        <v>145</v>
      </c>
      <c r="X487" s="176" t="s">
        <v>145</v>
      </c>
      <c r="Y487" s="171" t="s">
        <v>145</v>
      </c>
      <c r="Z487" s="176" t="s">
        <v>145</v>
      </c>
      <c r="AA487" s="171" t="s">
        <v>145</v>
      </c>
      <c r="AB487" s="176" t="s">
        <v>145</v>
      </c>
      <c r="AC487" s="171" t="s">
        <v>145</v>
      </c>
      <c r="AD487" s="176" t="s">
        <v>145</v>
      </c>
      <c r="AE487" s="171" t="s">
        <v>145</v>
      </c>
      <c r="AF487" s="176" t="str" cm="1">
        <f t="array" ref="AF487">IF(OR(AE487="/",AE487=""),"/",IF(ISNUMBER(SEARCH("普通",AE487)),0,IF(ISNUMBER(SEARCH("专用",AE487)),4,IF(ISNUMBER(SEARCH("定制",AE487)),7,IF(ISNUMBER(SEARCH("多个定制",AE487)),9,””)))))</f>
        <v>/</v>
      </c>
      <c r="AG487" s="176" t="s">
        <v>145</v>
      </c>
      <c r="AH487" s="176" t="s">
        <v>145</v>
      </c>
      <c r="AI487" s="176" t="s">
        <v>145</v>
      </c>
      <c r="AJ487" s="176" t="str">
        <f t="shared" si="330"/>
        <v>/</v>
      </c>
      <c r="AK487" s="171" t="s">
        <v>145</v>
      </c>
      <c r="AL487" s="177" t="s">
        <v>145</v>
      </c>
      <c r="AM487" s="177" t="s">
        <v>145</v>
      </c>
      <c r="AN487" s="177" t="s">
        <v>145</v>
      </c>
      <c r="AO487" s="177" t="s">
        <v>145</v>
      </c>
    </row>
    <row r="488" s="116" customFormat="1" ht="17" customHeight="1" spans="1:41">
      <c r="A488" s="171">
        <v>485</v>
      </c>
      <c r="B488" s="172" t="s">
        <v>1438</v>
      </c>
      <c r="C488" s="171" t="s">
        <v>1439</v>
      </c>
      <c r="D488" s="173" t="s">
        <v>1440</v>
      </c>
      <c r="E488" s="171" t="s">
        <v>73</v>
      </c>
      <c r="F488" s="171"/>
      <c r="G488" s="171"/>
      <c r="H488" s="171"/>
      <c r="I488" s="171"/>
      <c r="J488" s="171"/>
      <c r="K488" s="173" t="s">
        <v>1441</v>
      </c>
      <c r="L488" s="173" t="s">
        <v>1442</v>
      </c>
      <c r="M488" s="173" t="s">
        <v>1443</v>
      </c>
      <c r="N488" s="174" t="s">
        <v>77</v>
      </c>
      <c r="O488" s="174" t="s">
        <v>77</v>
      </c>
      <c r="P488" s="174" t="s">
        <v>78</v>
      </c>
      <c r="Q488" s="174" t="s">
        <v>96</v>
      </c>
      <c r="R488" s="174" t="str">
        <f t="shared" ref="R488:R493" si="352">IF(OR(N488="严重Severe",O488="严重Severe",P488="严重Severe",Q488="严重Severe"),"严重Severe",IF(OR(N488="主要Major",O488="主要Major",P488="主要Major",Q488="主要Major"),"主要Major",IF(OR(N488="中等Medium",O488="中等Medium",P488="中等Medium",Q488="中等Medium"),"中等Medium",IF(OR(N488="可忽略不计Negligible",O488="可忽略不计Negligible",P488="可忽略不计Negligible",Q488="可忽略不计Negligible"),"可忽略不计Negligible","/"))))</f>
        <v>主要Major</v>
      </c>
      <c r="S488" s="175" t="s">
        <v>78</v>
      </c>
      <c r="T488" s="175" t="s">
        <v>1444</v>
      </c>
      <c r="U488" s="175" t="s">
        <v>1445</v>
      </c>
      <c r="V488" s="171" t="s">
        <v>1446</v>
      </c>
      <c r="W488" s="171" t="s">
        <v>142</v>
      </c>
      <c r="X488" s="176">
        <f t="shared" ref="X488:X493" si="353">IF(OR(W488="/",W488=""),"/",IF(ISNUMBER(SEARCH("1天",W488)),0,IF(ISNUMBER(SEARCH("一周",W488)),1,IF(ISNUMBER(SEARCH("1个月",W488)),4,IF(ISNUMBER(SEARCH("超过",W488)),19,IF(ISNUMBER(SEARCH("6个月",W488)),17,""))))))</f>
        <v>4</v>
      </c>
      <c r="Y488" s="171" t="s">
        <v>83</v>
      </c>
      <c r="Z488" s="176">
        <f t="shared" ref="Z488:Z493" si="354">IF(OR(Y488="/",Y488=""),"/",IF(ISNUMBER(SEARCH("新手",Y488)),0,IF(ISNUMBER(SEARCH("熟练",Y488)),3,IF(ISNUMBER(SEARCH("多位",Y488)),17,IF(ISNUMBER(SEARCH("专家",Y488)),6,"")))))</f>
        <v>6</v>
      </c>
      <c r="AA488" s="171" t="s">
        <v>153</v>
      </c>
      <c r="AB488" s="176">
        <f t="shared" ref="AB488:AB493" si="355">IF(OR(AA488="/",AA488=""),"/",IF(ISNUMBER(SEARCH("公开",AA488)),0,IF(ISNUMBER(SEARCH("限制性信息",AA488)),3,IF(ISNUMBER(SEARCH("机密信息",AA488)),7,IF(ISNUMBER(SEARCH("严格保密",AA488)),11,"")))))</f>
        <v>0</v>
      </c>
      <c r="AC488" s="171" t="s">
        <v>85</v>
      </c>
      <c r="AD488" s="176">
        <f t="shared" ref="AD488:AD493" si="356">IF(OR(AC488="/",AC488=""),"/",IF(ISNUMBER(SEARCH("无限制",AC488)),0,IF(ISNUMBER(SEARCH("容易",AC488)),1,IF(ISNUMBER(SEARCH("一般",AC488)),4,IF(ISNUMBER(SEARCH("困难",AC488)),10,"")))))</f>
        <v>4</v>
      </c>
      <c r="AE488" s="171" t="s">
        <v>86</v>
      </c>
      <c r="AF488" s="176" cm="1">
        <f t="array" ref="AF488">IF(OR(AE488="/",AE488=""),"/",IF(ISNUMBER(SEARCH("普通",AE488)),0,IF(ISNUMBER(SEARCH("专用",AE488)),4,IF(ISNUMBER(SEARCH("定制",AE488)),7,IF(ISNUMBER(SEARCH("多个定制",AE488)),9,””)))))</f>
        <v>4</v>
      </c>
      <c r="AG488" s="176">
        <f t="shared" ref="AG488:AG493" si="357">IF(OR(X488="/",Z488="/",AB488="/",AD488="/",AF488="/"),"/",X488+Z488+AB488+AD488+AF488)</f>
        <v>18</v>
      </c>
      <c r="AH488" s="176" t="str">
        <f t="shared" ref="AH488:AH493" si="358">IF(AND(AG488&gt;=0,AG488&lt;14),"高High",IF(AND(AG488&gt;=14,AG488&lt;20),"中Medium",IF(AND(AG488&gt;=20,AG488&lt;25),"低Low",IF(AND(AG488&gt;=25,AG488&lt;57),"非常低Very low",""))))</f>
        <v>中Medium</v>
      </c>
      <c r="AI488" s="176" t="s">
        <v>87</v>
      </c>
      <c r="AJ488" s="176" t="str">
        <f t="shared" si="330"/>
        <v>降低
Reucing</v>
      </c>
      <c r="AK488" s="171" t="s">
        <v>1447</v>
      </c>
      <c r="AL488" s="177" t="s">
        <v>1448</v>
      </c>
      <c r="AM488" s="180" t="s">
        <v>1449</v>
      </c>
      <c r="AN488" s="178" t="s">
        <v>1450</v>
      </c>
      <c r="AO488" s="178" t="s">
        <v>1451</v>
      </c>
    </row>
    <row r="489" s="116" customFormat="1" ht="17" customHeight="1" spans="1:41">
      <c r="A489" s="171">
        <v>486</v>
      </c>
      <c r="B489" s="179"/>
      <c r="C489" s="179"/>
      <c r="D489" s="179"/>
      <c r="E489" s="171" t="s">
        <v>73</v>
      </c>
      <c r="F489" s="171"/>
      <c r="G489" s="171"/>
      <c r="H489" s="171"/>
      <c r="I489" s="171"/>
      <c r="J489" s="171"/>
      <c r="K489" s="173" t="s">
        <v>1452</v>
      </c>
      <c r="L489" s="173" t="s">
        <v>1442</v>
      </c>
      <c r="M489" s="173" t="s">
        <v>1453</v>
      </c>
      <c r="N489" s="174" t="s">
        <v>77</v>
      </c>
      <c r="O489" s="174" t="s">
        <v>77</v>
      </c>
      <c r="P489" s="174" t="s">
        <v>77</v>
      </c>
      <c r="Q489" s="174" t="s">
        <v>96</v>
      </c>
      <c r="R489" s="174" t="str">
        <f t="shared" si="352"/>
        <v>中等Medium</v>
      </c>
      <c r="S489" s="175" t="s">
        <v>96</v>
      </c>
      <c r="T489" s="175" t="s">
        <v>1454</v>
      </c>
      <c r="U489" s="175" t="s">
        <v>1455</v>
      </c>
      <c r="V489" s="171" t="s">
        <v>1456</v>
      </c>
      <c r="W489" s="171" t="s">
        <v>82</v>
      </c>
      <c r="X489" s="176">
        <f t="shared" si="353"/>
        <v>0</v>
      </c>
      <c r="Y489" s="171" t="s">
        <v>177</v>
      </c>
      <c r="Z489" s="176">
        <f t="shared" si="354"/>
        <v>3</v>
      </c>
      <c r="AA489" s="171" t="s">
        <v>153</v>
      </c>
      <c r="AB489" s="176">
        <f t="shared" si="355"/>
        <v>0</v>
      </c>
      <c r="AC489" s="171" t="s">
        <v>191</v>
      </c>
      <c r="AD489" s="176">
        <f t="shared" si="356"/>
        <v>1</v>
      </c>
      <c r="AE489" s="171" t="s">
        <v>210</v>
      </c>
      <c r="AF489" s="176" cm="1">
        <f t="array" ref="AF489">IF(OR(AE489="/",AE489=""),"/",IF(ISNUMBER(SEARCH("普通",AE489)),0,IF(ISNUMBER(SEARCH("专用",AE489)),4,IF(ISNUMBER(SEARCH("定制",AE489)),7,IF(ISNUMBER(SEARCH("多个定制",AE489)),9,””)))))</f>
        <v>0</v>
      </c>
      <c r="AG489" s="176">
        <f t="shared" si="357"/>
        <v>4</v>
      </c>
      <c r="AH489" s="176" t="str">
        <f t="shared" si="358"/>
        <v>高High</v>
      </c>
      <c r="AI489" s="176" t="s">
        <v>87</v>
      </c>
      <c r="AJ489" s="176" t="str">
        <f t="shared" si="330"/>
        <v>降低
Reucing</v>
      </c>
      <c r="AK489" s="171" t="s">
        <v>1457</v>
      </c>
      <c r="AL489" s="177" t="s">
        <v>1458</v>
      </c>
      <c r="AM489" s="180" t="s">
        <v>101</v>
      </c>
      <c r="AN489" s="178" t="s">
        <v>592</v>
      </c>
      <c r="AO489" s="178" t="s">
        <v>1264</v>
      </c>
    </row>
    <row r="490" s="116" customFormat="1" ht="17" customHeight="1" spans="1:41">
      <c r="A490" s="171">
        <v>487</v>
      </c>
      <c r="B490" s="179"/>
      <c r="C490" s="179"/>
      <c r="D490" s="179"/>
      <c r="E490" s="171" t="s">
        <v>73</v>
      </c>
      <c r="F490" s="171"/>
      <c r="G490" s="171"/>
      <c r="H490" s="171"/>
      <c r="I490" s="171"/>
      <c r="J490" s="171"/>
      <c r="K490" s="173" t="s">
        <v>1459</v>
      </c>
      <c r="L490" s="173" t="s">
        <v>1442</v>
      </c>
      <c r="M490" s="173" t="s">
        <v>1460</v>
      </c>
      <c r="N490" s="174" t="s">
        <v>77</v>
      </c>
      <c r="O490" s="174" t="s">
        <v>77</v>
      </c>
      <c r="P490" s="174" t="s">
        <v>77</v>
      </c>
      <c r="Q490" s="174" t="s">
        <v>96</v>
      </c>
      <c r="R490" s="174" t="str">
        <f t="shared" si="352"/>
        <v>中等Medium</v>
      </c>
      <c r="S490" s="175" t="s">
        <v>96</v>
      </c>
      <c r="T490" s="175" t="s">
        <v>1461</v>
      </c>
      <c r="U490" s="175" t="s">
        <v>1462</v>
      </c>
      <c r="V490" s="171" t="s">
        <v>1463</v>
      </c>
      <c r="W490" s="171" t="s">
        <v>82</v>
      </c>
      <c r="X490" s="176">
        <f t="shared" si="353"/>
        <v>0</v>
      </c>
      <c r="Y490" s="171" t="s">
        <v>177</v>
      </c>
      <c r="Z490" s="176">
        <f t="shared" si="354"/>
        <v>3</v>
      </c>
      <c r="AA490" s="171" t="s">
        <v>153</v>
      </c>
      <c r="AB490" s="176">
        <f t="shared" si="355"/>
        <v>0</v>
      </c>
      <c r="AC490" s="171" t="s">
        <v>191</v>
      </c>
      <c r="AD490" s="176">
        <f t="shared" si="356"/>
        <v>1</v>
      </c>
      <c r="AE490" s="171" t="s">
        <v>210</v>
      </c>
      <c r="AF490" s="176" cm="1">
        <f t="array" ref="AF490">IF(OR(AE490="/",AE490=""),"/",IF(ISNUMBER(SEARCH("普通",AE490)),0,IF(ISNUMBER(SEARCH("专用",AE490)),4,IF(ISNUMBER(SEARCH("定制",AE490)),7,IF(ISNUMBER(SEARCH("多个定制",AE490)),9,””)))))</f>
        <v>0</v>
      </c>
      <c r="AG490" s="176">
        <f t="shared" si="357"/>
        <v>4</v>
      </c>
      <c r="AH490" s="176" t="str">
        <f t="shared" si="358"/>
        <v>高High</v>
      </c>
      <c r="AI490" s="176" t="s">
        <v>87</v>
      </c>
      <c r="AJ490" s="176" t="str">
        <f t="shared" si="330"/>
        <v>降低
Reucing</v>
      </c>
      <c r="AK490" s="171" t="s">
        <v>1464</v>
      </c>
      <c r="AL490" s="177" t="s">
        <v>1465</v>
      </c>
      <c r="AM490" s="180" t="s">
        <v>1466</v>
      </c>
      <c r="AN490" s="178" t="s">
        <v>1467</v>
      </c>
      <c r="AO490" s="178" t="s">
        <v>1468</v>
      </c>
    </row>
    <row r="491" s="116" customFormat="1" ht="17" customHeight="1" spans="1:41">
      <c r="A491" s="171">
        <v>488</v>
      </c>
      <c r="B491" s="179"/>
      <c r="C491" s="179"/>
      <c r="D491" s="179"/>
      <c r="E491" s="171" t="s">
        <v>73</v>
      </c>
      <c r="F491" s="171"/>
      <c r="G491" s="171"/>
      <c r="H491" s="171"/>
      <c r="I491" s="171"/>
      <c r="J491" s="171"/>
      <c r="K491" s="173" t="s">
        <v>1469</v>
      </c>
      <c r="L491" s="173" t="s">
        <v>1442</v>
      </c>
      <c r="M491" s="173" t="s">
        <v>1470</v>
      </c>
      <c r="N491" s="174" t="s">
        <v>77</v>
      </c>
      <c r="O491" s="174" t="s">
        <v>77</v>
      </c>
      <c r="P491" s="174" t="s">
        <v>77</v>
      </c>
      <c r="Q491" s="174" t="s">
        <v>96</v>
      </c>
      <c r="R491" s="174" t="str">
        <f t="shared" si="352"/>
        <v>中等Medium</v>
      </c>
      <c r="S491" s="175" t="s">
        <v>96</v>
      </c>
      <c r="T491" s="175" t="s">
        <v>1471</v>
      </c>
      <c r="U491" s="175" t="s">
        <v>1472</v>
      </c>
      <c r="V491" s="171" t="s">
        <v>1473</v>
      </c>
      <c r="W491" s="171" t="s">
        <v>82</v>
      </c>
      <c r="X491" s="176">
        <f t="shared" si="353"/>
        <v>0</v>
      </c>
      <c r="Y491" s="171" t="s">
        <v>177</v>
      </c>
      <c r="Z491" s="176">
        <f t="shared" si="354"/>
        <v>3</v>
      </c>
      <c r="AA491" s="171" t="s">
        <v>153</v>
      </c>
      <c r="AB491" s="176">
        <f t="shared" si="355"/>
        <v>0</v>
      </c>
      <c r="AC491" s="171" t="s">
        <v>191</v>
      </c>
      <c r="AD491" s="176">
        <f t="shared" si="356"/>
        <v>1</v>
      </c>
      <c r="AE491" s="171" t="s">
        <v>210</v>
      </c>
      <c r="AF491" s="176" cm="1">
        <f t="array" ref="AF491">IF(OR(AE491="/",AE491=""),"/",IF(ISNUMBER(SEARCH("普通",AE491)),0,IF(ISNUMBER(SEARCH("专用",AE491)),4,IF(ISNUMBER(SEARCH("定制",AE491)),7,IF(ISNUMBER(SEARCH("多个定制",AE491)),9,””)))))</f>
        <v>0</v>
      </c>
      <c r="AG491" s="176">
        <f t="shared" si="357"/>
        <v>4</v>
      </c>
      <c r="AH491" s="176" t="str">
        <f t="shared" si="358"/>
        <v>高High</v>
      </c>
      <c r="AI491" s="176" t="s">
        <v>87</v>
      </c>
      <c r="AJ491" s="176" t="str">
        <f t="shared" si="330"/>
        <v>降低
Reucing</v>
      </c>
      <c r="AK491" s="171" t="s">
        <v>1474</v>
      </c>
      <c r="AL491" s="177" t="s">
        <v>1475</v>
      </c>
      <c r="AM491" s="180" t="s">
        <v>1476</v>
      </c>
      <c r="AN491" s="178" t="s">
        <v>1477</v>
      </c>
      <c r="AO491" s="178" t="s">
        <v>1478</v>
      </c>
    </row>
    <row r="492" s="116" customFormat="1" ht="17" customHeight="1" spans="1:41">
      <c r="A492" s="171">
        <v>489</v>
      </c>
      <c r="B492" s="179"/>
      <c r="C492" s="179"/>
      <c r="D492" s="179"/>
      <c r="E492" s="171"/>
      <c r="F492" s="171" t="s">
        <v>73</v>
      </c>
      <c r="G492" s="171"/>
      <c r="H492" s="171"/>
      <c r="I492" s="171"/>
      <c r="J492" s="171"/>
      <c r="K492" s="173" t="s">
        <v>1479</v>
      </c>
      <c r="L492" s="173" t="s">
        <v>1480</v>
      </c>
      <c r="M492" s="173" t="s">
        <v>1481</v>
      </c>
      <c r="N492" s="174" t="s">
        <v>77</v>
      </c>
      <c r="O492" s="174" t="s">
        <v>77</v>
      </c>
      <c r="P492" s="174" t="s">
        <v>77</v>
      </c>
      <c r="Q492" s="174" t="s">
        <v>96</v>
      </c>
      <c r="R492" s="174" t="str">
        <f t="shared" si="352"/>
        <v>中等Medium</v>
      </c>
      <c r="S492" s="175" t="s">
        <v>96</v>
      </c>
      <c r="T492" s="175" t="s">
        <v>1482</v>
      </c>
      <c r="U492" s="175" t="s">
        <v>1483</v>
      </c>
      <c r="V492" s="171" t="s">
        <v>1484</v>
      </c>
      <c r="W492" s="171" t="s">
        <v>82</v>
      </c>
      <c r="X492" s="176">
        <f t="shared" si="353"/>
        <v>0</v>
      </c>
      <c r="Y492" s="171" t="s">
        <v>177</v>
      </c>
      <c r="Z492" s="176">
        <f t="shared" si="354"/>
        <v>3</v>
      </c>
      <c r="AA492" s="171" t="s">
        <v>153</v>
      </c>
      <c r="AB492" s="176">
        <f t="shared" si="355"/>
        <v>0</v>
      </c>
      <c r="AC492" s="171" t="s">
        <v>191</v>
      </c>
      <c r="AD492" s="176">
        <f t="shared" si="356"/>
        <v>1</v>
      </c>
      <c r="AE492" s="171" t="s">
        <v>210</v>
      </c>
      <c r="AF492" s="176" cm="1">
        <f t="array" ref="AF492">IF(OR(AE492="/",AE492=""),"/",IF(ISNUMBER(SEARCH("普通",AE492)),0,IF(ISNUMBER(SEARCH("专用",AE492)),4,IF(ISNUMBER(SEARCH("定制",AE492)),7,IF(ISNUMBER(SEARCH("多个定制",AE492)),9,””)))))</f>
        <v>0</v>
      </c>
      <c r="AG492" s="176">
        <f t="shared" si="357"/>
        <v>4</v>
      </c>
      <c r="AH492" s="176" t="str">
        <f t="shared" si="358"/>
        <v>高High</v>
      </c>
      <c r="AI492" s="176" t="s">
        <v>87</v>
      </c>
      <c r="AJ492" s="176" t="str">
        <f t="shared" si="330"/>
        <v>降低
Reucing</v>
      </c>
      <c r="AK492" s="171" t="s">
        <v>1485</v>
      </c>
      <c r="AL492" s="177" t="s">
        <v>1486</v>
      </c>
      <c r="AM492" s="180" t="s">
        <v>1487</v>
      </c>
      <c r="AN492" s="178" t="s">
        <v>1488</v>
      </c>
      <c r="AO492" s="178" t="s">
        <v>1489</v>
      </c>
    </row>
    <row r="493" s="116" customFormat="1" ht="17" customHeight="1" spans="1:41">
      <c r="A493" s="171">
        <v>490</v>
      </c>
      <c r="B493" s="179"/>
      <c r="C493" s="179"/>
      <c r="D493" s="179"/>
      <c r="E493" s="171"/>
      <c r="F493" s="171"/>
      <c r="G493" s="171" t="s">
        <v>73</v>
      </c>
      <c r="H493" s="171"/>
      <c r="I493" s="171"/>
      <c r="J493" s="171"/>
      <c r="K493" s="173" t="s">
        <v>1490</v>
      </c>
      <c r="L493" s="173" t="s">
        <v>1491</v>
      </c>
      <c r="M493" s="173" t="s">
        <v>1492</v>
      </c>
      <c r="N493" s="174" t="s">
        <v>77</v>
      </c>
      <c r="O493" s="174" t="s">
        <v>77</v>
      </c>
      <c r="P493" s="174" t="s">
        <v>77</v>
      </c>
      <c r="Q493" s="174" t="s">
        <v>96</v>
      </c>
      <c r="R493" s="174" t="str">
        <f t="shared" si="352"/>
        <v>中等Medium</v>
      </c>
      <c r="S493" s="175" t="s">
        <v>96</v>
      </c>
      <c r="T493" s="175" t="s">
        <v>1493</v>
      </c>
      <c r="U493" s="175" t="s">
        <v>1494</v>
      </c>
      <c r="V493" s="171" t="s">
        <v>1495</v>
      </c>
      <c r="W493" s="171" t="s">
        <v>111</v>
      </c>
      <c r="X493" s="176">
        <f t="shared" si="353"/>
        <v>1</v>
      </c>
      <c r="Y493" s="171" t="s">
        <v>83</v>
      </c>
      <c r="Z493" s="176">
        <f t="shared" si="354"/>
        <v>6</v>
      </c>
      <c r="AA493" s="171" t="s">
        <v>153</v>
      </c>
      <c r="AB493" s="176">
        <f t="shared" si="355"/>
        <v>0</v>
      </c>
      <c r="AC493" s="171" t="s">
        <v>191</v>
      </c>
      <c r="AD493" s="176">
        <f t="shared" si="356"/>
        <v>1</v>
      </c>
      <c r="AE493" s="171" t="s">
        <v>86</v>
      </c>
      <c r="AF493" s="176" cm="1">
        <f t="array" ref="AF493">IF(OR(AE493="/",AE493=""),"/",IF(ISNUMBER(SEARCH("普通",AE493)),0,IF(ISNUMBER(SEARCH("专用",AE493)),4,IF(ISNUMBER(SEARCH("定制",AE493)),7,IF(ISNUMBER(SEARCH("多个定制",AE493)),9,””)))))</f>
        <v>4</v>
      </c>
      <c r="AG493" s="176">
        <f t="shared" si="357"/>
        <v>12</v>
      </c>
      <c r="AH493" s="176" t="str">
        <f t="shared" si="358"/>
        <v>高High</v>
      </c>
      <c r="AI493" s="176" t="s">
        <v>87</v>
      </c>
      <c r="AJ493" s="176" t="str">
        <f t="shared" si="330"/>
        <v>降低
Reucing</v>
      </c>
      <c r="AK493" s="171" t="s">
        <v>1496</v>
      </c>
      <c r="AL493" s="177" t="s">
        <v>1497</v>
      </c>
      <c r="AM493" s="180" t="s">
        <v>1498</v>
      </c>
      <c r="AN493" s="178" t="s">
        <v>1499</v>
      </c>
      <c r="AO493" s="178" t="s">
        <v>1500</v>
      </c>
    </row>
    <row r="494" s="116" customFormat="1" ht="17" customHeight="1" spans="1:41">
      <c r="A494" s="171">
        <v>491</v>
      </c>
      <c r="B494" s="179"/>
      <c r="C494" s="179"/>
      <c r="D494" s="179"/>
      <c r="E494" s="171"/>
      <c r="F494" s="171"/>
      <c r="G494" s="171"/>
      <c r="H494" s="171" t="s">
        <v>183</v>
      </c>
      <c r="I494" s="171"/>
      <c r="J494" s="171"/>
      <c r="K494" s="173" t="s">
        <v>145</v>
      </c>
      <c r="L494" s="173" t="s">
        <v>145</v>
      </c>
      <c r="M494" s="173" t="s">
        <v>145</v>
      </c>
      <c r="N494" s="174" t="s">
        <v>145</v>
      </c>
      <c r="O494" s="174" t="s">
        <v>145</v>
      </c>
      <c r="P494" s="174" t="s">
        <v>145</v>
      </c>
      <c r="Q494" s="174" t="s">
        <v>145</v>
      </c>
      <c r="R494" s="174" t="s">
        <v>145</v>
      </c>
      <c r="S494" s="175" t="s">
        <v>145</v>
      </c>
      <c r="T494" s="175" t="s">
        <v>145</v>
      </c>
      <c r="U494" s="175" t="s">
        <v>145</v>
      </c>
      <c r="V494" s="171" t="s">
        <v>145</v>
      </c>
      <c r="W494" s="171" t="s">
        <v>145</v>
      </c>
      <c r="X494" s="176" t="s">
        <v>145</v>
      </c>
      <c r="Y494" s="171" t="s">
        <v>145</v>
      </c>
      <c r="Z494" s="176" t="s">
        <v>145</v>
      </c>
      <c r="AA494" s="171" t="s">
        <v>145</v>
      </c>
      <c r="AB494" s="176" t="s">
        <v>145</v>
      </c>
      <c r="AC494" s="171" t="s">
        <v>145</v>
      </c>
      <c r="AD494" s="176" t="s">
        <v>145</v>
      </c>
      <c r="AE494" s="171" t="s">
        <v>145</v>
      </c>
      <c r="AF494" s="176" t="str" cm="1">
        <f t="array" ref="AF494">IF(OR(AE494="/",AE494=""),"/",IF(ISNUMBER(SEARCH("普通",AE494)),0,IF(ISNUMBER(SEARCH("专用",AE494)),4,IF(ISNUMBER(SEARCH("定制",AE494)),7,IF(ISNUMBER(SEARCH("多个定制",AE494)),9,””)))))</f>
        <v>/</v>
      </c>
      <c r="AG494" s="176" t="s">
        <v>145</v>
      </c>
      <c r="AH494" s="176" t="s">
        <v>145</v>
      </c>
      <c r="AI494" s="176" t="s">
        <v>145</v>
      </c>
      <c r="AJ494" s="176" t="str">
        <f t="shared" si="330"/>
        <v>/</v>
      </c>
      <c r="AK494" s="171" t="s">
        <v>145</v>
      </c>
      <c r="AL494" s="177" t="s">
        <v>145</v>
      </c>
      <c r="AM494" s="177" t="s">
        <v>145</v>
      </c>
      <c r="AN494" s="177" t="s">
        <v>145</v>
      </c>
      <c r="AO494" s="177" t="s">
        <v>145</v>
      </c>
    </row>
    <row r="495" s="116" customFormat="1" ht="17" customHeight="1" spans="1:41">
      <c r="A495" s="171">
        <v>492</v>
      </c>
      <c r="B495" s="179"/>
      <c r="C495" s="179"/>
      <c r="D495" s="179"/>
      <c r="E495" s="171"/>
      <c r="F495" s="171"/>
      <c r="G495" s="171"/>
      <c r="H495" s="171"/>
      <c r="I495" s="171" t="s">
        <v>73</v>
      </c>
      <c r="J495" s="171"/>
      <c r="K495" s="173" t="s">
        <v>1501</v>
      </c>
      <c r="L495" s="173" t="s">
        <v>1502</v>
      </c>
      <c r="M495" s="173" t="s">
        <v>1503</v>
      </c>
      <c r="N495" s="174" t="s">
        <v>77</v>
      </c>
      <c r="O495" s="174" t="s">
        <v>77</v>
      </c>
      <c r="P495" s="174" t="s">
        <v>77</v>
      </c>
      <c r="Q495" s="174" t="s">
        <v>96</v>
      </c>
      <c r="R495" s="174" t="str">
        <f t="shared" ref="R495:R511" si="359">IF(OR(N495="严重Severe",O495="严重Severe",P495="严重Severe",Q495="严重Severe"),"严重Severe",IF(OR(N495="主要Major",O495="主要Major",P495="主要Major",Q495="主要Major"),"主要Major",IF(OR(N495="中等Medium",O495="中等Medium",P495="中等Medium",Q495="中等Medium"),"中等Medium",IF(OR(N495="可忽略不计Negligible",O495="可忽略不计Negligible",P495="可忽略不计Negligible",Q495="可忽略不计Negligible"),"可忽略不计Negligible","/"))))</f>
        <v>中等Medium</v>
      </c>
      <c r="S495" s="175" t="s">
        <v>96</v>
      </c>
      <c r="T495" s="175" t="s">
        <v>1504</v>
      </c>
      <c r="U495" s="175" t="s">
        <v>1505</v>
      </c>
      <c r="V495" s="171" t="s">
        <v>1506</v>
      </c>
      <c r="W495" s="171" t="s">
        <v>82</v>
      </c>
      <c r="X495" s="176">
        <f t="shared" ref="X495:X511" si="360">IF(OR(W495="/",W495=""),"/",IF(ISNUMBER(SEARCH("1天",W495)),0,IF(ISNUMBER(SEARCH("一周",W495)),1,IF(ISNUMBER(SEARCH("1个月",W495)),4,IF(ISNUMBER(SEARCH("超过",W495)),19,IF(ISNUMBER(SEARCH("6个月",W495)),17,""))))))</f>
        <v>0</v>
      </c>
      <c r="Y495" s="171" t="s">
        <v>83</v>
      </c>
      <c r="Z495" s="176">
        <f t="shared" ref="Z495:Z511" si="361">IF(OR(Y495="/",Y495=""),"/",IF(ISNUMBER(SEARCH("新手",Y495)),0,IF(ISNUMBER(SEARCH("熟练",Y495)),3,IF(ISNUMBER(SEARCH("多位",Y495)),17,IF(ISNUMBER(SEARCH("专家",Y495)),6,"")))))</f>
        <v>6</v>
      </c>
      <c r="AA495" s="171" t="s">
        <v>153</v>
      </c>
      <c r="AB495" s="176">
        <f t="shared" ref="AB495:AB511" si="362">IF(OR(AA495="/",AA495=""),"/",IF(ISNUMBER(SEARCH("公开",AA495)),0,IF(ISNUMBER(SEARCH("限制性信息",AA495)),3,IF(ISNUMBER(SEARCH("机密信息",AA495)),7,IF(ISNUMBER(SEARCH("严格保密",AA495)),11,"")))))</f>
        <v>0</v>
      </c>
      <c r="AC495" s="171" t="s">
        <v>191</v>
      </c>
      <c r="AD495" s="176">
        <f t="shared" ref="AD495:AD511" si="363">IF(OR(AC495="/",AC495=""),"/",IF(ISNUMBER(SEARCH("无限制",AC495)),0,IF(ISNUMBER(SEARCH("容易",AC495)),1,IF(ISNUMBER(SEARCH("一般",AC495)),4,IF(ISNUMBER(SEARCH("困难",AC495)),10,"")))))</f>
        <v>1</v>
      </c>
      <c r="AE495" s="171" t="s">
        <v>86</v>
      </c>
      <c r="AF495" s="176" cm="1">
        <f t="array" ref="AF495">IF(OR(AE495="/",AE495=""),"/",IF(ISNUMBER(SEARCH("普通",AE495)),0,IF(ISNUMBER(SEARCH("专用",AE495)),4,IF(ISNUMBER(SEARCH("定制",AE495)),7,IF(ISNUMBER(SEARCH("多个定制",AE495)),9,””)))))</f>
        <v>4</v>
      </c>
      <c r="AG495" s="176">
        <f t="shared" ref="AG495:AG511" si="364">IF(OR(X495="/",Z495="/",AB495="/",AD495="/",AF495="/"),"/",X495+Z495+AB495+AD495+AF495)</f>
        <v>11</v>
      </c>
      <c r="AH495" s="176" t="str">
        <f t="shared" ref="AH495:AH511" si="365">IF(AND(AG495&gt;=0,AG495&lt;14),"高High",IF(AND(AG495&gt;=14,AG495&lt;20),"中Medium",IF(AND(AG495&gt;=20,AG495&lt;25),"低Low",IF(AND(AG495&gt;=25,AG495&lt;57),"非常低Very low",""))))</f>
        <v>高High</v>
      </c>
      <c r="AI495" s="176" t="s">
        <v>87</v>
      </c>
      <c r="AJ495" s="176" t="str">
        <f t="shared" si="330"/>
        <v>降低
Reucing</v>
      </c>
      <c r="AK495" s="171" t="s">
        <v>1507</v>
      </c>
      <c r="AL495" s="177" t="s">
        <v>1508</v>
      </c>
      <c r="AM495" s="180" t="s">
        <v>1509</v>
      </c>
      <c r="AN495" s="178" t="s">
        <v>1510</v>
      </c>
      <c r="AO495" s="178" t="s">
        <v>1511</v>
      </c>
    </row>
    <row r="496" s="116" customFormat="1" ht="17" customHeight="1" spans="1:41">
      <c r="A496" s="171">
        <v>493</v>
      </c>
      <c r="B496" s="181"/>
      <c r="C496" s="181"/>
      <c r="D496" s="181"/>
      <c r="E496" s="171"/>
      <c r="F496" s="171"/>
      <c r="G496" s="171"/>
      <c r="H496" s="171"/>
      <c r="I496" s="171"/>
      <c r="J496" s="171" t="s">
        <v>73</v>
      </c>
      <c r="K496" s="173" t="s">
        <v>1512</v>
      </c>
      <c r="L496" s="173" t="s">
        <v>1513</v>
      </c>
      <c r="M496" s="173" t="s">
        <v>1514</v>
      </c>
      <c r="N496" s="174" t="s">
        <v>77</v>
      </c>
      <c r="O496" s="174" t="s">
        <v>77</v>
      </c>
      <c r="P496" s="174" t="s">
        <v>77</v>
      </c>
      <c r="Q496" s="174" t="s">
        <v>96</v>
      </c>
      <c r="R496" s="174" t="str">
        <f t="shared" si="359"/>
        <v>中等Medium</v>
      </c>
      <c r="S496" s="175" t="s">
        <v>96</v>
      </c>
      <c r="T496" s="175" t="s">
        <v>1515</v>
      </c>
      <c r="U496" s="175" t="s">
        <v>1516</v>
      </c>
      <c r="V496" s="171" t="s">
        <v>1517</v>
      </c>
      <c r="W496" s="171" t="s">
        <v>111</v>
      </c>
      <c r="X496" s="176">
        <f t="shared" si="360"/>
        <v>1</v>
      </c>
      <c r="Y496" s="171" t="s">
        <v>83</v>
      </c>
      <c r="Z496" s="176">
        <f t="shared" si="361"/>
        <v>6</v>
      </c>
      <c r="AA496" s="171" t="s">
        <v>153</v>
      </c>
      <c r="AB496" s="176">
        <f t="shared" si="362"/>
        <v>0</v>
      </c>
      <c r="AC496" s="171" t="s">
        <v>85</v>
      </c>
      <c r="AD496" s="176">
        <f t="shared" si="363"/>
        <v>4</v>
      </c>
      <c r="AE496" s="171" t="s">
        <v>86</v>
      </c>
      <c r="AF496" s="176" cm="1">
        <f t="array" ref="AF496">IF(OR(AE496="/",AE496=""),"/",IF(ISNUMBER(SEARCH("普通",AE496)),0,IF(ISNUMBER(SEARCH("专用",AE496)),4,IF(ISNUMBER(SEARCH("定制",AE496)),7,IF(ISNUMBER(SEARCH("多个定制",AE496)),9,””)))))</f>
        <v>4</v>
      </c>
      <c r="AG496" s="176">
        <f t="shared" si="364"/>
        <v>15</v>
      </c>
      <c r="AH496" s="176" t="str">
        <f t="shared" si="365"/>
        <v>中Medium</v>
      </c>
      <c r="AI496" s="176" t="s">
        <v>87</v>
      </c>
      <c r="AJ496" s="176" t="str">
        <f t="shared" si="330"/>
        <v>降低
Reucing</v>
      </c>
      <c r="AK496" s="171" t="s">
        <v>1518</v>
      </c>
      <c r="AL496" s="177" t="s">
        <v>1519</v>
      </c>
      <c r="AM496" s="180" t="s">
        <v>1520</v>
      </c>
      <c r="AN496" s="178" t="s">
        <v>1488</v>
      </c>
      <c r="AO496" s="178" t="s">
        <v>1521</v>
      </c>
    </row>
    <row r="497" s="116" customFormat="1" ht="17" customHeight="1" spans="1:41">
      <c r="A497" s="171">
        <v>494</v>
      </c>
      <c r="B497" s="172" t="s">
        <v>1522</v>
      </c>
      <c r="C497" s="171" t="s">
        <v>1439</v>
      </c>
      <c r="D497" s="173" t="s">
        <v>1523</v>
      </c>
      <c r="E497" s="171" t="s">
        <v>73</v>
      </c>
      <c r="F497" s="171"/>
      <c r="G497" s="171"/>
      <c r="H497" s="171"/>
      <c r="I497" s="171"/>
      <c r="J497" s="171"/>
      <c r="K497" s="173" t="s">
        <v>1524</v>
      </c>
      <c r="L497" s="173" t="s">
        <v>1525</v>
      </c>
      <c r="M497" s="173" t="s">
        <v>1443</v>
      </c>
      <c r="N497" s="174" t="s">
        <v>77</v>
      </c>
      <c r="O497" s="174" t="s">
        <v>77</v>
      </c>
      <c r="P497" s="174" t="s">
        <v>77</v>
      </c>
      <c r="Q497" s="174" t="s">
        <v>96</v>
      </c>
      <c r="R497" s="174" t="str">
        <f t="shared" si="359"/>
        <v>中等Medium</v>
      </c>
      <c r="S497" s="175" t="s">
        <v>96</v>
      </c>
      <c r="T497" s="175" t="s">
        <v>1526</v>
      </c>
      <c r="U497" s="175" t="s">
        <v>1445</v>
      </c>
      <c r="V497" s="171" t="s">
        <v>1527</v>
      </c>
      <c r="W497" s="171" t="s">
        <v>82</v>
      </c>
      <c r="X497" s="176">
        <f t="shared" si="360"/>
        <v>0</v>
      </c>
      <c r="Y497" s="171" t="s">
        <v>83</v>
      </c>
      <c r="Z497" s="176">
        <f t="shared" si="361"/>
        <v>6</v>
      </c>
      <c r="AA497" s="171" t="s">
        <v>153</v>
      </c>
      <c r="AB497" s="176">
        <f t="shared" si="362"/>
        <v>0</v>
      </c>
      <c r="AC497" s="171" t="s">
        <v>85</v>
      </c>
      <c r="AD497" s="176">
        <f t="shared" si="363"/>
        <v>4</v>
      </c>
      <c r="AE497" s="171" t="s">
        <v>86</v>
      </c>
      <c r="AF497" s="176" cm="1">
        <f t="array" ref="AF497">IF(OR(AE497="/",AE497=""),"/",IF(ISNUMBER(SEARCH("普通",AE497)),0,IF(ISNUMBER(SEARCH("专用",AE497)),4,IF(ISNUMBER(SEARCH("定制",AE497)),7,IF(ISNUMBER(SEARCH("多个定制",AE497)),9,””)))))</f>
        <v>4</v>
      </c>
      <c r="AG497" s="176">
        <f t="shared" si="364"/>
        <v>14</v>
      </c>
      <c r="AH497" s="176" t="str">
        <f t="shared" si="365"/>
        <v>中Medium</v>
      </c>
      <c r="AI497" s="176" t="s">
        <v>87</v>
      </c>
      <c r="AJ497" s="176" t="str">
        <f t="shared" si="330"/>
        <v>降低
Reucing</v>
      </c>
      <c r="AK497" s="171" t="s">
        <v>1528</v>
      </c>
      <c r="AL497" s="177" t="s">
        <v>1448</v>
      </c>
      <c r="AM497" s="180" t="s">
        <v>1449</v>
      </c>
      <c r="AN497" s="178" t="s">
        <v>1450</v>
      </c>
      <c r="AO497" s="178" t="s">
        <v>1451</v>
      </c>
    </row>
    <row r="498" s="116" customFormat="1" ht="17" customHeight="1" spans="1:41">
      <c r="A498" s="171">
        <v>495</v>
      </c>
      <c r="B498" s="179"/>
      <c r="C498" s="179"/>
      <c r="D498" s="179"/>
      <c r="E498" s="171" t="s">
        <v>73</v>
      </c>
      <c r="F498" s="171"/>
      <c r="G498" s="171"/>
      <c r="H498" s="171"/>
      <c r="I498" s="171"/>
      <c r="J498" s="171"/>
      <c r="K498" s="173" t="s">
        <v>1529</v>
      </c>
      <c r="L498" s="173" t="s">
        <v>1525</v>
      </c>
      <c r="M498" s="173" t="s">
        <v>1530</v>
      </c>
      <c r="N498" s="174" t="s">
        <v>77</v>
      </c>
      <c r="O498" s="174" t="s">
        <v>77</v>
      </c>
      <c r="P498" s="174" t="s">
        <v>77</v>
      </c>
      <c r="Q498" s="174" t="s">
        <v>96</v>
      </c>
      <c r="R498" s="174" t="str">
        <f t="shared" si="359"/>
        <v>中等Medium</v>
      </c>
      <c r="S498" s="175" t="s">
        <v>96</v>
      </c>
      <c r="T498" s="175" t="s">
        <v>1531</v>
      </c>
      <c r="U498" s="175" t="s">
        <v>1532</v>
      </c>
      <c r="V498" s="171" t="s">
        <v>1533</v>
      </c>
      <c r="W498" s="171" t="s">
        <v>111</v>
      </c>
      <c r="X498" s="176">
        <f t="shared" si="360"/>
        <v>1</v>
      </c>
      <c r="Y498" s="171" t="s">
        <v>83</v>
      </c>
      <c r="Z498" s="176">
        <f t="shared" si="361"/>
        <v>6</v>
      </c>
      <c r="AA498" s="171" t="s">
        <v>190</v>
      </c>
      <c r="AB498" s="176">
        <f t="shared" si="362"/>
        <v>7</v>
      </c>
      <c r="AC498" s="171" t="s">
        <v>85</v>
      </c>
      <c r="AD498" s="176">
        <f t="shared" si="363"/>
        <v>4</v>
      </c>
      <c r="AE498" s="171" t="s">
        <v>86</v>
      </c>
      <c r="AF498" s="176" cm="1">
        <f t="array" ref="AF498">IF(OR(AE498="/",AE498=""),"/",IF(ISNUMBER(SEARCH("普通",AE498)),0,IF(ISNUMBER(SEARCH("专用",AE498)),4,IF(ISNUMBER(SEARCH("定制",AE498)),7,IF(ISNUMBER(SEARCH("多个定制",AE498)),9,””)))))</f>
        <v>4</v>
      </c>
      <c r="AG498" s="176">
        <f t="shared" si="364"/>
        <v>22</v>
      </c>
      <c r="AH498" s="176" t="str">
        <f t="shared" si="365"/>
        <v>低Low</v>
      </c>
      <c r="AI498" s="176" t="s">
        <v>144</v>
      </c>
      <c r="AJ498" s="176" t="str">
        <f t="shared" si="330"/>
        <v>保留
Retaining</v>
      </c>
      <c r="AK498" s="171" t="s">
        <v>145</v>
      </c>
      <c r="AL498" s="177" t="s">
        <v>145</v>
      </c>
      <c r="AM498" s="171" t="s">
        <v>145</v>
      </c>
      <c r="AN498" s="178" t="s">
        <v>135</v>
      </c>
      <c r="AO498" s="178" t="s">
        <v>1534</v>
      </c>
    </row>
    <row r="499" s="116" customFormat="1" ht="17" customHeight="1" spans="1:41">
      <c r="A499" s="171">
        <v>496</v>
      </c>
      <c r="B499" s="179"/>
      <c r="C499" s="179"/>
      <c r="D499" s="179"/>
      <c r="E499" s="171" t="s">
        <v>73</v>
      </c>
      <c r="F499" s="171"/>
      <c r="G499" s="171"/>
      <c r="H499" s="171"/>
      <c r="I499" s="171"/>
      <c r="J499" s="171"/>
      <c r="K499" s="173" t="s">
        <v>1535</v>
      </c>
      <c r="L499" s="173" t="s">
        <v>1525</v>
      </c>
      <c r="M499" s="173" t="s">
        <v>1460</v>
      </c>
      <c r="N499" s="174" t="s">
        <v>77</v>
      </c>
      <c r="O499" s="174" t="s">
        <v>77</v>
      </c>
      <c r="P499" s="174" t="s">
        <v>77</v>
      </c>
      <c r="Q499" s="174" t="s">
        <v>78</v>
      </c>
      <c r="R499" s="174" t="str">
        <f t="shared" si="359"/>
        <v>主要Major</v>
      </c>
      <c r="S499" s="175" t="s">
        <v>78</v>
      </c>
      <c r="T499" s="175" t="s">
        <v>1536</v>
      </c>
      <c r="U499" s="175" t="s">
        <v>1462</v>
      </c>
      <c r="V499" s="171" t="s">
        <v>1537</v>
      </c>
      <c r="W499" s="171" t="s">
        <v>82</v>
      </c>
      <c r="X499" s="176">
        <f t="shared" si="360"/>
        <v>0</v>
      </c>
      <c r="Y499" s="171" t="s">
        <v>83</v>
      </c>
      <c r="Z499" s="176">
        <f t="shared" si="361"/>
        <v>6</v>
      </c>
      <c r="AA499" s="171" t="s">
        <v>153</v>
      </c>
      <c r="AB499" s="176">
        <f t="shared" si="362"/>
        <v>0</v>
      </c>
      <c r="AC499" s="171" t="s">
        <v>85</v>
      </c>
      <c r="AD499" s="176">
        <f t="shared" si="363"/>
        <v>4</v>
      </c>
      <c r="AE499" s="171" t="s">
        <v>86</v>
      </c>
      <c r="AF499" s="176" cm="1">
        <f t="array" ref="AF499">IF(OR(AE499="/",AE499=""),"/",IF(ISNUMBER(SEARCH("普通",AE499)),0,IF(ISNUMBER(SEARCH("专用",AE499)),4,IF(ISNUMBER(SEARCH("定制",AE499)),7,IF(ISNUMBER(SEARCH("多个定制",AE499)),9,””)))))</f>
        <v>4</v>
      </c>
      <c r="AG499" s="176">
        <f t="shared" si="364"/>
        <v>14</v>
      </c>
      <c r="AH499" s="176" t="str">
        <f t="shared" si="365"/>
        <v>中Medium</v>
      </c>
      <c r="AI499" s="176" t="s">
        <v>112</v>
      </c>
      <c r="AJ499" s="176" t="str">
        <f t="shared" si="330"/>
        <v>消除
Avoiding</v>
      </c>
      <c r="AK499" s="171" t="s">
        <v>1538</v>
      </c>
      <c r="AL499" s="177" t="s">
        <v>1465</v>
      </c>
      <c r="AM499" s="180" t="s">
        <v>1539</v>
      </c>
      <c r="AN499" s="178" t="s">
        <v>1467</v>
      </c>
      <c r="AO499" s="178" t="s">
        <v>1468</v>
      </c>
    </row>
    <row r="500" s="116" customFormat="1" ht="17" customHeight="1" spans="1:41">
      <c r="A500" s="171">
        <v>497</v>
      </c>
      <c r="B500" s="179"/>
      <c r="C500" s="179"/>
      <c r="D500" s="179"/>
      <c r="E500" s="171" t="s">
        <v>73</v>
      </c>
      <c r="F500" s="171"/>
      <c r="G500" s="171"/>
      <c r="H500" s="171"/>
      <c r="I500" s="171"/>
      <c r="J500" s="171"/>
      <c r="K500" s="173" t="s">
        <v>1540</v>
      </c>
      <c r="L500" s="173" t="s">
        <v>1525</v>
      </c>
      <c r="M500" s="173" t="s">
        <v>1470</v>
      </c>
      <c r="N500" s="174" t="s">
        <v>77</v>
      </c>
      <c r="O500" s="174" t="s">
        <v>77</v>
      </c>
      <c r="P500" s="174" t="s">
        <v>77</v>
      </c>
      <c r="Q500" s="174" t="s">
        <v>96</v>
      </c>
      <c r="R500" s="174" t="str">
        <f t="shared" si="359"/>
        <v>中等Medium</v>
      </c>
      <c r="S500" s="175" t="s">
        <v>96</v>
      </c>
      <c r="T500" s="175" t="s">
        <v>1541</v>
      </c>
      <c r="U500" s="175" t="s">
        <v>1472</v>
      </c>
      <c r="V500" s="171" t="s">
        <v>1542</v>
      </c>
      <c r="W500" s="171" t="s">
        <v>111</v>
      </c>
      <c r="X500" s="176">
        <f t="shared" si="360"/>
        <v>1</v>
      </c>
      <c r="Y500" s="171" t="s">
        <v>83</v>
      </c>
      <c r="Z500" s="176">
        <f t="shared" si="361"/>
        <v>6</v>
      </c>
      <c r="AA500" s="171" t="s">
        <v>153</v>
      </c>
      <c r="AB500" s="176">
        <f t="shared" si="362"/>
        <v>0</v>
      </c>
      <c r="AC500" s="171" t="s">
        <v>558</v>
      </c>
      <c r="AD500" s="176">
        <f t="shared" si="363"/>
        <v>10</v>
      </c>
      <c r="AE500" s="171" t="s">
        <v>86</v>
      </c>
      <c r="AF500" s="176" cm="1">
        <f t="array" ref="AF500">IF(OR(AE500="/",AE500=""),"/",IF(ISNUMBER(SEARCH("普通",AE500)),0,IF(ISNUMBER(SEARCH("专用",AE500)),4,IF(ISNUMBER(SEARCH("定制",AE500)),7,IF(ISNUMBER(SEARCH("多个定制",AE500)),9,””)))))</f>
        <v>4</v>
      </c>
      <c r="AG500" s="176">
        <f t="shared" si="364"/>
        <v>21</v>
      </c>
      <c r="AH500" s="176" t="str">
        <f t="shared" si="365"/>
        <v>低Low</v>
      </c>
      <c r="AI500" s="176" t="s">
        <v>144</v>
      </c>
      <c r="AJ500" s="176" t="str">
        <f t="shared" si="330"/>
        <v>保留
Retaining</v>
      </c>
      <c r="AK500" s="171" t="s">
        <v>145</v>
      </c>
      <c r="AL500" s="177" t="s">
        <v>145</v>
      </c>
      <c r="AM500" s="171" t="s">
        <v>145</v>
      </c>
      <c r="AN500" s="178" t="s">
        <v>1477</v>
      </c>
      <c r="AO500" s="178" t="s">
        <v>1478</v>
      </c>
    </row>
    <row r="501" s="116" customFormat="1" ht="17" customHeight="1" spans="1:41">
      <c r="A501" s="171">
        <v>498</v>
      </c>
      <c r="B501" s="179"/>
      <c r="C501" s="179"/>
      <c r="D501" s="179"/>
      <c r="E501" s="171"/>
      <c r="F501" s="171" t="s">
        <v>73</v>
      </c>
      <c r="G501" s="171"/>
      <c r="H501" s="171"/>
      <c r="I501" s="171"/>
      <c r="J501" s="171"/>
      <c r="K501" s="173" t="s">
        <v>1543</v>
      </c>
      <c r="L501" s="173" t="s">
        <v>1544</v>
      </c>
      <c r="M501" s="173" t="s">
        <v>1481</v>
      </c>
      <c r="N501" s="174" t="s">
        <v>77</v>
      </c>
      <c r="O501" s="174" t="s">
        <v>77</v>
      </c>
      <c r="P501" s="174" t="s">
        <v>77</v>
      </c>
      <c r="Q501" s="174" t="s">
        <v>78</v>
      </c>
      <c r="R501" s="174" t="str">
        <f t="shared" si="359"/>
        <v>主要Major</v>
      </c>
      <c r="S501" s="175" t="s">
        <v>78</v>
      </c>
      <c r="T501" s="175" t="s">
        <v>1545</v>
      </c>
      <c r="U501" s="175" t="s">
        <v>1483</v>
      </c>
      <c r="V501" s="171" t="s">
        <v>1546</v>
      </c>
      <c r="W501" s="171" t="s">
        <v>111</v>
      </c>
      <c r="X501" s="176">
        <f t="shared" si="360"/>
        <v>1</v>
      </c>
      <c r="Y501" s="171" t="s">
        <v>83</v>
      </c>
      <c r="Z501" s="176">
        <f t="shared" si="361"/>
        <v>6</v>
      </c>
      <c r="AA501" s="171" t="s">
        <v>153</v>
      </c>
      <c r="AB501" s="176">
        <f t="shared" si="362"/>
        <v>0</v>
      </c>
      <c r="AC501" s="171" t="s">
        <v>85</v>
      </c>
      <c r="AD501" s="176">
        <f t="shared" si="363"/>
        <v>4</v>
      </c>
      <c r="AE501" s="171" t="s">
        <v>86</v>
      </c>
      <c r="AF501" s="176" cm="1">
        <f t="array" ref="AF501">IF(OR(AE501="/",AE501=""),"/",IF(ISNUMBER(SEARCH("普通",AE501)),0,IF(ISNUMBER(SEARCH("专用",AE501)),4,IF(ISNUMBER(SEARCH("定制",AE501)),7,IF(ISNUMBER(SEARCH("多个定制",AE501)),9,””)))))</f>
        <v>4</v>
      </c>
      <c r="AG501" s="176">
        <f t="shared" si="364"/>
        <v>15</v>
      </c>
      <c r="AH501" s="176" t="str">
        <f t="shared" si="365"/>
        <v>中Medium</v>
      </c>
      <c r="AI501" s="176" t="s">
        <v>112</v>
      </c>
      <c r="AJ501" s="176" t="str">
        <f t="shared" si="330"/>
        <v>消除
Avoiding</v>
      </c>
      <c r="AK501" s="171" t="s">
        <v>1547</v>
      </c>
      <c r="AL501" s="177" t="s">
        <v>1548</v>
      </c>
      <c r="AM501" s="180" t="s">
        <v>1549</v>
      </c>
      <c r="AN501" s="178" t="s">
        <v>1550</v>
      </c>
      <c r="AO501" s="178" t="s">
        <v>1551</v>
      </c>
    </row>
    <row r="502" s="116" customFormat="1" ht="17" customHeight="1" spans="1:41">
      <c r="A502" s="171">
        <v>499</v>
      </c>
      <c r="B502" s="179"/>
      <c r="C502" s="179"/>
      <c r="D502" s="179"/>
      <c r="E502" s="171"/>
      <c r="F502" s="171"/>
      <c r="G502" s="171"/>
      <c r="H502" s="171"/>
      <c r="I502" s="171" t="s">
        <v>73</v>
      </c>
      <c r="J502" s="171"/>
      <c r="K502" s="173" t="s">
        <v>1552</v>
      </c>
      <c r="L502" s="173" t="s">
        <v>1553</v>
      </c>
      <c r="M502" s="173" t="s">
        <v>1503</v>
      </c>
      <c r="N502" s="174" t="s">
        <v>77</v>
      </c>
      <c r="O502" s="174" t="s">
        <v>77</v>
      </c>
      <c r="P502" s="174" t="s">
        <v>77</v>
      </c>
      <c r="Q502" s="174" t="s">
        <v>96</v>
      </c>
      <c r="R502" s="174" t="str">
        <f t="shared" si="359"/>
        <v>中等Medium</v>
      </c>
      <c r="S502" s="175" t="s">
        <v>96</v>
      </c>
      <c r="T502" s="175" t="s">
        <v>1554</v>
      </c>
      <c r="U502" s="175" t="s">
        <v>1505</v>
      </c>
      <c r="V502" s="171" t="s">
        <v>1555</v>
      </c>
      <c r="W502" s="171" t="s">
        <v>82</v>
      </c>
      <c r="X502" s="176">
        <f t="shared" si="360"/>
        <v>0</v>
      </c>
      <c r="Y502" s="171" t="s">
        <v>83</v>
      </c>
      <c r="Z502" s="176">
        <f t="shared" si="361"/>
        <v>6</v>
      </c>
      <c r="AA502" s="171" t="s">
        <v>153</v>
      </c>
      <c r="AB502" s="176">
        <f t="shared" si="362"/>
        <v>0</v>
      </c>
      <c r="AC502" s="171" t="s">
        <v>85</v>
      </c>
      <c r="AD502" s="176">
        <f t="shared" si="363"/>
        <v>4</v>
      </c>
      <c r="AE502" s="171" t="s">
        <v>86</v>
      </c>
      <c r="AF502" s="176" cm="1">
        <f t="array" ref="AF502">IF(OR(AE502="/",AE502=""),"/",IF(ISNUMBER(SEARCH("普通",AE502)),0,IF(ISNUMBER(SEARCH("专用",AE502)),4,IF(ISNUMBER(SEARCH("定制",AE502)),7,IF(ISNUMBER(SEARCH("多个定制",AE502)),9,””)))))</f>
        <v>4</v>
      </c>
      <c r="AG502" s="176">
        <f t="shared" si="364"/>
        <v>14</v>
      </c>
      <c r="AH502" s="176" t="str">
        <f t="shared" si="365"/>
        <v>中Medium</v>
      </c>
      <c r="AI502" s="176" t="s">
        <v>87</v>
      </c>
      <c r="AJ502" s="176" t="str">
        <f t="shared" si="330"/>
        <v>降低
Reucing</v>
      </c>
      <c r="AK502" s="171" t="s">
        <v>1556</v>
      </c>
      <c r="AL502" s="177" t="s">
        <v>1508</v>
      </c>
      <c r="AM502" s="180" t="s">
        <v>1557</v>
      </c>
      <c r="AN502" s="178" t="s">
        <v>1510</v>
      </c>
      <c r="AO502" s="178" t="s">
        <v>1511</v>
      </c>
    </row>
    <row r="503" s="116" customFormat="1" ht="17" customHeight="1" spans="1:41">
      <c r="A503" s="171">
        <v>500</v>
      </c>
      <c r="B503" s="179"/>
      <c r="C503" s="179"/>
      <c r="D503" s="179"/>
      <c r="E503" s="171"/>
      <c r="F503" s="171"/>
      <c r="G503" s="171" t="s">
        <v>73</v>
      </c>
      <c r="H503" s="171"/>
      <c r="I503" s="171"/>
      <c r="J503" s="171"/>
      <c r="K503" s="173" t="s">
        <v>1558</v>
      </c>
      <c r="L503" s="173" t="s">
        <v>1559</v>
      </c>
      <c r="M503" s="173" t="s">
        <v>1492</v>
      </c>
      <c r="N503" s="174" t="s">
        <v>77</v>
      </c>
      <c r="O503" s="174" t="s">
        <v>77</v>
      </c>
      <c r="P503" s="174" t="s">
        <v>77</v>
      </c>
      <c r="Q503" s="174" t="s">
        <v>96</v>
      </c>
      <c r="R503" s="174" t="str">
        <f t="shared" si="359"/>
        <v>中等Medium</v>
      </c>
      <c r="S503" s="175" t="s">
        <v>96</v>
      </c>
      <c r="T503" s="175" t="s">
        <v>1560</v>
      </c>
      <c r="U503" s="175" t="s">
        <v>1494</v>
      </c>
      <c r="V503" s="171" t="s">
        <v>1561</v>
      </c>
      <c r="W503" s="171" t="s">
        <v>111</v>
      </c>
      <c r="X503" s="176">
        <f t="shared" si="360"/>
        <v>1</v>
      </c>
      <c r="Y503" s="171" t="s">
        <v>83</v>
      </c>
      <c r="Z503" s="176">
        <f t="shared" si="361"/>
        <v>6</v>
      </c>
      <c r="AA503" s="171" t="s">
        <v>153</v>
      </c>
      <c r="AB503" s="176">
        <f t="shared" si="362"/>
        <v>0</v>
      </c>
      <c r="AC503" s="171" t="s">
        <v>85</v>
      </c>
      <c r="AD503" s="176">
        <f t="shared" si="363"/>
        <v>4</v>
      </c>
      <c r="AE503" s="171" t="s">
        <v>86</v>
      </c>
      <c r="AF503" s="176" cm="1">
        <f t="array" ref="AF503">IF(OR(AE503="/",AE503=""),"/",IF(ISNUMBER(SEARCH("普通",AE503)),0,IF(ISNUMBER(SEARCH("专用",AE503)),4,IF(ISNUMBER(SEARCH("定制",AE503)),7,IF(ISNUMBER(SEARCH("多个定制",AE503)),9,””)))))</f>
        <v>4</v>
      </c>
      <c r="AG503" s="176">
        <f t="shared" si="364"/>
        <v>15</v>
      </c>
      <c r="AH503" s="176" t="str">
        <f t="shared" si="365"/>
        <v>中Medium</v>
      </c>
      <c r="AI503" s="176" t="s">
        <v>87</v>
      </c>
      <c r="AJ503" s="176" t="str">
        <f t="shared" si="330"/>
        <v>降低
Reucing</v>
      </c>
      <c r="AK503" s="171" t="s">
        <v>1562</v>
      </c>
      <c r="AL503" s="177" t="s">
        <v>1497</v>
      </c>
      <c r="AM503" s="180" t="s">
        <v>1563</v>
      </c>
      <c r="AN503" s="178" t="s">
        <v>1499</v>
      </c>
      <c r="AO503" s="178" t="s">
        <v>1500</v>
      </c>
    </row>
    <row r="504" s="116" customFormat="1" ht="17" customHeight="1" spans="1:41">
      <c r="A504" s="171">
        <v>501</v>
      </c>
      <c r="B504" s="179"/>
      <c r="C504" s="179"/>
      <c r="D504" s="179"/>
      <c r="E504" s="171"/>
      <c r="F504" s="171"/>
      <c r="G504" s="171"/>
      <c r="H504" s="171"/>
      <c r="I504" s="171"/>
      <c r="J504" s="171" t="s">
        <v>73</v>
      </c>
      <c r="K504" s="173" t="s">
        <v>1564</v>
      </c>
      <c r="L504" s="173" t="s">
        <v>1565</v>
      </c>
      <c r="M504" s="173" t="s">
        <v>1514</v>
      </c>
      <c r="N504" s="174" t="s">
        <v>77</v>
      </c>
      <c r="O504" s="174" t="s">
        <v>77</v>
      </c>
      <c r="P504" s="174" t="s">
        <v>77</v>
      </c>
      <c r="Q504" s="174" t="s">
        <v>77</v>
      </c>
      <c r="R504" s="174" t="str">
        <f t="shared" si="359"/>
        <v>可忽略不计Negligible</v>
      </c>
      <c r="S504" s="175" t="s">
        <v>77</v>
      </c>
      <c r="T504" s="175" t="s">
        <v>1566</v>
      </c>
      <c r="U504" s="175" t="s">
        <v>1516</v>
      </c>
      <c r="V504" s="171" t="s">
        <v>1567</v>
      </c>
      <c r="W504" s="171" t="s">
        <v>111</v>
      </c>
      <c r="X504" s="176">
        <f t="shared" si="360"/>
        <v>1</v>
      </c>
      <c r="Y504" s="171" t="s">
        <v>83</v>
      </c>
      <c r="Z504" s="176">
        <f t="shared" si="361"/>
        <v>6</v>
      </c>
      <c r="AA504" s="171" t="s">
        <v>153</v>
      </c>
      <c r="AB504" s="176">
        <f t="shared" si="362"/>
        <v>0</v>
      </c>
      <c r="AC504" s="171" t="s">
        <v>85</v>
      </c>
      <c r="AD504" s="176">
        <f t="shared" si="363"/>
        <v>4</v>
      </c>
      <c r="AE504" s="171" t="s">
        <v>86</v>
      </c>
      <c r="AF504" s="176" cm="1">
        <f t="array" ref="AF504">IF(OR(AE504="/",AE504=""),"/",IF(ISNUMBER(SEARCH("普通",AE504)),0,IF(ISNUMBER(SEARCH("专用",AE504)),4,IF(ISNUMBER(SEARCH("定制",AE504)),7,IF(ISNUMBER(SEARCH("多个定制",AE504)),9,””)))))</f>
        <v>4</v>
      </c>
      <c r="AG504" s="176">
        <f t="shared" si="364"/>
        <v>15</v>
      </c>
      <c r="AH504" s="176" t="str">
        <f t="shared" si="365"/>
        <v>中Medium</v>
      </c>
      <c r="AI504" s="176" t="s">
        <v>934</v>
      </c>
      <c r="AJ504" s="176" t="str">
        <f t="shared" si="330"/>
        <v>保留
Retaining</v>
      </c>
      <c r="AK504" s="171" t="s">
        <v>145</v>
      </c>
      <c r="AL504" s="177" t="s">
        <v>145</v>
      </c>
      <c r="AM504" s="171" t="s">
        <v>145</v>
      </c>
      <c r="AN504" s="178" t="s">
        <v>1488</v>
      </c>
      <c r="AO504" s="178" t="s">
        <v>1521</v>
      </c>
    </row>
    <row r="505" s="116" customFormat="1" ht="17" customHeight="1" spans="1:41">
      <c r="A505" s="171">
        <v>502</v>
      </c>
      <c r="B505" s="181"/>
      <c r="C505" s="181"/>
      <c r="D505" s="181"/>
      <c r="E505" s="171"/>
      <c r="F505" s="171"/>
      <c r="G505" s="171"/>
      <c r="H505" s="171"/>
      <c r="I505" s="171" t="s">
        <v>73</v>
      </c>
      <c r="J505" s="171"/>
      <c r="K505" s="173" t="s">
        <v>1568</v>
      </c>
      <c r="L505" s="173" t="s">
        <v>1569</v>
      </c>
      <c r="M505" s="173" t="s">
        <v>1570</v>
      </c>
      <c r="N505" s="174" t="s">
        <v>77</v>
      </c>
      <c r="O505" s="174" t="s">
        <v>96</v>
      </c>
      <c r="P505" s="174" t="s">
        <v>96</v>
      </c>
      <c r="Q505" s="174" t="s">
        <v>96</v>
      </c>
      <c r="R505" s="174" t="str">
        <f t="shared" si="359"/>
        <v>中等Medium</v>
      </c>
      <c r="S505" s="175" t="s">
        <v>96</v>
      </c>
      <c r="T505" s="175" t="s">
        <v>1571</v>
      </c>
      <c r="U505" s="175" t="s">
        <v>1572</v>
      </c>
      <c r="V505" s="171" t="s">
        <v>1573</v>
      </c>
      <c r="W505" s="171" t="s">
        <v>82</v>
      </c>
      <c r="X505" s="176">
        <f t="shared" si="360"/>
        <v>0</v>
      </c>
      <c r="Y505" s="171" t="s">
        <v>83</v>
      </c>
      <c r="Z505" s="176">
        <f t="shared" si="361"/>
        <v>6</v>
      </c>
      <c r="AA505" s="171" t="s">
        <v>153</v>
      </c>
      <c r="AB505" s="176">
        <f t="shared" si="362"/>
        <v>0</v>
      </c>
      <c r="AC505" s="171" t="s">
        <v>85</v>
      </c>
      <c r="AD505" s="176">
        <f t="shared" si="363"/>
        <v>4</v>
      </c>
      <c r="AE505" s="171" t="s">
        <v>210</v>
      </c>
      <c r="AF505" s="176" cm="1">
        <f t="array" ref="AF505">IF(OR(AE505="/",AE505=""),"/",IF(ISNUMBER(SEARCH("普通",AE505)),0,IF(ISNUMBER(SEARCH("专用",AE505)),4,IF(ISNUMBER(SEARCH("定制",AE505)),7,IF(ISNUMBER(SEARCH("多个定制",AE505)),9,””)))))</f>
        <v>0</v>
      </c>
      <c r="AG505" s="176">
        <f t="shared" si="364"/>
        <v>10</v>
      </c>
      <c r="AH505" s="176" t="str">
        <f t="shared" si="365"/>
        <v>高High</v>
      </c>
      <c r="AI505" s="176" t="s">
        <v>87</v>
      </c>
      <c r="AJ505" s="176" t="str">
        <f t="shared" si="330"/>
        <v>降低
Reucing</v>
      </c>
      <c r="AK505" s="171" t="s">
        <v>1574</v>
      </c>
      <c r="AL505" s="177" t="s">
        <v>1575</v>
      </c>
      <c r="AM505" s="180" t="s">
        <v>1576</v>
      </c>
      <c r="AN505" s="178" t="s">
        <v>1577</v>
      </c>
      <c r="AO505" s="178" t="s">
        <v>1578</v>
      </c>
    </row>
    <row r="506" s="116" customFormat="1" ht="17" customHeight="1" spans="1:41">
      <c r="A506" s="171">
        <v>503</v>
      </c>
      <c r="B506" s="172" t="s">
        <v>1579</v>
      </c>
      <c r="C506" s="171" t="s">
        <v>1439</v>
      </c>
      <c r="D506" s="173" t="s">
        <v>1580</v>
      </c>
      <c r="E506" s="171" t="s">
        <v>73</v>
      </c>
      <c r="F506" s="171"/>
      <c r="G506" s="171"/>
      <c r="H506" s="171"/>
      <c r="I506" s="171"/>
      <c r="J506" s="171"/>
      <c r="K506" s="173" t="s">
        <v>1441</v>
      </c>
      <c r="L506" s="173" t="s">
        <v>1581</v>
      </c>
      <c r="M506" s="173" t="s">
        <v>1443</v>
      </c>
      <c r="N506" s="174" t="s">
        <v>77</v>
      </c>
      <c r="O506" s="174" t="s">
        <v>77</v>
      </c>
      <c r="P506" s="174" t="s">
        <v>78</v>
      </c>
      <c r="Q506" s="174" t="s">
        <v>96</v>
      </c>
      <c r="R506" s="174" t="str">
        <f t="shared" si="359"/>
        <v>主要Major</v>
      </c>
      <c r="S506" s="175" t="s">
        <v>78</v>
      </c>
      <c r="T506" s="175" t="s">
        <v>1444</v>
      </c>
      <c r="U506" s="175" t="s">
        <v>1445</v>
      </c>
      <c r="V506" s="171" t="s">
        <v>1446</v>
      </c>
      <c r="W506" s="171" t="s">
        <v>142</v>
      </c>
      <c r="X506" s="176">
        <f t="shared" si="360"/>
        <v>4</v>
      </c>
      <c r="Y506" s="171" t="s">
        <v>83</v>
      </c>
      <c r="Z506" s="176">
        <f t="shared" si="361"/>
        <v>6</v>
      </c>
      <c r="AA506" s="171" t="s">
        <v>153</v>
      </c>
      <c r="AB506" s="176">
        <f t="shared" si="362"/>
        <v>0</v>
      </c>
      <c r="AC506" s="171" t="s">
        <v>85</v>
      </c>
      <c r="AD506" s="176">
        <f t="shared" si="363"/>
        <v>4</v>
      </c>
      <c r="AE506" s="171" t="s">
        <v>86</v>
      </c>
      <c r="AF506" s="176" cm="1">
        <f t="array" ref="AF506">IF(OR(AE506="/",AE506=""),"/",IF(ISNUMBER(SEARCH("普通",AE506)),0,IF(ISNUMBER(SEARCH("专用",AE506)),4,IF(ISNUMBER(SEARCH("定制",AE506)),7,IF(ISNUMBER(SEARCH("多个定制",AE506)),9,””)))))</f>
        <v>4</v>
      </c>
      <c r="AG506" s="176">
        <f t="shared" si="364"/>
        <v>18</v>
      </c>
      <c r="AH506" s="176" t="str">
        <f t="shared" si="365"/>
        <v>中Medium</v>
      </c>
      <c r="AI506" s="176" t="s">
        <v>87</v>
      </c>
      <c r="AJ506" s="176" t="str">
        <f t="shared" si="330"/>
        <v>降低
Reucing</v>
      </c>
      <c r="AK506" s="171" t="s">
        <v>1447</v>
      </c>
      <c r="AL506" s="177" t="s">
        <v>1448</v>
      </c>
      <c r="AM506" s="180" t="s">
        <v>1449</v>
      </c>
      <c r="AN506" s="178" t="s">
        <v>1450</v>
      </c>
      <c r="AO506" s="178" t="s">
        <v>1451</v>
      </c>
    </row>
    <row r="507" s="116" customFormat="1" ht="17" customHeight="1" spans="1:41">
      <c r="A507" s="171">
        <v>504</v>
      </c>
      <c r="B507" s="179"/>
      <c r="C507" s="179"/>
      <c r="D507" s="179"/>
      <c r="E507" s="171" t="s">
        <v>73</v>
      </c>
      <c r="F507" s="171"/>
      <c r="G507" s="171"/>
      <c r="H507" s="171"/>
      <c r="I507" s="171"/>
      <c r="J507" s="171"/>
      <c r="K507" s="173" t="s">
        <v>1452</v>
      </c>
      <c r="L507" s="173" t="s">
        <v>1581</v>
      </c>
      <c r="M507" s="173" t="s">
        <v>1453</v>
      </c>
      <c r="N507" s="174" t="s">
        <v>77</v>
      </c>
      <c r="O507" s="174" t="s">
        <v>77</v>
      </c>
      <c r="P507" s="174" t="s">
        <v>77</v>
      </c>
      <c r="Q507" s="174" t="s">
        <v>96</v>
      </c>
      <c r="R507" s="174" t="str">
        <f t="shared" si="359"/>
        <v>中等Medium</v>
      </c>
      <c r="S507" s="175" t="s">
        <v>96</v>
      </c>
      <c r="T507" s="175" t="s">
        <v>1454</v>
      </c>
      <c r="U507" s="175" t="s">
        <v>1455</v>
      </c>
      <c r="V507" s="171" t="s">
        <v>1456</v>
      </c>
      <c r="W507" s="171" t="s">
        <v>82</v>
      </c>
      <c r="X507" s="176">
        <f t="shared" si="360"/>
        <v>0</v>
      </c>
      <c r="Y507" s="171" t="s">
        <v>177</v>
      </c>
      <c r="Z507" s="176">
        <f t="shared" si="361"/>
        <v>3</v>
      </c>
      <c r="AA507" s="171" t="s">
        <v>153</v>
      </c>
      <c r="AB507" s="176">
        <f t="shared" si="362"/>
        <v>0</v>
      </c>
      <c r="AC507" s="171" t="s">
        <v>191</v>
      </c>
      <c r="AD507" s="176">
        <f t="shared" si="363"/>
        <v>1</v>
      </c>
      <c r="AE507" s="171" t="s">
        <v>210</v>
      </c>
      <c r="AF507" s="176" cm="1">
        <f t="array" ref="AF507">IF(OR(AE507="/",AE507=""),"/",IF(ISNUMBER(SEARCH("普通",AE507)),0,IF(ISNUMBER(SEARCH("专用",AE507)),4,IF(ISNUMBER(SEARCH("定制",AE507)),7,IF(ISNUMBER(SEARCH("多个定制",AE507)),9,””)))))</f>
        <v>0</v>
      </c>
      <c r="AG507" s="176">
        <f t="shared" si="364"/>
        <v>4</v>
      </c>
      <c r="AH507" s="176" t="str">
        <f t="shared" si="365"/>
        <v>高High</v>
      </c>
      <c r="AI507" s="176" t="s">
        <v>87</v>
      </c>
      <c r="AJ507" s="176" t="str">
        <f t="shared" si="330"/>
        <v>降低
Reucing</v>
      </c>
      <c r="AK507" s="171" t="s">
        <v>1457</v>
      </c>
      <c r="AL507" s="177" t="s">
        <v>1458</v>
      </c>
      <c r="AM507" s="180" t="s">
        <v>101</v>
      </c>
      <c r="AN507" s="178" t="s">
        <v>592</v>
      </c>
      <c r="AO507" s="178" t="s">
        <v>1264</v>
      </c>
    </row>
    <row r="508" s="116" customFormat="1" ht="17" customHeight="1" spans="1:41">
      <c r="A508" s="171">
        <v>505</v>
      </c>
      <c r="B508" s="179"/>
      <c r="C508" s="179"/>
      <c r="D508" s="179"/>
      <c r="E508" s="171" t="s">
        <v>73</v>
      </c>
      <c r="F508" s="171"/>
      <c r="G508" s="171"/>
      <c r="H508" s="171"/>
      <c r="I508" s="171"/>
      <c r="J508" s="171"/>
      <c r="K508" s="173" t="s">
        <v>1459</v>
      </c>
      <c r="L508" s="173" t="s">
        <v>1581</v>
      </c>
      <c r="M508" s="173" t="s">
        <v>1460</v>
      </c>
      <c r="N508" s="174" t="s">
        <v>77</v>
      </c>
      <c r="O508" s="174" t="s">
        <v>77</v>
      </c>
      <c r="P508" s="174" t="s">
        <v>77</v>
      </c>
      <c r="Q508" s="174" t="s">
        <v>96</v>
      </c>
      <c r="R508" s="174" t="str">
        <f t="shared" si="359"/>
        <v>中等Medium</v>
      </c>
      <c r="S508" s="175" t="s">
        <v>96</v>
      </c>
      <c r="T508" s="175" t="s">
        <v>1461</v>
      </c>
      <c r="U508" s="175" t="s">
        <v>1462</v>
      </c>
      <c r="V508" s="171" t="s">
        <v>1463</v>
      </c>
      <c r="W508" s="171" t="s">
        <v>82</v>
      </c>
      <c r="X508" s="176">
        <f t="shared" si="360"/>
        <v>0</v>
      </c>
      <c r="Y508" s="171" t="s">
        <v>177</v>
      </c>
      <c r="Z508" s="176">
        <f t="shared" si="361"/>
        <v>3</v>
      </c>
      <c r="AA508" s="171" t="s">
        <v>153</v>
      </c>
      <c r="AB508" s="176">
        <f t="shared" si="362"/>
        <v>0</v>
      </c>
      <c r="AC508" s="171" t="s">
        <v>191</v>
      </c>
      <c r="AD508" s="176">
        <f t="shared" si="363"/>
        <v>1</v>
      </c>
      <c r="AE508" s="171" t="s">
        <v>210</v>
      </c>
      <c r="AF508" s="176" cm="1">
        <f t="array" ref="AF508">IF(OR(AE508="/",AE508=""),"/",IF(ISNUMBER(SEARCH("普通",AE508)),0,IF(ISNUMBER(SEARCH("专用",AE508)),4,IF(ISNUMBER(SEARCH("定制",AE508)),7,IF(ISNUMBER(SEARCH("多个定制",AE508)),9,””)))))</f>
        <v>0</v>
      </c>
      <c r="AG508" s="176">
        <f t="shared" si="364"/>
        <v>4</v>
      </c>
      <c r="AH508" s="176" t="str">
        <f t="shared" si="365"/>
        <v>高High</v>
      </c>
      <c r="AI508" s="176" t="s">
        <v>87</v>
      </c>
      <c r="AJ508" s="176" t="str">
        <f t="shared" si="330"/>
        <v>降低
Reucing</v>
      </c>
      <c r="AK508" s="171" t="s">
        <v>1464</v>
      </c>
      <c r="AL508" s="177" t="s">
        <v>1465</v>
      </c>
      <c r="AM508" s="180" t="s">
        <v>1466</v>
      </c>
      <c r="AN508" s="178" t="s">
        <v>1467</v>
      </c>
      <c r="AO508" s="178" t="s">
        <v>1468</v>
      </c>
    </row>
    <row r="509" s="116" customFormat="1" ht="17" customHeight="1" spans="1:41">
      <c r="A509" s="171">
        <v>506</v>
      </c>
      <c r="B509" s="179"/>
      <c r="C509" s="179"/>
      <c r="D509" s="179"/>
      <c r="E509" s="171" t="s">
        <v>73</v>
      </c>
      <c r="F509" s="171"/>
      <c r="G509" s="171"/>
      <c r="H509" s="171"/>
      <c r="I509" s="171"/>
      <c r="J509" s="171"/>
      <c r="K509" s="173" t="s">
        <v>1469</v>
      </c>
      <c r="L509" s="173" t="s">
        <v>1581</v>
      </c>
      <c r="M509" s="173" t="s">
        <v>1470</v>
      </c>
      <c r="N509" s="174" t="s">
        <v>77</v>
      </c>
      <c r="O509" s="174" t="s">
        <v>77</v>
      </c>
      <c r="P509" s="174" t="s">
        <v>77</v>
      </c>
      <c r="Q509" s="174" t="s">
        <v>96</v>
      </c>
      <c r="R509" s="174" t="str">
        <f t="shared" si="359"/>
        <v>中等Medium</v>
      </c>
      <c r="S509" s="175" t="s">
        <v>96</v>
      </c>
      <c r="T509" s="175" t="s">
        <v>1471</v>
      </c>
      <c r="U509" s="175" t="s">
        <v>1472</v>
      </c>
      <c r="V509" s="171" t="s">
        <v>1473</v>
      </c>
      <c r="W509" s="171" t="s">
        <v>82</v>
      </c>
      <c r="X509" s="176">
        <f t="shared" si="360"/>
        <v>0</v>
      </c>
      <c r="Y509" s="171" t="s">
        <v>177</v>
      </c>
      <c r="Z509" s="176">
        <f t="shared" si="361"/>
        <v>3</v>
      </c>
      <c r="AA509" s="171" t="s">
        <v>153</v>
      </c>
      <c r="AB509" s="176">
        <f t="shared" si="362"/>
        <v>0</v>
      </c>
      <c r="AC509" s="171" t="s">
        <v>191</v>
      </c>
      <c r="AD509" s="176">
        <f t="shared" si="363"/>
        <v>1</v>
      </c>
      <c r="AE509" s="171" t="s">
        <v>210</v>
      </c>
      <c r="AF509" s="176" cm="1">
        <f t="array" ref="AF509">IF(OR(AE509="/",AE509=""),"/",IF(ISNUMBER(SEARCH("普通",AE509)),0,IF(ISNUMBER(SEARCH("专用",AE509)),4,IF(ISNUMBER(SEARCH("定制",AE509)),7,IF(ISNUMBER(SEARCH("多个定制",AE509)),9,””)))))</f>
        <v>0</v>
      </c>
      <c r="AG509" s="176">
        <f t="shared" si="364"/>
        <v>4</v>
      </c>
      <c r="AH509" s="176" t="str">
        <f t="shared" si="365"/>
        <v>高High</v>
      </c>
      <c r="AI509" s="176" t="s">
        <v>87</v>
      </c>
      <c r="AJ509" s="176" t="str">
        <f t="shared" si="330"/>
        <v>降低
Reucing</v>
      </c>
      <c r="AK509" s="171" t="s">
        <v>1474</v>
      </c>
      <c r="AL509" s="177" t="s">
        <v>1475</v>
      </c>
      <c r="AM509" s="180" t="s">
        <v>1476</v>
      </c>
      <c r="AN509" s="178" t="s">
        <v>1477</v>
      </c>
      <c r="AO509" s="178" t="s">
        <v>1478</v>
      </c>
    </row>
    <row r="510" s="116" customFormat="1" ht="17" customHeight="1" spans="1:41">
      <c r="A510" s="171">
        <v>507</v>
      </c>
      <c r="B510" s="179"/>
      <c r="C510" s="179"/>
      <c r="D510" s="179"/>
      <c r="E510" s="171"/>
      <c r="F510" s="171" t="s">
        <v>73</v>
      </c>
      <c r="G510" s="171"/>
      <c r="H510" s="171"/>
      <c r="I510" s="171"/>
      <c r="J510" s="171"/>
      <c r="K510" s="173" t="s">
        <v>1479</v>
      </c>
      <c r="L510" s="173" t="s">
        <v>1582</v>
      </c>
      <c r="M510" s="173" t="s">
        <v>1481</v>
      </c>
      <c r="N510" s="174" t="s">
        <v>77</v>
      </c>
      <c r="O510" s="174" t="s">
        <v>77</v>
      </c>
      <c r="P510" s="174" t="s">
        <v>77</v>
      </c>
      <c r="Q510" s="174" t="s">
        <v>96</v>
      </c>
      <c r="R510" s="174" t="str">
        <f t="shared" si="359"/>
        <v>中等Medium</v>
      </c>
      <c r="S510" s="175" t="s">
        <v>96</v>
      </c>
      <c r="T510" s="175" t="s">
        <v>1482</v>
      </c>
      <c r="U510" s="175" t="s">
        <v>1483</v>
      </c>
      <c r="V510" s="171" t="s">
        <v>1484</v>
      </c>
      <c r="W510" s="171" t="s">
        <v>82</v>
      </c>
      <c r="X510" s="176">
        <f t="shared" si="360"/>
        <v>0</v>
      </c>
      <c r="Y510" s="171" t="s">
        <v>177</v>
      </c>
      <c r="Z510" s="176">
        <f t="shared" si="361"/>
        <v>3</v>
      </c>
      <c r="AA510" s="171" t="s">
        <v>153</v>
      </c>
      <c r="AB510" s="176">
        <f t="shared" si="362"/>
        <v>0</v>
      </c>
      <c r="AC510" s="171" t="s">
        <v>191</v>
      </c>
      <c r="AD510" s="176">
        <f t="shared" si="363"/>
        <v>1</v>
      </c>
      <c r="AE510" s="171" t="s">
        <v>210</v>
      </c>
      <c r="AF510" s="176" cm="1">
        <f t="array" ref="AF510">IF(OR(AE510="/",AE510=""),"/",IF(ISNUMBER(SEARCH("普通",AE510)),0,IF(ISNUMBER(SEARCH("专用",AE510)),4,IF(ISNUMBER(SEARCH("定制",AE510)),7,IF(ISNUMBER(SEARCH("多个定制",AE510)),9,””)))))</f>
        <v>0</v>
      </c>
      <c r="AG510" s="176">
        <f t="shared" si="364"/>
        <v>4</v>
      </c>
      <c r="AH510" s="176" t="str">
        <f t="shared" si="365"/>
        <v>高High</v>
      </c>
      <c r="AI510" s="176" t="s">
        <v>87</v>
      </c>
      <c r="AJ510" s="176" t="str">
        <f t="shared" si="330"/>
        <v>降低
Reucing</v>
      </c>
      <c r="AK510" s="171" t="s">
        <v>1485</v>
      </c>
      <c r="AL510" s="177" t="s">
        <v>1486</v>
      </c>
      <c r="AM510" s="180" t="s">
        <v>1487</v>
      </c>
      <c r="AN510" s="178" t="s">
        <v>1488</v>
      </c>
      <c r="AO510" s="178" t="s">
        <v>1489</v>
      </c>
    </row>
    <row r="511" s="116" customFormat="1" ht="17" customHeight="1" spans="1:41">
      <c r="A511" s="171">
        <v>508</v>
      </c>
      <c r="B511" s="179"/>
      <c r="C511" s="179"/>
      <c r="D511" s="179"/>
      <c r="E511" s="171"/>
      <c r="F511" s="171"/>
      <c r="G511" s="171" t="s">
        <v>73</v>
      </c>
      <c r="H511" s="171"/>
      <c r="I511" s="171"/>
      <c r="J511" s="171"/>
      <c r="K511" s="173" t="s">
        <v>1490</v>
      </c>
      <c r="L511" s="173" t="s">
        <v>1583</v>
      </c>
      <c r="M511" s="173" t="s">
        <v>1492</v>
      </c>
      <c r="N511" s="174" t="s">
        <v>77</v>
      </c>
      <c r="O511" s="174" t="s">
        <v>77</v>
      </c>
      <c r="P511" s="174" t="s">
        <v>77</v>
      </c>
      <c r="Q511" s="174" t="s">
        <v>96</v>
      </c>
      <c r="R511" s="174" t="str">
        <f t="shared" si="359"/>
        <v>中等Medium</v>
      </c>
      <c r="S511" s="175" t="s">
        <v>96</v>
      </c>
      <c r="T511" s="175" t="s">
        <v>1493</v>
      </c>
      <c r="U511" s="175" t="s">
        <v>1494</v>
      </c>
      <c r="V511" s="171" t="s">
        <v>1495</v>
      </c>
      <c r="W511" s="171" t="s">
        <v>111</v>
      </c>
      <c r="X511" s="176">
        <f t="shared" si="360"/>
        <v>1</v>
      </c>
      <c r="Y511" s="171" t="s">
        <v>83</v>
      </c>
      <c r="Z511" s="176">
        <f t="shared" si="361"/>
        <v>6</v>
      </c>
      <c r="AA511" s="171" t="s">
        <v>153</v>
      </c>
      <c r="AB511" s="176">
        <f t="shared" si="362"/>
        <v>0</v>
      </c>
      <c r="AC511" s="171" t="s">
        <v>191</v>
      </c>
      <c r="AD511" s="176">
        <f t="shared" si="363"/>
        <v>1</v>
      </c>
      <c r="AE511" s="171" t="s">
        <v>86</v>
      </c>
      <c r="AF511" s="176" cm="1">
        <f t="array" ref="AF511">IF(OR(AE511="/",AE511=""),"/",IF(ISNUMBER(SEARCH("普通",AE511)),0,IF(ISNUMBER(SEARCH("专用",AE511)),4,IF(ISNUMBER(SEARCH("定制",AE511)),7,IF(ISNUMBER(SEARCH("多个定制",AE511)),9,””)))))</f>
        <v>4</v>
      </c>
      <c r="AG511" s="176">
        <f t="shared" si="364"/>
        <v>12</v>
      </c>
      <c r="AH511" s="176" t="str">
        <f t="shared" si="365"/>
        <v>高High</v>
      </c>
      <c r="AI511" s="176" t="s">
        <v>87</v>
      </c>
      <c r="AJ511" s="176" t="str">
        <f t="shared" si="330"/>
        <v>降低
Reucing</v>
      </c>
      <c r="AK511" s="171" t="s">
        <v>1496</v>
      </c>
      <c r="AL511" s="177" t="s">
        <v>1497</v>
      </c>
      <c r="AM511" s="180" t="s">
        <v>1498</v>
      </c>
      <c r="AN511" s="178" t="s">
        <v>1499</v>
      </c>
      <c r="AO511" s="178" t="s">
        <v>1500</v>
      </c>
    </row>
    <row r="512" s="116" customFormat="1" ht="17" customHeight="1" spans="1:41">
      <c r="A512" s="171">
        <v>509</v>
      </c>
      <c r="B512" s="179"/>
      <c r="C512" s="179"/>
      <c r="D512" s="179"/>
      <c r="E512" s="171"/>
      <c r="F512" s="171"/>
      <c r="G512" s="171"/>
      <c r="H512" s="171" t="s">
        <v>183</v>
      </c>
      <c r="I512" s="171"/>
      <c r="J512" s="171"/>
      <c r="K512" s="173" t="s">
        <v>145</v>
      </c>
      <c r="L512" s="173" t="s">
        <v>145</v>
      </c>
      <c r="M512" s="173" t="s">
        <v>145</v>
      </c>
      <c r="N512" s="174" t="s">
        <v>145</v>
      </c>
      <c r="O512" s="174" t="s">
        <v>145</v>
      </c>
      <c r="P512" s="174" t="s">
        <v>145</v>
      </c>
      <c r="Q512" s="174" t="s">
        <v>145</v>
      </c>
      <c r="R512" s="174" t="s">
        <v>145</v>
      </c>
      <c r="S512" s="175" t="s">
        <v>145</v>
      </c>
      <c r="T512" s="175" t="s">
        <v>145</v>
      </c>
      <c r="U512" s="175" t="s">
        <v>145</v>
      </c>
      <c r="V512" s="171" t="s">
        <v>145</v>
      </c>
      <c r="W512" s="171" t="s">
        <v>145</v>
      </c>
      <c r="X512" s="176" t="s">
        <v>145</v>
      </c>
      <c r="Y512" s="171" t="s">
        <v>145</v>
      </c>
      <c r="Z512" s="176" t="s">
        <v>145</v>
      </c>
      <c r="AA512" s="171" t="s">
        <v>145</v>
      </c>
      <c r="AB512" s="176" t="s">
        <v>145</v>
      </c>
      <c r="AC512" s="171" t="s">
        <v>145</v>
      </c>
      <c r="AD512" s="176" t="s">
        <v>145</v>
      </c>
      <c r="AE512" s="171" t="s">
        <v>145</v>
      </c>
      <c r="AF512" s="176" t="str" cm="1">
        <f t="array" ref="AF512">IF(OR(AE512="/",AE512=""),"/",IF(ISNUMBER(SEARCH("普通",AE512)),0,IF(ISNUMBER(SEARCH("专用",AE512)),4,IF(ISNUMBER(SEARCH("定制",AE512)),7,IF(ISNUMBER(SEARCH("多个定制",AE512)),9,””)))))</f>
        <v>/</v>
      </c>
      <c r="AG512" s="176" t="s">
        <v>145</v>
      </c>
      <c r="AH512" s="176" t="s">
        <v>145</v>
      </c>
      <c r="AI512" s="176" t="s">
        <v>145</v>
      </c>
      <c r="AJ512" s="176" t="str">
        <f t="shared" si="330"/>
        <v>/</v>
      </c>
      <c r="AK512" s="171" t="s">
        <v>145</v>
      </c>
      <c r="AL512" s="177" t="s">
        <v>145</v>
      </c>
      <c r="AM512" s="177" t="s">
        <v>145</v>
      </c>
      <c r="AN512" s="177" t="s">
        <v>145</v>
      </c>
      <c r="AO512" s="177" t="s">
        <v>145</v>
      </c>
    </row>
    <row r="513" s="116" customFormat="1" ht="17" customHeight="1" spans="1:41">
      <c r="A513" s="171">
        <v>510</v>
      </c>
      <c r="B513" s="179"/>
      <c r="C513" s="179"/>
      <c r="D513" s="179"/>
      <c r="E513" s="171"/>
      <c r="F513" s="171"/>
      <c r="G513" s="171"/>
      <c r="H513" s="171"/>
      <c r="I513" s="171" t="s">
        <v>73</v>
      </c>
      <c r="J513" s="171"/>
      <c r="K513" s="173" t="s">
        <v>1501</v>
      </c>
      <c r="L513" s="173" t="s">
        <v>1584</v>
      </c>
      <c r="M513" s="173" t="s">
        <v>1503</v>
      </c>
      <c r="N513" s="174" t="s">
        <v>77</v>
      </c>
      <c r="O513" s="174" t="s">
        <v>77</v>
      </c>
      <c r="P513" s="174" t="s">
        <v>77</v>
      </c>
      <c r="Q513" s="174" t="s">
        <v>96</v>
      </c>
      <c r="R513" s="174" t="str">
        <f>IF(OR(N513="严重Severe",O513="严重Severe",P513="严重Severe",Q513="严重Severe"),"严重Severe",IF(OR(N513="主要Major",O513="主要Major",P513="主要Major",Q513="主要Major"),"主要Major",IF(OR(N513="中等Medium",O513="中等Medium",P513="中等Medium",Q513="中等Medium"),"中等Medium",IF(OR(N513="可忽略不计Negligible",O513="可忽略不计Negligible",P513="可忽略不计Negligible",Q513="可忽略不计Negligible"),"可忽略不计Negligible","/"))))</f>
        <v>中等Medium</v>
      </c>
      <c r="S513" s="175" t="s">
        <v>96</v>
      </c>
      <c r="T513" s="175" t="s">
        <v>1504</v>
      </c>
      <c r="U513" s="175" t="s">
        <v>1505</v>
      </c>
      <c r="V513" s="171" t="s">
        <v>1506</v>
      </c>
      <c r="W513" s="171" t="s">
        <v>82</v>
      </c>
      <c r="X513" s="176">
        <f t="shared" ref="X513:X515" si="366">IF(OR(W513="/",W513=""),"/",IF(ISNUMBER(SEARCH("1天",W513)),0,IF(ISNUMBER(SEARCH("一周",W513)),1,IF(ISNUMBER(SEARCH("1个月",W513)),4,IF(ISNUMBER(SEARCH("超过",W513)),19,IF(ISNUMBER(SEARCH("6个月",W513)),17,""))))))</f>
        <v>0</v>
      </c>
      <c r="Y513" s="171" t="s">
        <v>83</v>
      </c>
      <c r="Z513" s="176">
        <f t="shared" ref="Z513:Z515" si="367">IF(OR(Y513="/",Y513=""),"/",IF(ISNUMBER(SEARCH("新手",Y513)),0,IF(ISNUMBER(SEARCH("熟练",Y513)),3,IF(ISNUMBER(SEARCH("多位",Y513)),17,IF(ISNUMBER(SEARCH("专家",Y513)),6,"")))))</f>
        <v>6</v>
      </c>
      <c r="AA513" s="171" t="s">
        <v>153</v>
      </c>
      <c r="AB513" s="176">
        <f t="shared" ref="AB513:AB515" si="368">IF(OR(AA513="/",AA513=""),"/",IF(ISNUMBER(SEARCH("公开",AA513)),0,IF(ISNUMBER(SEARCH("限制性信息",AA513)),3,IF(ISNUMBER(SEARCH("机密信息",AA513)),7,IF(ISNUMBER(SEARCH("严格保密",AA513)),11,"")))))</f>
        <v>0</v>
      </c>
      <c r="AC513" s="171" t="s">
        <v>191</v>
      </c>
      <c r="AD513" s="176">
        <f t="shared" ref="AD513:AD515" si="369">IF(OR(AC513="/",AC513=""),"/",IF(ISNUMBER(SEARCH("无限制",AC513)),0,IF(ISNUMBER(SEARCH("容易",AC513)),1,IF(ISNUMBER(SEARCH("一般",AC513)),4,IF(ISNUMBER(SEARCH("困难",AC513)),10,"")))))</f>
        <v>1</v>
      </c>
      <c r="AE513" s="171" t="s">
        <v>86</v>
      </c>
      <c r="AF513" s="176" cm="1">
        <f t="array" ref="AF513">IF(OR(AE513="/",AE513=""),"/",IF(ISNUMBER(SEARCH("普通",AE513)),0,IF(ISNUMBER(SEARCH("专用",AE513)),4,IF(ISNUMBER(SEARCH("定制",AE513)),7,IF(ISNUMBER(SEARCH("多个定制",AE513)),9,””)))))</f>
        <v>4</v>
      </c>
      <c r="AG513" s="176">
        <f t="shared" ref="AG513:AG515" si="370">IF(OR(X513="/",Z513="/",AB513="/",AD513="/",AF513="/"),"/",X513+Z513+AB513+AD513+AF513)</f>
        <v>11</v>
      </c>
      <c r="AH513" s="176" t="str">
        <f t="shared" ref="AH513:AH515" si="371">IF(AND(AG513&gt;=0,AG513&lt;14),"高High",IF(AND(AG513&gt;=14,AG513&lt;20),"中Medium",IF(AND(AG513&gt;=20,AG513&lt;25),"低Low",IF(AND(AG513&gt;=25,AG513&lt;57),"非常低Very low",""))))</f>
        <v>高High</v>
      </c>
      <c r="AI513" s="176" t="s">
        <v>87</v>
      </c>
      <c r="AJ513" s="176" t="str">
        <f t="shared" si="330"/>
        <v>降低
Reucing</v>
      </c>
      <c r="AK513" s="171" t="s">
        <v>1507</v>
      </c>
      <c r="AL513" s="177" t="s">
        <v>1508</v>
      </c>
      <c r="AM513" s="180" t="s">
        <v>1509</v>
      </c>
      <c r="AN513" s="178" t="s">
        <v>1510</v>
      </c>
      <c r="AO513" s="178" t="s">
        <v>1511</v>
      </c>
    </row>
    <row r="514" s="116" customFormat="1" ht="17" customHeight="1" spans="1:41">
      <c r="A514" s="171">
        <v>511</v>
      </c>
      <c r="B514" s="181"/>
      <c r="C514" s="181"/>
      <c r="D514" s="181"/>
      <c r="E514" s="171"/>
      <c r="F514" s="171"/>
      <c r="G514" s="171"/>
      <c r="H514" s="171"/>
      <c r="I514" s="171"/>
      <c r="J514" s="171" t="s">
        <v>73</v>
      </c>
      <c r="K514" s="173" t="s">
        <v>1512</v>
      </c>
      <c r="L514" s="173" t="s">
        <v>1585</v>
      </c>
      <c r="M514" s="173" t="s">
        <v>1514</v>
      </c>
      <c r="N514" s="174" t="s">
        <v>77</v>
      </c>
      <c r="O514" s="174" t="s">
        <v>77</v>
      </c>
      <c r="P514" s="174" t="s">
        <v>77</v>
      </c>
      <c r="Q514" s="174" t="s">
        <v>96</v>
      </c>
      <c r="R514" s="174" t="str">
        <f>IF(OR(N514="严重Severe",O514="严重Severe",P514="严重Severe",Q514="严重Severe"),"严重Severe",IF(OR(N514="主要Major",O514="主要Major",P514="主要Major",Q514="主要Major"),"主要Major",IF(OR(N514="中等Medium",O514="中等Medium",P514="中等Medium",Q514="中等Medium"),"中等Medium",IF(OR(N514="可忽略不计Negligible",O514="可忽略不计Negligible",P514="可忽略不计Negligible",Q514="可忽略不计Negligible"),"可忽略不计Negligible","/"))))</f>
        <v>中等Medium</v>
      </c>
      <c r="S514" s="175" t="s">
        <v>96</v>
      </c>
      <c r="T514" s="175" t="s">
        <v>1515</v>
      </c>
      <c r="U514" s="175" t="s">
        <v>1516</v>
      </c>
      <c r="V514" s="171" t="s">
        <v>1517</v>
      </c>
      <c r="W514" s="171" t="s">
        <v>111</v>
      </c>
      <c r="X514" s="176">
        <f t="shared" si="366"/>
        <v>1</v>
      </c>
      <c r="Y514" s="171" t="s">
        <v>83</v>
      </c>
      <c r="Z514" s="176">
        <f t="shared" si="367"/>
        <v>6</v>
      </c>
      <c r="AA514" s="171" t="s">
        <v>153</v>
      </c>
      <c r="AB514" s="176">
        <f t="shared" si="368"/>
        <v>0</v>
      </c>
      <c r="AC514" s="171" t="s">
        <v>85</v>
      </c>
      <c r="AD514" s="176">
        <f t="shared" si="369"/>
        <v>4</v>
      </c>
      <c r="AE514" s="171" t="s">
        <v>86</v>
      </c>
      <c r="AF514" s="176" cm="1">
        <f t="array" ref="AF514">IF(OR(AE514="/",AE514=""),"/",IF(ISNUMBER(SEARCH("普通",AE514)),0,IF(ISNUMBER(SEARCH("专用",AE514)),4,IF(ISNUMBER(SEARCH("定制",AE514)),7,IF(ISNUMBER(SEARCH("多个定制",AE514)),9,””)))))</f>
        <v>4</v>
      </c>
      <c r="AG514" s="176">
        <f t="shared" si="370"/>
        <v>15</v>
      </c>
      <c r="AH514" s="176" t="str">
        <f t="shared" si="371"/>
        <v>中Medium</v>
      </c>
      <c r="AI514" s="176" t="s">
        <v>87</v>
      </c>
      <c r="AJ514" s="176" t="str">
        <f t="shared" si="330"/>
        <v>降低
Reucing</v>
      </c>
      <c r="AK514" s="171" t="s">
        <v>1518</v>
      </c>
      <c r="AL514" s="177" t="s">
        <v>1519</v>
      </c>
      <c r="AM514" s="180" t="s">
        <v>1520</v>
      </c>
      <c r="AN514" s="178" t="s">
        <v>1488</v>
      </c>
      <c r="AO514" s="178" t="s">
        <v>1521</v>
      </c>
    </row>
    <row r="515" s="117" customFormat="1" ht="17" customHeight="1" spans="1:41">
      <c r="A515" s="171">
        <v>512</v>
      </c>
      <c r="B515" s="201" t="s">
        <v>1586</v>
      </c>
      <c r="C515" s="182" t="s">
        <v>1439</v>
      </c>
      <c r="D515" s="184" t="s">
        <v>1587</v>
      </c>
      <c r="E515" s="182" t="s">
        <v>73</v>
      </c>
      <c r="F515" s="182"/>
      <c r="G515" s="182"/>
      <c r="H515" s="182"/>
      <c r="I515" s="182"/>
      <c r="J515" s="182"/>
      <c r="K515" s="184" t="s">
        <v>1588</v>
      </c>
      <c r="L515" s="184" t="s">
        <v>1589</v>
      </c>
      <c r="M515" s="184" t="s">
        <v>234</v>
      </c>
      <c r="N515" s="185" t="s">
        <v>77</v>
      </c>
      <c r="O515" s="185" t="s">
        <v>77</v>
      </c>
      <c r="P515" s="185" t="s">
        <v>77</v>
      </c>
      <c r="Q515" s="185" t="s">
        <v>96</v>
      </c>
      <c r="R515" s="185" t="str">
        <f>IF(OR(N515="严重Severe",O515="严重Severe",P515="严重Severe",Q515="严重Severe"),"严重Severe",IF(OR(N515="主要Major",O515="主要Major",P515="主要Major",Q515="主要Major"),"主要Major",IF(OR(N515="中等Medium",O515="中等Medium",P515="中等Medium",Q515="中等Medium"),"中等Medium",IF(OR(N515="可忽略不计Negligible",O515="可忽略不计Negligible",P515="可忽略不计Negligible",Q515="可忽略不计Negligible"),"可忽略不计Negligible","/"))))</f>
        <v>中等Medium</v>
      </c>
      <c r="S515" s="186" t="s">
        <v>96</v>
      </c>
      <c r="T515" s="186" t="s">
        <v>1590</v>
      </c>
      <c r="U515" s="202" t="s">
        <v>1591</v>
      </c>
      <c r="V515" s="182" t="s">
        <v>1592</v>
      </c>
      <c r="W515" s="182" t="s">
        <v>142</v>
      </c>
      <c r="X515" s="187">
        <f t="shared" si="366"/>
        <v>4</v>
      </c>
      <c r="Y515" s="182" t="s">
        <v>83</v>
      </c>
      <c r="Z515" s="187">
        <f t="shared" si="367"/>
        <v>6</v>
      </c>
      <c r="AA515" s="182" t="s">
        <v>84</v>
      </c>
      <c r="AB515" s="187">
        <f t="shared" si="368"/>
        <v>3</v>
      </c>
      <c r="AC515" s="182" t="s">
        <v>85</v>
      </c>
      <c r="AD515" s="187">
        <f t="shared" si="369"/>
        <v>4</v>
      </c>
      <c r="AE515" s="182" t="s">
        <v>86</v>
      </c>
      <c r="AF515" s="176" cm="1">
        <f t="array" ref="AF515">IF(OR(AE515="/",AE515=""),"/",IF(ISNUMBER(SEARCH("普通",AE515)),0,IF(ISNUMBER(SEARCH("专用",AE515)),4,IF(ISNUMBER(SEARCH("定制",AE515)),7,IF(ISNUMBER(SEARCH("多个定制",AE515)),9,””)))))</f>
        <v>4</v>
      </c>
      <c r="AG515" s="187">
        <f t="shared" si="370"/>
        <v>21</v>
      </c>
      <c r="AH515" s="187" t="str">
        <f t="shared" si="371"/>
        <v>低Low</v>
      </c>
      <c r="AI515" s="187" t="s">
        <v>144</v>
      </c>
      <c r="AJ515" s="176" t="str">
        <f t="shared" si="330"/>
        <v>保留
Retaining</v>
      </c>
      <c r="AK515" s="171" t="s">
        <v>145</v>
      </c>
      <c r="AL515" s="177" t="s">
        <v>145</v>
      </c>
      <c r="AM515" s="171" t="s">
        <v>145</v>
      </c>
      <c r="AN515" s="203" t="s">
        <v>392</v>
      </c>
      <c r="AO515" s="203" t="s">
        <v>1593</v>
      </c>
    </row>
    <row r="516" s="117" customFormat="1" ht="17" customHeight="1" spans="1:41">
      <c r="A516" s="171">
        <v>513</v>
      </c>
      <c r="B516" s="183"/>
      <c r="C516" s="183"/>
      <c r="D516" s="183"/>
      <c r="E516" s="182"/>
      <c r="F516" s="182" t="s">
        <v>183</v>
      </c>
      <c r="G516" s="182"/>
      <c r="H516" s="182"/>
      <c r="I516" s="182"/>
      <c r="J516" s="182"/>
      <c r="K516" s="184" t="s">
        <v>145</v>
      </c>
      <c r="L516" s="184" t="s">
        <v>145</v>
      </c>
      <c r="M516" s="184" t="s">
        <v>145</v>
      </c>
      <c r="N516" s="185" t="s">
        <v>145</v>
      </c>
      <c r="O516" s="185" t="s">
        <v>145</v>
      </c>
      <c r="P516" s="185" t="s">
        <v>145</v>
      </c>
      <c r="Q516" s="185" t="s">
        <v>145</v>
      </c>
      <c r="R516" s="185" t="s">
        <v>145</v>
      </c>
      <c r="S516" s="186" t="s">
        <v>145</v>
      </c>
      <c r="T516" s="186" t="s">
        <v>145</v>
      </c>
      <c r="U516" s="202" t="s">
        <v>145</v>
      </c>
      <c r="V516" s="182" t="s">
        <v>145</v>
      </c>
      <c r="W516" s="182" t="s">
        <v>145</v>
      </c>
      <c r="X516" s="187" t="s">
        <v>145</v>
      </c>
      <c r="Y516" s="182" t="s">
        <v>145</v>
      </c>
      <c r="Z516" s="187" t="s">
        <v>145</v>
      </c>
      <c r="AA516" s="182" t="s">
        <v>145</v>
      </c>
      <c r="AB516" s="187" t="s">
        <v>145</v>
      </c>
      <c r="AC516" s="182" t="s">
        <v>145</v>
      </c>
      <c r="AD516" s="187" t="s">
        <v>145</v>
      </c>
      <c r="AE516" s="182" t="s">
        <v>145</v>
      </c>
      <c r="AF516" s="176" t="str" cm="1">
        <f t="array" ref="AF516">IF(OR(AE516="/",AE516=""),"/",IF(ISNUMBER(SEARCH("普通",AE516)),0,IF(ISNUMBER(SEARCH("专用",AE516)),4,IF(ISNUMBER(SEARCH("定制",AE516)),7,IF(ISNUMBER(SEARCH("多个定制",AE516)),9,””)))))</f>
        <v>/</v>
      </c>
      <c r="AG516" s="187" t="s">
        <v>145</v>
      </c>
      <c r="AH516" s="187" t="s">
        <v>145</v>
      </c>
      <c r="AI516" s="187" t="s">
        <v>145</v>
      </c>
      <c r="AJ516" s="176" t="str">
        <f t="shared" si="330"/>
        <v>/</v>
      </c>
      <c r="AK516" s="182" t="s">
        <v>145</v>
      </c>
      <c r="AL516" s="177" t="s">
        <v>145</v>
      </c>
      <c r="AM516" s="177" t="s">
        <v>145</v>
      </c>
      <c r="AN516" s="177" t="s">
        <v>145</v>
      </c>
      <c r="AO516" s="177" t="s">
        <v>145</v>
      </c>
    </row>
    <row r="517" s="117" customFormat="1" ht="17" customHeight="1" spans="1:41">
      <c r="A517" s="171">
        <v>514</v>
      </c>
      <c r="B517" s="183"/>
      <c r="C517" s="183"/>
      <c r="D517" s="183"/>
      <c r="E517" s="182"/>
      <c r="F517" s="182"/>
      <c r="G517" s="182" t="s">
        <v>73</v>
      </c>
      <c r="H517" s="182"/>
      <c r="I517" s="182"/>
      <c r="J517" s="182"/>
      <c r="K517" s="184" t="s">
        <v>1594</v>
      </c>
      <c r="L517" s="184" t="s">
        <v>1595</v>
      </c>
      <c r="M517" s="184" t="s">
        <v>1596</v>
      </c>
      <c r="N517" s="185" t="s">
        <v>77</v>
      </c>
      <c r="O517" s="185" t="s">
        <v>77</v>
      </c>
      <c r="P517" s="185" t="s">
        <v>78</v>
      </c>
      <c r="Q517" s="185" t="s">
        <v>77</v>
      </c>
      <c r="R517" s="185" t="str">
        <f>IF(OR(N517="严重Severe",O517="严重Severe",P517="严重Severe",Q517="严重Severe"),"严重Severe",IF(OR(N517="主要Major",O517="主要Major",P517="主要Major",Q517="主要Major"),"主要Major",IF(OR(N517="中等Medium",O517="中等Medium",P517="中等Medium",Q517="中等Medium"),"中等Medium",IF(OR(N517="可忽略不计Negligible",O517="可忽略不计Negligible",P517="可忽略不计Negligible",Q517="可忽略不计Negligible"),"可忽略不计Negligible","/"))))</f>
        <v>主要Major</v>
      </c>
      <c r="S517" s="175" t="s">
        <v>78</v>
      </c>
      <c r="T517" s="186" t="s">
        <v>1597</v>
      </c>
      <c r="U517" s="202" t="s">
        <v>1598</v>
      </c>
      <c r="V517" s="182" t="s">
        <v>1599</v>
      </c>
      <c r="W517" s="182" t="s">
        <v>111</v>
      </c>
      <c r="X517" s="187">
        <f t="shared" ref="X517:X522" si="372">IF(OR(W517="/",W517=""),"/",IF(ISNUMBER(SEARCH("1天",W517)),0,IF(ISNUMBER(SEARCH("一周",W517)),1,IF(ISNUMBER(SEARCH("1个月",W517)),4,IF(ISNUMBER(SEARCH("超过",W517)),19,IF(ISNUMBER(SEARCH("6个月",W517)),17,""))))))</f>
        <v>1</v>
      </c>
      <c r="Y517" s="182" t="s">
        <v>83</v>
      </c>
      <c r="Z517" s="187">
        <f t="shared" ref="Z517:Z522" si="373">IF(OR(Y517="/",Y517=""),"/",IF(ISNUMBER(SEARCH("新手",Y517)),0,IF(ISNUMBER(SEARCH("熟练",Y517)),3,IF(ISNUMBER(SEARCH("多位",Y517)),17,IF(ISNUMBER(SEARCH("专家",Y517)),6,"")))))</f>
        <v>6</v>
      </c>
      <c r="AA517" s="182" t="s">
        <v>153</v>
      </c>
      <c r="AB517" s="187">
        <f t="shared" ref="AB517:AB522" si="374">IF(OR(AA517="/",AA517=""),"/",IF(ISNUMBER(SEARCH("公开",AA517)),0,IF(ISNUMBER(SEARCH("限制性信息",AA517)),3,IF(ISNUMBER(SEARCH("机密信息",AA517)),7,IF(ISNUMBER(SEARCH("严格保密",AA517)),11,"")))))</f>
        <v>0</v>
      </c>
      <c r="AC517" s="182" t="s">
        <v>558</v>
      </c>
      <c r="AD517" s="187">
        <f t="shared" ref="AD517:AD522" si="375">IF(OR(AC517="/",AC517=""),"/",IF(ISNUMBER(SEARCH("无限制",AC517)),0,IF(ISNUMBER(SEARCH("容易",AC517)),1,IF(ISNUMBER(SEARCH("一般",AC517)),4,IF(ISNUMBER(SEARCH("困难",AC517)),10,"")))))</f>
        <v>10</v>
      </c>
      <c r="AE517" s="182" t="s">
        <v>86</v>
      </c>
      <c r="AF517" s="176" cm="1">
        <f t="array" ref="AF517">IF(OR(AE517="/",AE517=""),"/",IF(ISNUMBER(SEARCH("普通",AE517)),0,IF(ISNUMBER(SEARCH("专用",AE517)),4,IF(ISNUMBER(SEARCH("定制",AE517)),7,IF(ISNUMBER(SEARCH("多个定制",AE517)),9,””)))))</f>
        <v>4</v>
      </c>
      <c r="AG517" s="187">
        <f t="shared" ref="AG517:AG522" si="376">IF(OR(X517="/",Z517="/",AB517="/",AD517="/",AF517="/"),"/",X517+Z517+AB517+AD517+AF517)</f>
        <v>21</v>
      </c>
      <c r="AH517" s="187" t="str">
        <f t="shared" ref="AH517:AH522" si="377">IF(AND(AG517&gt;=0,AG517&lt;14),"高High",IF(AND(AG517&gt;=14,AG517&lt;20),"中Medium",IF(AND(AG517&gt;=20,AG517&lt;25),"低Low",IF(AND(AG517&gt;=25,AG517&lt;57),"非常低Very low",""))))</f>
        <v>低Low</v>
      </c>
      <c r="AI517" s="187" t="s">
        <v>144</v>
      </c>
      <c r="AJ517" s="176" t="str">
        <f t="shared" si="330"/>
        <v>保留
Retaining</v>
      </c>
      <c r="AK517" s="171" t="s">
        <v>145</v>
      </c>
      <c r="AL517" s="177" t="s">
        <v>145</v>
      </c>
      <c r="AM517" s="171" t="s">
        <v>145</v>
      </c>
      <c r="AN517" s="203" t="s">
        <v>214</v>
      </c>
      <c r="AO517" s="203" t="s">
        <v>1600</v>
      </c>
    </row>
    <row r="518" s="117" customFormat="1" ht="17" customHeight="1" spans="1:41">
      <c r="A518" s="171">
        <v>515</v>
      </c>
      <c r="B518" s="183"/>
      <c r="C518" s="183"/>
      <c r="D518" s="183"/>
      <c r="E518" s="182"/>
      <c r="F518" s="182"/>
      <c r="G518" s="182"/>
      <c r="H518" s="182" t="s">
        <v>73</v>
      </c>
      <c r="I518" s="182"/>
      <c r="J518" s="182"/>
      <c r="K518" s="184" t="s">
        <v>1601</v>
      </c>
      <c r="L518" s="184" t="s">
        <v>1602</v>
      </c>
      <c r="M518" s="184" t="s">
        <v>166</v>
      </c>
      <c r="N518" s="185" t="s">
        <v>77</v>
      </c>
      <c r="O518" s="185" t="s">
        <v>77</v>
      </c>
      <c r="P518" s="185" t="s">
        <v>96</v>
      </c>
      <c r="Q518" s="185" t="s">
        <v>96</v>
      </c>
      <c r="R518" s="185" t="str">
        <f>IF(OR(N518="严重Severe",O518="严重Severe",P518="严重Severe",Q518="严重Severe"),"严重Severe",IF(OR(N518="主要Major",O518="主要Major",P518="主要Major",Q518="主要Major"),"主要Major",IF(OR(N518="中等Medium",O518="中等Medium",P518="中等Medium",Q518="中等Medium"),"中等Medium",IF(OR(N518="可忽略不计Negligible",O518="可忽略不计Negligible",P518="可忽略不计Negligible",Q518="可忽略不计Negligible"),"可忽略不计Negligible","/"))))</f>
        <v>中等Medium</v>
      </c>
      <c r="S518" s="186" t="s">
        <v>96</v>
      </c>
      <c r="T518" s="186" t="s">
        <v>1603</v>
      </c>
      <c r="U518" s="202" t="s">
        <v>1604</v>
      </c>
      <c r="V518" s="182" t="s">
        <v>1592</v>
      </c>
      <c r="W518" s="182" t="s">
        <v>142</v>
      </c>
      <c r="X518" s="187">
        <f t="shared" si="372"/>
        <v>4</v>
      </c>
      <c r="Y518" s="182" t="s">
        <v>83</v>
      </c>
      <c r="Z518" s="187">
        <f t="shared" si="373"/>
        <v>6</v>
      </c>
      <c r="AA518" s="182" t="s">
        <v>190</v>
      </c>
      <c r="AB518" s="187">
        <f t="shared" si="374"/>
        <v>7</v>
      </c>
      <c r="AC518" s="182" t="s">
        <v>191</v>
      </c>
      <c r="AD518" s="187">
        <f t="shared" si="375"/>
        <v>1</v>
      </c>
      <c r="AE518" s="182" t="s">
        <v>86</v>
      </c>
      <c r="AF518" s="176" cm="1">
        <f t="array" ref="AF518">IF(OR(AE518="/",AE518=""),"/",IF(ISNUMBER(SEARCH("普通",AE518)),0,IF(ISNUMBER(SEARCH("专用",AE518)),4,IF(ISNUMBER(SEARCH("定制",AE518)),7,IF(ISNUMBER(SEARCH("多个定制",AE518)),9,””)))))</f>
        <v>4</v>
      </c>
      <c r="AG518" s="187">
        <f t="shared" si="376"/>
        <v>22</v>
      </c>
      <c r="AH518" s="187" t="str">
        <f t="shared" si="377"/>
        <v>低Low</v>
      </c>
      <c r="AI518" s="187" t="s">
        <v>144</v>
      </c>
      <c r="AJ518" s="176" t="str">
        <f t="shared" si="330"/>
        <v>保留
Retaining</v>
      </c>
      <c r="AK518" s="171" t="s">
        <v>145</v>
      </c>
      <c r="AL518" s="177" t="s">
        <v>145</v>
      </c>
      <c r="AM518" s="171" t="s">
        <v>145</v>
      </c>
      <c r="AN518" s="203" t="s">
        <v>1605</v>
      </c>
      <c r="AO518" s="203" t="s">
        <v>1606</v>
      </c>
    </row>
    <row r="519" s="117" customFormat="1" ht="17" customHeight="1" spans="1:41">
      <c r="A519" s="171">
        <v>516</v>
      </c>
      <c r="B519" s="183"/>
      <c r="C519" s="183"/>
      <c r="D519" s="183"/>
      <c r="E519" s="182"/>
      <c r="F519" s="182"/>
      <c r="G519" s="182"/>
      <c r="H519" s="182"/>
      <c r="I519" s="182" t="s">
        <v>183</v>
      </c>
      <c r="J519" s="182"/>
      <c r="K519" s="184" t="s">
        <v>145</v>
      </c>
      <c r="L519" s="184" t="s">
        <v>145</v>
      </c>
      <c r="M519" s="184" t="s">
        <v>145</v>
      </c>
      <c r="N519" s="185" t="s">
        <v>145</v>
      </c>
      <c r="O519" s="185" t="s">
        <v>145</v>
      </c>
      <c r="P519" s="185" t="s">
        <v>145</v>
      </c>
      <c r="Q519" s="185" t="s">
        <v>145</v>
      </c>
      <c r="R519" s="185" t="s">
        <v>145</v>
      </c>
      <c r="S519" s="186" t="s">
        <v>145</v>
      </c>
      <c r="T519" s="186" t="s">
        <v>145</v>
      </c>
      <c r="U519" s="202" t="s">
        <v>145</v>
      </c>
      <c r="V519" s="182" t="s">
        <v>145</v>
      </c>
      <c r="W519" s="182" t="s">
        <v>145</v>
      </c>
      <c r="X519" s="187" t="s">
        <v>145</v>
      </c>
      <c r="Y519" s="182" t="s">
        <v>145</v>
      </c>
      <c r="Z519" s="187" t="s">
        <v>145</v>
      </c>
      <c r="AA519" s="182" t="s">
        <v>145</v>
      </c>
      <c r="AB519" s="187" t="s">
        <v>145</v>
      </c>
      <c r="AC519" s="182" t="s">
        <v>145</v>
      </c>
      <c r="AD519" s="187" t="s">
        <v>145</v>
      </c>
      <c r="AE519" s="182" t="s">
        <v>145</v>
      </c>
      <c r="AF519" s="176" t="str" cm="1">
        <f t="array" ref="AF519">IF(OR(AE519="/",AE519=""),"/",IF(ISNUMBER(SEARCH("普通",AE519)),0,IF(ISNUMBER(SEARCH("专用",AE519)),4,IF(ISNUMBER(SEARCH("定制",AE519)),7,IF(ISNUMBER(SEARCH("多个定制",AE519)),9,””)))))</f>
        <v>/</v>
      </c>
      <c r="AG519" s="187" t="s">
        <v>145</v>
      </c>
      <c r="AH519" s="187" t="s">
        <v>145</v>
      </c>
      <c r="AI519" s="187" t="s">
        <v>145</v>
      </c>
      <c r="AJ519" s="176" t="str">
        <f t="shared" si="330"/>
        <v>/</v>
      </c>
      <c r="AK519" s="182" t="s">
        <v>145</v>
      </c>
      <c r="AL519" s="177" t="s">
        <v>145</v>
      </c>
      <c r="AM519" s="177" t="s">
        <v>145</v>
      </c>
      <c r="AN519" s="177" t="s">
        <v>145</v>
      </c>
      <c r="AO519" s="177" t="s">
        <v>145</v>
      </c>
    </row>
    <row r="520" s="117" customFormat="1" ht="17" customHeight="1" spans="1:41">
      <c r="A520" s="171">
        <v>517</v>
      </c>
      <c r="B520" s="204"/>
      <c r="C520" s="204"/>
      <c r="D520" s="204"/>
      <c r="E520" s="182"/>
      <c r="F520" s="182"/>
      <c r="G520" s="182"/>
      <c r="H520" s="182"/>
      <c r="I520" s="182"/>
      <c r="J520" s="182" t="s">
        <v>183</v>
      </c>
      <c r="K520" s="184" t="s">
        <v>145</v>
      </c>
      <c r="L520" s="184" t="s">
        <v>145</v>
      </c>
      <c r="M520" s="184" t="s">
        <v>145</v>
      </c>
      <c r="N520" s="185" t="s">
        <v>145</v>
      </c>
      <c r="O520" s="185" t="s">
        <v>145</v>
      </c>
      <c r="P520" s="185" t="s">
        <v>145</v>
      </c>
      <c r="Q520" s="185" t="s">
        <v>145</v>
      </c>
      <c r="R520" s="185" t="s">
        <v>145</v>
      </c>
      <c r="S520" s="186" t="s">
        <v>145</v>
      </c>
      <c r="T520" s="186" t="s">
        <v>145</v>
      </c>
      <c r="U520" s="202" t="s">
        <v>145</v>
      </c>
      <c r="V520" s="182" t="s">
        <v>145</v>
      </c>
      <c r="W520" s="182" t="s">
        <v>145</v>
      </c>
      <c r="X520" s="187" t="s">
        <v>145</v>
      </c>
      <c r="Y520" s="182" t="s">
        <v>145</v>
      </c>
      <c r="Z520" s="187" t="s">
        <v>145</v>
      </c>
      <c r="AA520" s="182" t="s">
        <v>145</v>
      </c>
      <c r="AB520" s="187" t="s">
        <v>145</v>
      </c>
      <c r="AC520" s="182" t="s">
        <v>145</v>
      </c>
      <c r="AD520" s="187" t="s">
        <v>145</v>
      </c>
      <c r="AE520" s="182" t="s">
        <v>145</v>
      </c>
      <c r="AF520" s="176" t="str" cm="1">
        <f t="array" ref="AF520">IF(OR(AE520="/",AE520=""),"/",IF(ISNUMBER(SEARCH("普通",AE520)),0,IF(ISNUMBER(SEARCH("专用",AE520)),4,IF(ISNUMBER(SEARCH("定制",AE520)),7,IF(ISNUMBER(SEARCH("多个定制",AE520)),9,””)))))</f>
        <v>/</v>
      </c>
      <c r="AG520" s="187" t="s">
        <v>145</v>
      </c>
      <c r="AH520" s="187" t="s">
        <v>145</v>
      </c>
      <c r="AI520" s="187" t="s">
        <v>145</v>
      </c>
      <c r="AJ520" s="176" t="str">
        <f t="shared" si="330"/>
        <v>/</v>
      </c>
      <c r="AK520" s="182" t="s">
        <v>145</v>
      </c>
      <c r="AL520" s="177" t="s">
        <v>145</v>
      </c>
      <c r="AM520" s="177" t="s">
        <v>145</v>
      </c>
      <c r="AN520" s="177" t="s">
        <v>145</v>
      </c>
      <c r="AO520" s="177" t="s">
        <v>145</v>
      </c>
    </row>
    <row r="521" s="116" customFormat="1" ht="17" customHeight="1" spans="1:41">
      <c r="A521" s="171">
        <v>518</v>
      </c>
      <c r="B521" s="172" t="s">
        <v>1607</v>
      </c>
      <c r="C521" s="171" t="s">
        <v>1608</v>
      </c>
      <c r="D521" s="173" t="s">
        <v>1609</v>
      </c>
      <c r="E521" s="171" t="s">
        <v>73</v>
      </c>
      <c r="F521" s="171"/>
      <c r="G521" s="171"/>
      <c r="H521" s="171"/>
      <c r="I521" s="171"/>
      <c r="J521" s="171"/>
      <c r="K521" s="173" t="s">
        <v>1610</v>
      </c>
      <c r="L521" s="173" t="s">
        <v>1611</v>
      </c>
      <c r="M521" s="173" t="s">
        <v>1612</v>
      </c>
      <c r="N521" s="174" t="s">
        <v>77</v>
      </c>
      <c r="O521" s="174" t="s">
        <v>77</v>
      </c>
      <c r="P521" s="174" t="s">
        <v>78</v>
      </c>
      <c r="Q521" s="174" t="s">
        <v>77</v>
      </c>
      <c r="R521" s="174" t="str">
        <f>IF(OR(N521="严重Severe",O521="严重Severe",P521="严重Severe",Q521="严重Severe"),"严重Severe",IF(OR(N521="主要Major",O521="主要Major",P521="主要Major",Q521="主要Major"),"主要Major",IF(OR(N521="中等Medium",O521="中等Medium",P521="中等Medium",Q521="中等Medium"),"中等Medium",IF(OR(N521="可忽略不计Negligible",O521="可忽略不计Negligible",P521="可忽略不计Negligible",Q521="可忽略不计Negligible"),"可忽略不计Negligible","/"))))</f>
        <v>主要Major</v>
      </c>
      <c r="S521" s="175" t="s">
        <v>78</v>
      </c>
      <c r="T521" s="175" t="s">
        <v>1613</v>
      </c>
      <c r="U521" s="175" t="s">
        <v>1614</v>
      </c>
      <c r="V521" s="171" t="s">
        <v>1615</v>
      </c>
      <c r="W521" s="171" t="s">
        <v>82</v>
      </c>
      <c r="X521" s="176">
        <f t="shared" si="372"/>
        <v>0</v>
      </c>
      <c r="Y521" s="171" t="s">
        <v>83</v>
      </c>
      <c r="Z521" s="176">
        <f t="shared" si="373"/>
        <v>6</v>
      </c>
      <c r="AA521" s="171" t="s">
        <v>190</v>
      </c>
      <c r="AB521" s="176">
        <f t="shared" si="374"/>
        <v>7</v>
      </c>
      <c r="AC521" s="171" t="s">
        <v>85</v>
      </c>
      <c r="AD521" s="176">
        <f t="shared" si="375"/>
        <v>4</v>
      </c>
      <c r="AE521" s="171" t="s">
        <v>86</v>
      </c>
      <c r="AF521" s="176" cm="1">
        <f t="array" ref="AF521">IF(OR(AE521="/",AE521=""),"/",IF(ISNUMBER(SEARCH("普通",AE521)),0,IF(ISNUMBER(SEARCH("专用",AE521)),4,IF(ISNUMBER(SEARCH("定制",AE521)),7,IF(ISNUMBER(SEARCH("多个定制",AE521)),9,””)))))</f>
        <v>4</v>
      </c>
      <c r="AG521" s="176">
        <f t="shared" si="376"/>
        <v>21</v>
      </c>
      <c r="AH521" s="176" t="str">
        <f t="shared" si="377"/>
        <v>低Low</v>
      </c>
      <c r="AI521" s="176" t="s">
        <v>87</v>
      </c>
      <c r="AJ521" s="176" t="str">
        <f t="shared" ref="AJ521:AJ584" si="378">IF(AI521="/","/",IF(AI521="CAL3","降低"&amp;CHAR(10)&amp;"Reucing",IF(AI521="CAL4","消除"&amp;CHAR(10)&amp;"Avoiding",IF(AI521="CAL2","保留"&amp;CHAR(10)&amp;"Retaining",IF(AI521="CAL1","保留"&amp;CHAR(10)&amp;"Retaining","")))))</f>
        <v>降低
Reucing</v>
      </c>
      <c r="AK521" s="171" t="s">
        <v>1616</v>
      </c>
      <c r="AL521" s="177" t="s">
        <v>1617</v>
      </c>
      <c r="AM521" s="180" t="s">
        <v>1272</v>
      </c>
      <c r="AN521" s="178" t="s">
        <v>1273</v>
      </c>
      <c r="AO521" s="178" t="s">
        <v>1274</v>
      </c>
    </row>
    <row r="522" s="116" customFormat="1" ht="17" customHeight="1" spans="1:41">
      <c r="A522" s="171">
        <v>519</v>
      </c>
      <c r="B522" s="179"/>
      <c r="C522" s="179"/>
      <c r="D522" s="179"/>
      <c r="E522" s="171"/>
      <c r="F522" s="171" t="s">
        <v>73</v>
      </c>
      <c r="G522" s="171"/>
      <c r="H522" s="171"/>
      <c r="I522" s="171"/>
      <c r="J522" s="171"/>
      <c r="K522" s="173" t="s">
        <v>1618</v>
      </c>
      <c r="L522" s="173" t="s">
        <v>1619</v>
      </c>
      <c r="M522" s="173" t="s">
        <v>1612</v>
      </c>
      <c r="N522" s="174" t="s">
        <v>77</v>
      </c>
      <c r="O522" s="174" t="s">
        <v>77</v>
      </c>
      <c r="P522" s="174" t="s">
        <v>78</v>
      </c>
      <c r="Q522" s="174" t="s">
        <v>77</v>
      </c>
      <c r="R522" s="174" t="str">
        <f>IF(OR(N522="严重Severe",O522="严重Severe",P522="严重Severe",Q522="严重Severe"),"严重Severe",IF(OR(N522="主要Major",O522="主要Major",P522="主要Major",Q522="主要Major"),"主要Major",IF(OR(N522="中等Medium",O522="中等Medium",P522="中等Medium",Q522="中等Medium"),"中等Medium",IF(OR(N522="可忽略不计Negligible",O522="可忽略不计Negligible",P522="可忽略不计Negligible",Q522="可忽略不计Negligible"),"可忽略不计Negligible","/"))))</f>
        <v>主要Major</v>
      </c>
      <c r="S522" s="175" t="s">
        <v>78</v>
      </c>
      <c r="T522" s="175" t="s">
        <v>1620</v>
      </c>
      <c r="U522" s="175" t="s">
        <v>1621</v>
      </c>
      <c r="V522" s="171" t="s">
        <v>1622</v>
      </c>
      <c r="W522" s="171" t="s">
        <v>82</v>
      </c>
      <c r="X522" s="176">
        <f t="shared" si="372"/>
        <v>0</v>
      </c>
      <c r="Y522" s="171" t="s">
        <v>83</v>
      </c>
      <c r="Z522" s="176">
        <f t="shared" si="373"/>
        <v>6</v>
      </c>
      <c r="AA522" s="171" t="s">
        <v>190</v>
      </c>
      <c r="AB522" s="176">
        <f t="shared" si="374"/>
        <v>7</v>
      </c>
      <c r="AC522" s="171" t="s">
        <v>85</v>
      </c>
      <c r="AD522" s="176">
        <f t="shared" si="375"/>
        <v>4</v>
      </c>
      <c r="AE522" s="171" t="s">
        <v>86</v>
      </c>
      <c r="AF522" s="176" cm="1">
        <f t="array" ref="AF522">IF(OR(AE522="/",AE522=""),"/",IF(ISNUMBER(SEARCH("普通",AE522)),0,IF(ISNUMBER(SEARCH("专用",AE522)),4,IF(ISNUMBER(SEARCH("定制",AE522)),7,IF(ISNUMBER(SEARCH("多个定制",AE522)),9,””)))))</f>
        <v>4</v>
      </c>
      <c r="AG522" s="176">
        <f t="shared" si="376"/>
        <v>21</v>
      </c>
      <c r="AH522" s="176" t="str">
        <f t="shared" si="377"/>
        <v>低Low</v>
      </c>
      <c r="AI522" s="176" t="s">
        <v>87</v>
      </c>
      <c r="AJ522" s="176" t="str">
        <f t="shared" si="378"/>
        <v>降低
Reucing</v>
      </c>
      <c r="AK522" s="171" t="s">
        <v>1623</v>
      </c>
      <c r="AL522" s="177" t="s">
        <v>1624</v>
      </c>
      <c r="AM522" s="180" t="s">
        <v>1625</v>
      </c>
      <c r="AN522" s="178" t="s">
        <v>1626</v>
      </c>
      <c r="AO522" s="178" t="s">
        <v>1627</v>
      </c>
    </row>
    <row r="523" s="116" customFormat="1" ht="17" customHeight="1" spans="1:41">
      <c r="A523" s="171">
        <v>520</v>
      </c>
      <c r="B523" s="179"/>
      <c r="C523" s="179"/>
      <c r="D523" s="179"/>
      <c r="E523" s="171"/>
      <c r="F523" s="171"/>
      <c r="G523" s="171" t="s">
        <v>183</v>
      </c>
      <c r="H523" s="171"/>
      <c r="I523" s="171"/>
      <c r="J523" s="171"/>
      <c r="K523" s="173" t="s">
        <v>145</v>
      </c>
      <c r="L523" s="173" t="s">
        <v>145</v>
      </c>
      <c r="M523" s="173" t="s">
        <v>145</v>
      </c>
      <c r="N523" s="174" t="s">
        <v>145</v>
      </c>
      <c r="O523" s="174" t="s">
        <v>145</v>
      </c>
      <c r="P523" s="174" t="s">
        <v>145</v>
      </c>
      <c r="Q523" s="174" t="s">
        <v>145</v>
      </c>
      <c r="R523" s="174" t="s">
        <v>145</v>
      </c>
      <c r="S523" s="175" t="s">
        <v>145</v>
      </c>
      <c r="T523" s="175" t="s">
        <v>145</v>
      </c>
      <c r="U523" s="175" t="s">
        <v>145</v>
      </c>
      <c r="V523" s="171" t="s">
        <v>145</v>
      </c>
      <c r="W523" s="171" t="s">
        <v>145</v>
      </c>
      <c r="X523" s="176" t="s">
        <v>145</v>
      </c>
      <c r="Y523" s="171" t="s">
        <v>145</v>
      </c>
      <c r="Z523" s="176" t="s">
        <v>145</v>
      </c>
      <c r="AA523" s="171" t="s">
        <v>145</v>
      </c>
      <c r="AB523" s="176" t="s">
        <v>145</v>
      </c>
      <c r="AC523" s="171" t="s">
        <v>145</v>
      </c>
      <c r="AD523" s="176" t="s">
        <v>145</v>
      </c>
      <c r="AE523" s="171" t="s">
        <v>145</v>
      </c>
      <c r="AF523" s="176" t="str" cm="1">
        <f t="array" ref="AF523">IF(OR(AE523="/",AE523=""),"/",IF(ISNUMBER(SEARCH("普通",AE523)),0,IF(ISNUMBER(SEARCH("专用",AE523)),4,IF(ISNUMBER(SEARCH("定制",AE523)),7,IF(ISNUMBER(SEARCH("多个定制",AE523)),9,””)))))</f>
        <v>/</v>
      </c>
      <c r="AG523" s="176" t="s">
        <v>145</v>
      </c>
      <c r="AH523" s="176" t="s">
        <v>145</v>
      </c>
      <c r="AI523" s="176" t="s">
        <v>145</v>
      </c>
      <c r="AJ523" s="176" t="str">
        <f t="shared" si="378"/>
        <v>/</v>
      </c>
      <c r="AK523" s="171" t="s">
        <v>145</v>
      </c>
      <c r="AL523" s="177" t="s">
        <v>145</v>
      </c>
      <c r="AM523" s="177" t="s">
        <v>145</v>
      </c>
      <c r="AN523" s="177" t="s">
        <v>145</v>
      </c>
      <c r="AO523" s="177" t="s">
        <v>145</v>
      </c>
    </row>
    <row r="524" s="116" customFormat="1" ht="17" customHeight="1" spans="1:41">
      <c r="A524" s="171">
        <v>521</v>
      </c>
      <c r="B524" s="179"/>
      <c r="C524" s="179"/>
      <c r="D524" s="179"/>
      <c r="E524" s="171"/>
      <c r="F524" s="171"/>
      <c r="G524" s="171"/>
      <c r="H524" s="171" t="s">
        <v>183</v>
      </c>
      <c r="I524" s="171"/>
      <c r="J524" s="171"/>
      <c r="K524" s="173" t="s">
        <v>145</v>
      </c>
      <c r="L524" s="173" t="s">
        <v>145</v>
      </c>
      <c r="M524" s="173" t="s">
        <v>145</v>
      </c>
      <c r="N524" s="174" t="s">
        <v>145</v>
      </c>
      <c r="O524" s="174" t="s">
        <v>145</v>
      </c>
      <c r="P524" s="174" t="s">
        <v>145</v>
      </c>
      <c r="Q524" s="174" t="s">
        <v>145</v>
      </c>
      <c r="R524" s="174" t="s">
        <v>145</v>
      </c>
      <c r="S524" s="175" t="s">
        <v>145</v>
      </c>
      <c r="T524" s="175" t="s">
        <v>145</v>
      </c>
      <c r="U524" s="175" t="s">
        <v>145</v>
      </c>
      <c r="V524" s="171" t="s">
        <v>145</v>
      </c>
      <c r="W524" s="171" t="s">
        <v>145</v>
      </c>
      <c r="X524" s="176" t="s">
        <v>145</v>
      </c>
      <c r="Y524" s="171" t="s">
        <v>145</v>
      </c>
      <c r="Z524" s="176" t="s">
        <v>145</v>
      </c>
      <c r="AA524" s="171" t="s">
        <v>145</v>
      </c>
      <c r="AB524" s="176" t="s">
        <v>145</v>
      </c>
      <c r="AC524" s="171" t="s">
        <v>145</v>
      </c>
      <c r="AD524" s="176" t="s">
        <v>145</v>
      </c>
      <c r="AE524" s="171" t="s">
        <v>145</v>
      </c>
      <c r="AF524" s="176" t="str" cm="1">
        <f t="array" ref="AF524">IF(OR(AE524="/",AE524=""),"/",IF(ISNUMBER(SEARCH("普通",AE524)),0,IF(ISNUMBER(SEARCH("专用",AE524)),4,IF(ISNUMBER(SEARCH("定制",AE524)),7,IF(ISNUMBER(SEARCH("多个定制",AE524)),9,””)))))</f>
        <v>/</v>
      </c>
      <c r="AG524" s="176" t="s">
        <v>145</v>
      </c>
      <c r="AH524" s="176" t="s">
        <v>145</v>
      </c>
      <c r="AI524" s="176" t="s">
        <v>145</v>
      </c>
      <c r="AJ524" s="176" t="str">
        <f t="shared" si="378"/>
        <v>/</v>
      </c>
      <c r="AK524" s="171" t="s">
        <v>145</v>
      </c>
      <c r="AL524" s="177" t="s">
        <v>145</v>
      </c>
      <c r="AM524" s="177" t="s">
        <v>145</v>
      </c>
      <c r="AN524" s="177" t="s">
        <v>145</v>
      </c>
      <c r="AO524" s="177" t="s">
        <v>145</v>
      </c>
    </row>
    <row r="525" s="116" customFormat="1" ht="17" customHeight="1" spans="1:41">
      <c r="A525" s="171">
        <v>522</v>
      </c>
      <c r="B525" s="179"/>
      <c r="C525" s="179"/>
      <c r="D525" s="179"/>
      <c r="E525" s="171"/>
      <c r="F525" s="171"/>
      <c r="G525" s="171"/>
      <c r="H525" s="171"/>
      <c r="I525" s="171" t="s">
        <v>183</v>
      </c>
      <c r="J525" s="171"/>
      <c r="K525" s="173" t="s">
        <v>145</v>
      </c>
      <c r="L525" s="173" t="s">
        <v>145</v>
      </c>
      <c r="M525" s="173" t="s">
        <v>145</v>
      </c>
      <c r="N525" s="174" t="s">
        <v>145</v>
      </c>
      <c r="O525" s="174" t="s">
        <v>145</v>
      </c>
      <c r="P525" s="174" t="s">
        <v>145</v>
      </c>
      <c r="Q525" s="174" t="s">
        <v>145</v>
      </c>
      <c r="R525" s="174" t="s">
        <v>145</v>
      </c>
      <c r="S525" s="175" t="s">
        <v>145</v>
      </c>
      <c r="T525" s="175" t="s">
        <v>145</v>
      </c>
      <c r="U525" s="175" t="s">
        <v>145</v>
      </c>
      <c r="V525" s="171" t="s">
        <v>145</v>
      </c>
      <c r="W525" s="171" t="s">
        <v>145</v>
      </c>
      <c r="X525" s="176" t="s">
        <v>145</v>
      </c>
      <c r="Y525" s="171" t="s">
        <v>145</v>
      </c>
      <c r="Z525" s="176" t="s">
        <v>145</v>
      </c>
      <c r="AA525" s="171" t="s">
        <v>145</v>
      </c>
      <c r="AB525" s="176" t="s">
        <v>145</v>
      </c>
      <c r="AC525" s="171" t="s">
        <v>145</v>
      </c>
      <c r="AD525" s="176" t="s">
        <v>145</v>
      </c>
      <c r="AE525" s="171" t="s">
        <v>145</v>
      </c>
      <c r="AF525" s="176" t="str" cm="1">
        <f t="array" ref="AF525">IF(OR(AE525="/",AE525=""),"/",IF(ISNUMBER(SEARCH("普通",AE525)),0,IF(ISNUMBER(SEARCH("专用",AE525)),4,IF(ISNUMBER(SEARCH("定制",AE525)),7,IF(ISNUMBER(SEARCH("多个定制",AE525)),9,””)))))</f>
        <v>/</v>
      </c>
      <c r="AG525" s="176" t="s">
        <v>145</v>
      </c>
      <c r="AH525" s="176" t="s">
        <v>145</v>
      </c>
      <c r="AI525" s="176" t="s">
        <v>145</v>
      </c>
      <c r="AJ525" s="176" t="str">
        <f t="shared" si="378"/>
        <v>/</v>
      </c>
      <c r="AK525" s="171" t="s">
        <v>145</v>
      </c>
      <c r="AL525" s="177" t="s">
        <v>145</v>
      </c>
      <c r="AM525" s="177" t="s">
        <v>145</v>
      </c>
      <c r="AN525" s="177" t="s">
        <v>145</v>
      </c>
      <c r="AO525" s="177" t="s">
        <v>145</v>
      </c>
    </row>
    <row r="526" s="116" customFormat="1" ht="17" customHeight="1" spans="1:41">
      <c r="A526" s="171">
        <v>523</v>
      </c>
      <c r="B526" s="181"/>
      <c r="C526" s="181"/>
      <c r="D526" s="181"/>
      <c r="E526" s="171"/>
      <c r="F526" s="171"/>
      <c r="G526" s="171"/>
      <c r="H526" s="171"/>
      <c r="I526" s="171"/>
      <c r="J526" s="171" t="s">
        <v>183</v>
      </c>
      <c r="K526" s="173" t="s">
        <v>145</v>
      </c>
      <c r="L526" s="173" t="s">
        <v>145</v>
      </c>
      <c r="M526" s="173" t="s">
        <v>145</v>
      </c>
      <c r="N526" s="174" t="s">
        <v>145</v>
      </c>
      <c r="O526" s="174" t="s">
        <v>145</v>
      </c>
      <c r="P526" s="174" t="s">
        <v>145</v>
      </c>
      <c r="Q526" s="174" t="s">
        <v>145</v>
      </c>
      <c r="R526" s="174" t="s">
        <v>145</v>
      </c>
      <c r="S526" s="175" t="s">
        <v>145</v>
      </c>
      <c r="T526" s="175" t="s">
        <v>145</v>
      </c>
      <c r="U526" s="175" t="s">
        <v>145</v>
      </c>
      <c r="V526" s="171" t="s">
        <v>145</v>
      </c>
      <c r="W526" s="171" t="s">
        <v>145</v>
      </c>
      <c r="X526" s="176" t="s">
        <v>145</v>
      </c>
      <c r="Y526" s="171" t="s">
        <v>145</v>
      </c>
      <c r="Z526" s="176" t="s">
        <v>145</v>
      </c>
      <c r="AA526" s="171" t="s">
        <v>145</v>
      </c>
      <c r="AB526" s="176" t="s">
        <v>145</v>
      </c>
      <c r="AC526" s="171" t="s">
        <v>145</v>
      </c>
      <c r="AD526" s="176" t="s">
        <v>145</v>
      </c>
      <c r="AE526" s="171" t="s">
        <v>145</v>
      </c>
      <c r="AF526" s="176" t="str" cm="1">
        <f t="array" ref="AF526">IF(OR(AE526="/",AE526=""),"/",IF(ISNUMBER(SEARCH("普通",AE526)),0,IF(ISNUMBER(SEARCH("专用",AE526)),4,IF(ISNUMBER(SEARCH("定制",AE526)),7,IF(ISNUMBER(SEARCH("多个定制",AE526)),9,””)))))</f>
        <v>/</v>
      </c>
      <c r="AG526" s="176" t="s">
        <v>145</v>
      </c>
      <c r="AH526" s="176" t="s">
        <v>145</v>
      </c>
      <c r="AI526" s="176" t="s">
        <v>145</v>
      </c>
      <c r="AJ526" s="176" t="str">
        <f t="shared" si="378"/>
        <v>/</v>
      </c>
      <c r="AK526" s="171" t="s">
        <v>145</v>
      </c>
      <c r="AL526" s="177" t="s">
        <v>145</v>
      </c>
      <c r="AM526" s="177" t="s">
        <v>145</v>
      </c>
      <c r="AN526" s="177" t="s">
        <v>145</v>
      </c>
      <c r="AO526" s="177" t="s">
        <v>145</v>
      </c>
    </row>
    <row r="527" s="116" customFormat="1" ht="17" customHeight="1" spans="1:41">
      <c r="A527" s="171">
        <v>524</v>
      </c>
      <c r="B527" s="172" t="s">
        <v>1628</v>
      </c>
      <c r="C527" s="171" t="s">
        <v>1221</v>
      </c>
      <c r="D527" s="173" t="s">
        <v>1629</v>
      </c>
      <c r="E527" s="171" t="s">
        <v>73</v>
      </c>
      <c r="F527" s="171"/>
      <c r="G527" s="171"/>
      <c r="H527" s="171"/>
      <c r="I527" s="171"/>
      <c r="J527" s="171"/>
      <c r="K527" s="173" t="s">
        <v>1630</v>
      </c>
      <c r="L527" s="173" t="s">
        <v>1631</v>
      </c>
      <c r="M527" s="173" t="s">
        <v>1632</v>
      </c>
      <c r="N527" s="174" t="s">
        <v>77</v>
      </c>
      <c r="O527" s="174" t="s">
        <v>77</v>
      </c>
      <c r="P527" s="174" t="s">
        <v>77</v>
      </c>
      <c r="Q527" s="174" t="s">
        <v>96</v>
      </c>
      <c r="R527" s="174" t="str">
        <f>IF(OR(N527="严重Severe",O527="严重Severe",P527="严重Severe",Q527="严重Severe"),"严重Severe",IF(OR(N527="主要Major",O527="主要Major",P527="主要Major",Q527="主要Major"),"主要Major",IF(OR(N527="中等Medium",O527="中等Medium",P527="中等Medium",Q527="中等Medium"),"中等Medium",IF(OR(N527="可忽略不计Negligible",O527="可忽略不计Negligible",P527="可忽略不计Negligible",Q527="可忽略不计Negligible"),"可忽略不计Negligible","/"))))</f>
        <v>中等Medium</v>
      </c>
      <c r="S527" s="175" t="s">
        <v>96</v>
      </c>
      <c r="T527" s="175" t="s">
        <v>1633</v>
      </c>
      <c r="U527" s="175" t="s">
        <v>1634</v>
      </c>
      <c r="V527" s="171" t="s">
        <v>1635</v>
      </c>
      <c r="W527" s="171" t="s">
        <v>82</v>
      </c>
      <c r="X527" s="176">
        <f t="shared" ref="X527:X531" si="379">IF(OR(W527="/",W527=""),"/",IF(ISNUMBER(SEARCH("1天",W527)),0,IF(ISNUMBER(SEARCH("一周",W527)),1,IF(ISNUMBER(SEARCH("1个月",W527)),4,IF(ISNUMBER(SEARCH("超过",W527)),19,IF(ISNUMBER(SEARCH("6个月",W527)),17,""))))))</f>
        <v>0</v>
      </c>
      <c r="Y527" s="171" t="s">
        <v>177</v>
      </c>
      <c r="Z527" s="176">
        <f t="shared" ref="Z527:Z531" si="380">IF(OR(Y527="/",Y527=""),"/",IF(ISNUMBER(SEARCH("新手",Y527)),0,IF(ISNUMBER(SEARCH("熟练",Y527)),3,IF(ISNUMBER(SEARCH("多位",Y527)),17,IF(ISNUMBER(SEARCH("专家",Y527)),6,"")))))</f>
        <v>3</v>
      </c>
      <c r="AA527" s="171" t="s">
        <v>153</v>
      </c>
      <c r="AB527" s="176">
        <f t="shared" ref="AB527:AB531" si="381">IF(OR(AA527="/",AA527=""),"/",IF(ISNUMBER(SEARCH("公开",AA527)),0,IF(ISNUMBER(SEARCH("限制性信息",AA527)),3,IF(ISNUMBER(SEARCH("机密信息",AA527)),7,IF(ISNUMBER(SEARCH("严格保密",AA527)),11,"")))))</f>
        <v>0</v>
      </c>
      <c r="AC527" s="171" t="s">
        <v>191</v>
      </c>
      <c r="AD527" s="176">
        <f t="shared" ref="AD527:AD531" si="382">IF(OR(AC527="/",AC527=""),"/",IF(ISNUMBER(SEARCH("无限制",AC527)),0,IF(ISNUMBER(SEARCH("容易",AC527)),1,IF(ISNUMBER(SEARCH("一般",AC527)),4,IF(ISNUMBER(SEARCH("困难",AC527)),10,"")))))</f>
        <v>1</v>
      </c>
      <c r="AE527" s="171" t="s">
        <v>210</v>
      </c>
      <c r="AF527" s="176" cm="1">
        <f t="array" ref="AF527">IF(OR(AE527="/",AE527=""),"/",IF(ISNUMBER(SEARCH("普通",AE527)),0,IF(ISNUMBER(SEARCH("专用",AE527)),4,IF(ISNUMBER(SEARCH("定制",AE527)),7,IF(ISNUMBER(SEARCH("多个定制",AE527)),9,””)))))</f>
        <v>0</v>
      </c>
      <c r="AG527" s="176">
        <f t="shared" ref="AG527:AG531" si="383">IF(OR(X527="/",Z527="/",AB527="/",AD527="/",AF527="/"),"/",X527+Z527+AB527+AD527+AF527)</f>
        <v>4</v>
      </c>
      <c r="AH527" s="176" t="str">
        <f t="shared" ref="AH527:AH531" si="384">IF(AND(AG527&gt;=0,AG527&lt;14),"高High",IF(AND(AG527&gt;=14,AG527&lt;20),"中Medium",IF(AND(AG527&gt;=20,AG527&lt;25),"低Low",IF(AND(AG527&gt;=25,AG527&lt;57),"非常低Very low",""))))</f>
        <v>高High</v>
      </c>
      <c r="AI527" s="176" t="s">
        <v>87</v>
      </c>
      <c r="AJ527" s="176" t="str">
        <f t="shared" si="378"/>
        <v>降低
Reucing</v>
      </c>
      <c r="AK527" s="171" t="s">
        <v>1636</v>
      </c>
      <c r="AL527" s="177" t="s">
        <v>1637</v>
      </c>
      <c r="AM527" s="180" t="s">
        <v>1638</v>
      </c>
      <c r="AN527" s="178" t="s">
        <v>1639</v>
      </c>
      <c r="AO527" s="178" t="s">
        <v>1640</v>
      </c>
    </row>
    <row r="528" s="116" customFormat="1" ht="17" customHeight="1" spans="1:41">
      <c r="A528" s="171">
        <v>525</v>
      </c>
      <c r="B528" s="179"/>
      <c r="C528" s="179"/>
      <c r="D528" s="179"/>
      <c r="E528" s="171"/>
      <c r="F528" s="171" t="s">
        <v>73</v>
      </c>
      <c r="G528" s="171"/>
      <c r="H528" s="171"/>
      <c r="I528" s="171"/>
      <c r="J528" s="171"/>
      <c r="K528" s="173" t="s">
        <v>1641</v>
      </c>
      <c r="L528" s="173" t="s">
        <v>1642</v>
      </c>
      <c r="M528" s="173" t="s">
        <v>1643</v>
      </c>
      <c r="N528" s="174" t="s">
        <v>77</v>
      </c>
      <c r="O528" s="174" t="s">
        <v>77</v>
      </c>
      <c r="P528" s="174" t="s">
        <v>96</v>
      </c>
      <c r="Q528" s="174" t="s">
        <v>77</v>
      </c>
      <c r="R528" s="174" t="str">
        <f>IF(OR(N528="严重Severe",O528="严重Severe",P528="严重Severe",Q528="严重Severe"),"严重Severe",IF(OR(N528="主要Major",O528="主要Major",P528="主要Major",Q528="主要Major"),"主要Major",IF(OR(N528="中等Medium",O528="中等Medium",P528="中等Medium",Q528="中等Medium"),"中等Medium",IF(OR(N528="可忽略不计Negligible",O528="可忽略不计Negligible",P528="可忽略不计Negligible",Q528="可忽略不计Negligible"),"可忽略不计Negligible","/"))))</f>
        <v>中等Medium</v>
      </c>
      <c r="S528" s="175" t="s">
        <v>96</v>
      </c>
      <c r="T528" s="175" t="s">
        <v>1644</v>
      </c>
      <c r="U528" s="175" t="s">
        <v>1645</v>
      </c>
      <c r="V528" s="171" t="s">
        <v>1635</v>
      </c>
      <c r="W528" s="171" t="s">
        <v>111</v>
      </c>
      <c r="X528" s="176">
        <f t="shared" si="379"/>
        <v>1</v>
      </c>
      <c r="Y528" s="171" t="s">
        <v>83</v>
      </c>
      <c r="Z528" s="176">
        <f t="shared" si="380"/>
        <v>6</v>
      </c>
      <c r="AA528" s="171" t="s">
        <v>153</v>
      </c>
      <c r="AB528" s="176">
        <f t="shared" si="381"/>
        <v>0</v>
      </c>
      <c r="AC528" s="171" t="s">
        <v>191</v>
      </c>
      <c r="AD528" s="176">
        <f t="shared" si="382"/>
        <v>1</v>
      </c>
      <c r="AE528" s="171" t="s">
        <v>210</v>
      </c>
      <c r="AF528" s="176" cm="1">
        <f t="array" ref="AF528">IF(OR(AE528="/",AE528=""),"/",IF(ISNUMBER(SEARCH("普通",AE528)),0,IF(ISNUMBER(SEARCH("专用",AE528)),4,IF(ISNUMBER(SEARCH("定制",AE528)),7,IF(ISNUMBER(SEARCH("多个定制",AE528)),9,””)))))</f>
        <v>0</v>
      </c>
      <c r="AG528" s="176">
        <f t="shared" si="383"/>
        <v>8</v>
      </c>
      <c r="AH528" s="176" t="str">
        <f t="shared" si="384"/>
        <v>高High</v>
      </c>
      <c r="AI528" s="176" t="s">
        <v>87</v>
      </c>
      <c r="AJ528" s="176" t="str">
        <f t="shared" si="378"/>
        <v>降低
Reucing</v>
      </c>
      <c r="AK528" s="171" t="s">
        <v>1646</v>
      </c>
      <c r="AL528" s="177" t="s">
        <v>1647</v>
      </c>
      <c r="AM528" s="180" t="s">
        <v>101</v>
      </c>
      <c r="AN528" s="178" t="s">
        <v>592</v>
      </c>
      <c r="AO528" s="178" t="s">
        <v>1264</v>
      </c>
    </row>
    <row r="529" s="116" customFormat="1" ht="17" customHeight="1" spans="1:41">
      <c r="A529" s="171">
        <v>526</v>
      </c>
      <c r="B529" s="179"/>
      <c r="C529" s="179"/>
      <c r="D529" s="179"/>
      <c r="E529" s="171"/>
      <c r="F529" s="171"/>
      <c r="G529" s="171" t="s">
        <v>73</v>
      </c>
      <c r="H529" s="171"/>
      <c r="I529" s="171"/>
      <c r="J529" s="171"/>
      <c r="K529" s="173" t="s">
        <v>1648</v>
      </c>
      <c r="L529" s="173" t="s">
        <v>1649</v>
      </c>
      <c r="M529" s="173" t="s">
        <v>1650</v>
      </c>
      <c r="N529" s="174" t="s">
        <v>77</v>
      </c>
      <c r="O529" s="174" t="s">
        <v>77</v>
      </c>
      <c r="P529" s="174" t="s">
        <v>77</v>
      </c>
      <c r="Q529" s="174" t="s">
        <v>96</v>
      </c>
      <c r="R529" s="174" t="str">
        <f>IF(OR(N529="严重Severe",O529="严重Severe",P529="严重Severe",Q529="严重Severe"),"严重Severe",IF(OR(N529="主要Major",O529="主要Major",P529="主要Major",Q529="主要Major"),"主要Major",IF(OR(N529="中等Medium",O529="中等Medium",P529="中等Medium",Q529="中等Medium"),"中等Medium",IF(OR(N529="可忽略不计Negligible",O529="可忽略不计Negligible",P529="可忽略不计Negligible",Q529="可忽略不计Negligible"),"可忽略不计Negligible","/"))))</f>
        <v>中等Medium</v>
      </c>
      <c r="S529" s="175" t="s">
        <v>96</v>
      </c>
      <c r="T529" s="175" t="s">
        <v>1651</v>
      </c>
      <c r="U529" s="175" t="s">
        <v>1652</v>
      </c>
      <c r="V529" s="171" t="s">
        <v>1653</v>
      </c>
      <c r="W529" s="171" t="s">
        <v>111</v>
      </c>
      <c r="X529" s="176">
        <f t="shared" si="379"/>
        <v>1</v>
      </c>
      <c r="Y529" s="171" t="s">
        <v>177</v>
      </c>
      <c r="Z529" s="176">
        <f t="shared" si="380"/>
        <v>3</v>
      </c>
      <c r="AA529" s="171" t="s">
        <v>153</v>
      </c>
      <c r="AB529" s="176">
        <f t="shared" si="381"/>
        <v>0</v>
      </c>
      <c r="AC529" s="171" t="s">
        <v>191</v>
      </c>
      <c r="AD529" s="176">
        <f t="shared" si="382"/>
        <v>1</v>
      </c>
      <c r="AE529" s="171" t="s">
        <v>86</v>
      </c>
      <c r="AF529" s="176" cm="1">
        <f t="array" ref="AF529">IF(OR(AE529="/",AE529=""),"/",IF(ISNUMBER(SEARCH("普通",AE529)),0,IF(ISNUMBER(SEARCH("专用",AE529)),4,IF(ISNUMBER(SEARCH("定制",AE529)),7,IF(ISNUMBER(SEARCH("多个定制",AE529)),9,””)))))</f>
        <v>4</v>
      </c>
      <c r="AG529" s="176">
        <f t="shared" si="383"/>
        <v>9</v>
      </c>
      <c r="AH529" s="176" t="str">
        <f t="shared" si="384"/>
        <v>高High</v>
      </c>
      <c r="AI529" s="176" t="s">
        <v>87</v>
      </c>
      <c r="AJ529" s="176" t="str">
        <f t="shared" si="378"/>
        <v>降低
Reucing</v>
      </c>
      <c r="AK529" s="171" t="s">
        <v>1654</v>
      </c>
      <c r="AL529" s="177" t="s">
        <v>1655</v>
      </c>
      <c r="AM529" s="180" t="s">
        <v>1656</v>
      </c>
      <c r="AN529" s="178" t="s">
        <v>1510</v>
      </c>
      <c r="AO529" s="178" t="s">
        <v>1657</v>
      </c>
    </row>
    <row r="530" s="116" customFormat="1" ht="17" customHeight="1" spans="1:41">
      <c r="A530" s="171">
        <v>527</v>
      </c>
      <c r="B530" s="179"/>
      <c r="C530" s="179"/>
      <c r="D530" s="179"/>
      <c r="E530" s="171"/>
      <c r="F530" s="171"/>
      <c r="G530" s="171"/>
      <c r="H530" s="171" t="s">
        <v>73</v>
      </c>
      <c r="I530" s="171"/>
      <c r="J530" s="171"/>
      <c r="K530" s="173" t="s">
        <v>1658</v>
      </c>
      <c r="L530" s="173" t="s">
        <v>1659</v>
      </c>
      <c r="M530" s="173" t="s">
        <v>1660</v>
      </c>
      <c r="N530" s="174" t="s">
        <v>77</v>
      </c>
      <c r="O530" s="174" t="s">
        <v>77</v>
      </c>
      <c r="P530" s="174" t="s">
        <v>77</v>
      </c>
      <c r="Q530" s="174" t="s">
        <v>96</v>
      </c>
      <c r="R530" s="174" t="str">
        <f>IF(OR(N530="严重Severe",O530="严重Severe",P530="严重Severe",Q530="严重Severe"),"严重Severe",IF(OR(N530="主要Major",O530="主要Major",P530="主要Major",Q530="主要Major"),"主要Major",IF(OR(N530="中等Medium",O530="中等Medium",P530="中等Medium",Q530="中等Medium"),"中等Medium",IF(OR(N530="可忽略不计Negligible",O530="可忽略不计Negligible",P530="可忽略不计Negligible",Q530="可忽略不计Negligible"),"可忽略不计Negligible","/"))))</f>
        <v>中等Medium</v>
      </c>
      <c r="S530" s="175" t="s">
        <v>96</v>
      </c>
      <c r="T530" s="175" t="s">
        <v>1661</v>
      </c>
      <c r="U530" s="175" t="s">
        <v>1662</v>
      </c>
      <c r="V530" s="171" t="s">
        <v>1663</v>
      </c>
      <c r="W530" s="171" t="s">
        <v>82</v>
      </c>
      <c r="X530" s="176">
        <f t="shared" si="379"/>
        <v>0</v>
      </c>
      <c r="Y530" s="171" t="s">
        <v>177</v>
      </c>
      <c r="Z530" s="176">
        <f t="shared" si="380"/>
        <v>3</v>
      </c>
      <c r="AA530" s="171" t="s">
        <v>153</v>
      </c>
      <c r="AB530" s="176">
        <f t="shared" si="381"/>
        <v>0</v>
      </c>
      <c r="AC530" s="171" t="s">
        <v>191</v>
      </c>
      <c r="AD530" s="176">
        <f t="shared" si="382"/>
        <v>1</v>
      </c>
      <c r="AE530" s="171" t="s">
        <v>210</v>
      </c>
      <c r="AF530" s="176" cm="1">
        <f t="array" ref="AF530">IF(OR(AE530="/",AE530=""),"/",IF(ISNUMBER(SEARCH("普通",AE530)),0,IF(ISNUMBER(SEARCH("专用",AE530)),4,IF(ISNUMBER(SEARCH("定制",AE530)),7,IF(ISNUMBER(SEARCH("多个定制",AE530)),9,””)))))</f>
        <v>0</v>
      </c>
      <c r="AG530" s="176">
        <f t="shared" si="383"/>
        <v>4</v>
      </c>
      <c r="AH530" s="176" t="str">
        <f t="shared" si="384"/>
        <v>高High</v>
      </c>
      <c r="AI530" s="176" t="s">
        <v>87</v>
      </c>
      <c r="AJ530" s="176" t="str">
        <f t="shared" si="378"/>
        <v>降低
Reucing</v>
      </c>
      <c r="AK530" s="171" t="s">
        <v>1664</v>
      </c>
      <c r="AL530" s="177" t="s">
        <v>1665</v>
      </c>
      <c r="AM530" s="180" t="s">
        <v>101</v>
      </c>
      <c r="AN530" s="178" t="s">
        <v>592</v>
      </c>
      <c r="AO530" s="178" t="s">
        <v>593</v>
      </c>
    </row>
    <row r="531" s="116" customFormat="1" ht="17" customHeight="1" spans="1:41">
      <c r="A531" s="171">
        <v>528</v>
      </c>
      <c r="B531" s="179"/>
      <c r="C531" s="179"/>
      <c r="D531" s="179"/>
      <c r="E531" s="171"/>
      <c r="F531" s="171"/>
      <c r="G531" s="171"/>
      <c r="H531" s="171"/>
      <c r="I531" s="171" t="s">
        <v>73</v>
      </c>
      <c r="J531" s="171"/>
      <c r="K531" s="173" t="s">
        <v>1666</v>
      </c>
      <c r="L531" s="173" t="s">
        <v>1667</v>
      </c>
      <c r="M531" s="173" t="s">
        <v>1503</v>
      </c>
      <c r="N531" s="174" t="s">
        <v>77</v>
      </c>
      <c r="O531" s="174" t="s">
        <v>77</v>
      </c>
      <c r="P531" s="174" t="s">
        <v>77</v>
      </c>
      <c r="Q531" s="174" t="s">
        <v>96</v>
      </c>
      <c r="R531" s="174" t="str">
        <f>IF(OR(N531="严重Severe",O531="严重Severe",P531="严重Severe",Q531="严重Severe"),"严重Severe",IF(OR(N531="主要Major",O531="主要Major",P531="主要Major",Q531="主要Major"),"主要Major",IF(OR(N531="中等Medium",O531="中等Medium",P531="中等Medium",Q531="中等Medium"),"中等Medium",IF(OR(N531="可忽略不计Negligible",O531="可忽略不计Negligible",P531="可忽略不计Negligible",Q531="可忽略不计Negligible"),"可忽略不计Negligible","/"))))</f>
        <v>中等Medium</v>
      </c>
      <c r="S531" s="175" t="s">
        <v>96</v>
      </c>
      <c r="T531" s="175" t="s">
        <v>1668</v>
      </c>
      <c r="U531" s="175" t="s">
        <v>1505</v>
      </c>
      <c r="V531" s="171" t="s">
        <v>1506</v>
      </c>
      <c r="W531" s="171" t="s">
        <v>111</v>
      </c>
      <c r="X531" s="176">
        <f t="shared" si="379"/>
        <v>1</v>
      </c>
      <c r="Y531" s="171" t="s">
        <v>177</v>
      </c>
      <c r="Z531" s="176">
        <f t="shared" si="380"/>
        <v>3</v>
      </c>
      <c r="AA531" s="171" t="s">
        <v>153</v>
      </c>
      <c r="AB531" s="176">
        <f t="shared" si="381"/>
        <v>0</v>
      </c>
      <c r="AC531" s="171" t="s">
        <v>191</v>
      </c>
      <c r="AD531" s="176">
        <f t="shared" si="382"/>
        <v>1</v>
      </c>
      <c r="AE531" s="171" t="s">
        <v>210</v>
      </c>
      <c r="AF531" s="176" cm="1">
        <f t="array" ref="AF531">IF(OR(AE531="/",AE531=""),"/",IF(ISNUMBER(SEARCH("普通",AE531)),0,IF(ISNUMBER(SEARCH("专用",AE531)),4,IF(ISNUMBER(SEARCH("定制",AE531)),7,IF(ISNUMBER(SEARCH("多个定制",AE531)),9,””)))))</f>
        <v>0</v>
      </c>
      <c r="AG531" s="176">
        <f t="shared" si="383"/>
        <v>5</v>
      </c>
      <c r="AH531" s="176" t="str">
        <f t="shared" si="384"/>
        <v>高High</v>
      </c>
      <c r="AI531" s="176" t="s">
        <v>87</v>
      </c>
      <c r="AJ531" s="176" t="str">
        <f t="shared" si="378"/>
        <v>降低
Reucing</v>
      </c>
      <c r="AK531" s="171" t="s">
        <v>1669</v>
      </c>
      <c r="AL531" s="177" t="s">
        <v>1508</v>
      </c>
      <c r="AM531" s="180" t="s">
        <v>1509</v>
      </c>
      <c r="AN531" s="178" t="s">
        <v>1510</v>
      </c>
      <c r="AO531" s="178" t="s">
        <v>1511</v>
      </c>
    </row>
    <row r="532" s="116" customFormat="1" ht="17" customHeight="1" spans="1:41">
      <c r="A532" s="171">
        <v>529</v>
      </c>
      <c r="B532" s="181"/>
      <c r="C532" s="181"/>
      <c r="D532" s="181"/>
      <c r="E532" s="171"/>
      <c r="F532" s="171"/>
      <c r="G532" s="171"/>
      <c r="H532" s="171"/>
      <c r="I532" s="171"/>
      <c r="J532" s="171" t="s">
        <v>183</v>
      </c>
      <c r="K532" s="173" t="s">
        <v>145</v>
      </c>
      <c r="L532" s="173" t="s">
        <v>145</v>
      </c>
      <c r="M532" s="173" t="s">
        <v>145</v>
      </c>
      <c r="N532" s="174" t="s">
        <v>145</v>
      </c>
      <c r="O532" s="174" t="s">
        <v>145</v>
      </c>
      <c r="P532" s="174" t="s">
        <v>145</v>
      </c>
      <c r="Q532" s="174" t="s">
        <v>145</v>
      </c>
      <c r="R532" s="174" t="s">
        <v>145</v>
      </c>
      <c r="S532" s="175" t="s">
        <v>145</v>
      </c>
      <c r="T532" s="175" t="s">
        <v>145</v>
      </c>
      <c r="U532" s="175" t="s">
        <v>145</v>
      </c>
      <c r="V532" s="171" t="s">
        <v>145</v>
      </c>
      <c r="W532" s="171" t="s">
        <v>145</v>
      </c>
      <c r="X532" s="176" t="s">
        <v>145</v>
      </c>
      <c r="Y532" s="171" t="s">
        <v>145</v>
      </c>
      <c r="Z532" s="176" t="s">
        <v>145</v>
      </c>
      <c r="AA532" s="171" t="s">
        <v>145</v>
      </c>
      <c r="AB532" s="176" t="s">
        <v>145</v>
      </c>
      <c r="AC532" s="171" t="s">
        <v>145</v>
      </c>
      <c r="AD532" s="176" t="s">
        <v>145</v>
      </c>
      <c r="AE532" s="171" t="s">
        <v>145</v>
      </c>
      <c r="AF532" s="176" t="str" cm="1">
        <f t="array" ref="AF532">IF(OR(AE532="/",AE532=""),"/",IF(ISNUMBER(SEARCH("普通",AE532)),0,IF(ISNUMBER(SEARCH("专用",AE532)),4,IF(ISNUMBER(SEARCH("定制",AE532)),7,IF(ISNUMBER(SEARCH("多个定制",AE532)),9,””)))))</f>
        <v>/</v>
      </c>
      <c r="AG532" s="176" t="s">
        <v>145</v>
      </c>
      <c r="AH532" s="176" t="s">
        <v>145</v>
      </c>
      <c r="AI532" s="176" t="s">
        <v>145</v>
      </c>
      <c r="AJ532" s="176" t="str">
        <f t="shared" si="378"/>
        <v>/</v>
      </c>
      <c r="AK532" s="171" t="s">
        <v>145</v>
      </c>
      <c r="AL532" s="177" t="s">
        <v>145</v>
      </c>
      <c r="AM532" s="177" t="s">
        <v>145</v>
      </c>
      <c r="AN532" s="177" t="s">
        <v>145</v>
      </c>
      <c r="AO532" s="177" t="s">
        <v>145</v>
      </c>
    </row>
    <row r="533" ht="17" customHeight="1"/>
    <row r="534" ht="17" customHeight="1"/>
    <row r="535" ht="17" customHeight="1"/>
    <row r="536" ht="17" customHeight="1"/>
    <row r="537" ht="17" customHeight="1"/>
    <row r="538" ht="17" customHeight="1"/>
    <row r="539" ht="17" customHeight="1"/>
    <row r="540" ht="17" customHeight="1"/>
    <row r="541" ht="17" customHeight="1"/>
    <row r="542" ht="17" customHeight="1"/>
    <row r="543" ht="17" customHeight="1"/>
    <row r="544" ht="17" customHeight="1"/>
    <row r="545" ht="17" customHeight="1"/>
    <row r="546" ht="17" customHeight="1"/>
    <row r="547" ht="17" customHeight="1"/>
    <row r="548" ht="17" customHeight="1"/>
    <row r="549" ht="17" customHeight="1"/>
    <row r="550" ht="17" customHeight="1"/>
    <row r="551" ht="17" customHeight="1"/>
    <row r="552" ht="17" customHeight="1"/>
    <row r="553" ht="17" customHeight="1"/>
    <row r="554" ht="17" customHeight="1"/>
    <row r="555" ht="17" customHeight="1"/>
    <row r="556" ht="17" customHeight="1"/>
    <row r="557" ht="17" customHeight="1"/>
    <row r="558" ht="17" customHeight="1"/>
    <row r="559" ht="17" customHeight="1"/>
    <row r="560" ht="17" customHeight="1"/>
    <row r="561" ht="17" customHeight="1"/>
    <row r="562" ht="17" customHeight="1"/>
    <row r="563" ht="17" customHeight="1"/>
    <row r="564" ht="17" customHeight="1"/>
    <row r="565" ht="17" customHeight="1"/>
    <row r="566" ht="17" customHeight="1"/>
    <row r="567" ht="17" customHeight="1"/>
    <row r="568" ht="17" customHeight="1"/>
    <row r="569" ht="17" customHeight="1"/>
    <row r="570" ht="17" customHeight="1"/>
    <row r="571" ht="17" customHeight="1"/>
    <row r="572" ht="17" customHeight="1"/>
    <row r="573" ht="17" customHeight="1"/>
    <row r="574" ht="17" customHeight="1"/>
    <row r="575" ht="17" customHeight="1"/>
    <row r="576" ht="17" customHeight="1"/>
    <row r="577" ht="17" customHeight="1"/>
    <row r="578" ht="17" customHeight="1"/>
    <row r="579" ht="17" customHeight="1"/>
    <row r="580" ht="17" customHeight="1"/>
    <row r="581" ht="17" customHeight="1"/>
    <row r="582" ht="17" customHeight="1"/>
    <row r="583" ht="17" customHeight="1"/>
    <row r="584" ht="17" customHeight="1"/>
    <row r="585" ht="17" customHeight="1"/>
    <row r="586" ht="17" customHeight="1"/>
    <row r="587" ht="17" customHeight="1"/>
    <row r="588" ht="17" customHeight="1"/>
    <row r="589" ht="17" customHeight="1"/>
    <row r="590" ht="17" customHeight="1"/>
    <row r="591" ht="17" customHeight="1"/>
    <row r="592" ht="17" customHeight="1"/>
    <row r="593" ht="17" customHeight="1"/>
    <row r="594" ht="17" customHeight="1"/>
    <row r="595" ht="17" customHeight="1"/>
    <row r="596" ht="17" customHeight="1"/>
    <row r="597" ht="17" customHeight="1"/>
    <row r="598" ht="17" customHeight="1"/>
    <row r="599" ht="17" customHeight="1"/>
    <row r="600" ht="17" customHeight="1"/>
    <row r="601" ht="17" customHeight="1"/>
    <row r="602" ht="17" customHeight="1"/>
    <row r="603" ht="17" customHeight="1"/>
    <row r="604" ht="17" customHeight="1"/>
    <row r="605" ht="17" customHeight="1"/>
    <row r="606" ht="17" customHeight="1"/>
    <row r="607" ht="17" customHeight="1"/>
    <row r="608" ht="17" customHeight="1"/>
    <row r="609" ht="17" customHeight="1"/>
    <row r="610" ht="17" customHeight="1"/>
    <row r="611" ht="17" customHeight="1"/>
    <row r="612" ht="17" customHeight="1"/>
    <row r="613" ht="17" customHeight="1"/>
    <row r="614" ht="17" customHeight="1"/>
    <row r="615" ht="17" customHeight="1"/>
    <row r="616" ht="17" customHeight="1"/>
    <row r="617" ht="17" customHeight="1"/>
    <row r="618" ht="17" customHeight="1"/>
    <row r="619" ht="17" customHeight="1"/>
    <row r="620" ht="17" customHeight="1"/>
    <row r="621" ht="17" customHeight="1"/>
    <row r="622" ht="17" customHeight="1"/>
    <row r="623" ht="17" customHeight="1"/>
    <row r="624" ht="17" customHeight="1"/>
    <row r="625" ht="17" customHeight="1"/>
    <row r="626" ht="17" customHeight="1"/>
    <row r="627" ht="17" customHeight="1"/>
    <row r="628" ht="17" customHeight="1"/>
    <row r="629" ht="17" customHeight="1"/>
    <row r="630" ht="17" customHeight="1"/>
    <row r="631" ht="17" customHeight="1"/>
    <row r="632" ht="17" customHeight="1"/>
    <row r="633" ht="17" customHeight="1"/>
    <row r="634" ht="17" customHeight="1"/>
    <row r="635" ht="17" customHeight="1"/>
    <row r="636" ht="17" customHeight="1"/>
    <row r="637" ht="17" customHeight="1"/>
    <row r="638" ht="17" customHeight="1"/>
    <row r="639" ht="17" customHeight="1"/>
    <row r="640" ht="17" customHeight="1"/>
    <row r="641" ht="17" customHeight="1"/>
    <row r="642" ht="17" customHeight="1"/>
    <row r="643" ht="17" customHeight="1"/>
    <row r="644" ht="17" customHeight="1"/>
    <row r="645" ht="17" customHeight="1"/>
    <row r="646" ht="17" customHeight="1"/>
    <row r="647" ht="17" customHeight="1"/>
    <row r="648" ht="17" customHeight="1"/>
    <row r="649" ht="17" customHeight="1"/>
    <row r="650" ht="17" customHeight="1"/>
    <row r="651" ht="17" customHeight="1"/>
    <row r="652" ht="17" customHeight="1"/>
    <row r="653" ht="17" customHeight="1"/>
    <row r="654" ht="17" customHeight="1"/>
    <row r="655" ht="17" customHeight="1"/>
    <row r="656" ht="17" customHeight="1"/>
    <row r="657" ht="17" customHeight="1"/>
    <row r="658" ht="17" customHeight="1"/>
    <row r="659" ht="17" customHeight="1"/>
    <row r="660" ht="17" customHeight="1"/>
    <row r="661" ht="17" customHeight="1"/>
    <row r="662" ht="17" customHeight="1"/>
    <row r="663" ht="17" customHeight="1"/>
    <row r="664" ht="17" customHeight="1"/>
    <row r="665" ht="17" customHeight="1"/>
    <row r="666" ht="17" customHeight="1"/>
    <row r="667" ht="17" customHeight="1"/>
    <row r="668" ht="17" customHeight="1"/>
    <row r="669" ht="17" customHeight="1"/>
    <row r="670" ht="17" customHeight="1"/>
    <row r="671" ht="17" customHeight="1"/>
    <row r="672" ht="17" customHeight="1"/>
    <row r="673" ht="17" customHeight="1"/>
    <row r="674" ht="17" customHeight="1"/>
    <row r="675" ht="17" customHeight="1"/>
    <row r="676" ht="17" customHeight="1"/>
    <row r="677" ht="17" customHeight="1"/>
    <row r="678" ht="17" customHeight="1"/>
    <row r="679" ht="17" customHeight="1"/>
    <row r="680" ht="17" customHeight="1"/>
    <row r="681" ht="17" customHeight="1"/>
    <row r="682" ht="17" customHeight="1"/>
    <row r="683" ht="17" customHeight="1"/>
    <row r="684" ht="17" customHeight="1"/>
    <row r="685" ht="17" customHeight="1"/>
    <row r="686" ht="17" customHeight="1"/>
    <row r="687" ht="17" customHeight="1"/>
    <row r="688" ht="17" customHeight="1"/>
    <row r="689" ht="17" customHeight="1"/>
    <row r="690" ht="17" customHeight="1"/>
    <row r="691" ht="17" customHeight="1"/>
    <row r="692" ht="17" customHeight="1"/>
    <row r="693" ht="17" customHeight="1"/>
    <row r="694" ht="17" customHeight="1"/>
    <row r="695" ht="17" customHeight="1"/>
    <row r="696" ht="17" customHeight="1"/>
    <row r="697" ht="17" customHeight="1"/>
    <row r="698" ht="17" customHeight="1"/>
    <row r="699" ht="17" customHeight="1"/>
    <row r="700" ht="17" customHeight="1"/>
    <row r="701" ht="17" customHeight="1"/>
    <row r="702" ht="17" customHeight="1"/>
    <row r="703" ht="17" customHeight="1"/>
    <row r="704" ht="17" customHeight="1"/>
    <row r="705" ht="17" customHeight="1"/>
    <row r="706" ht="17" customHeight="1"/>
    <row r="707" ht="17" customHeight="1"/>
    <row r="708" ht="17" customHeight="1"/>
    <row r="709" ht="17" customHeight="1"/>
    <row r="710" ht="17" customHeight="1"/>
    <row r="711" ht="17" customHeight="1"/>
    <row r="712" ht="17" customHeight="1"/>
    <row r="713" ht="17" customHeight="1"/>
    <row r="714" ht="17" customHeight="1"/>
    <row r="715" ht="17" customHeight="1"/>
    <row r="716" ht="17" customHeight="1"/>
    <row r="717" ht="17" customHeight="1"/>
    <row r="718" ht="17" customHeight="1"/>
    <row r="719" ht="17" customHeight="1"/>
    <row r="720" ht="17" customHeight="1"/>
    <row r="721" ht="17" customHeight="1"/>
    <row r="722" ht="17" customHeight="1"/>
    <row r="723" ht="17" customHeight="1"/>
    <row r="724" ht="17" customHeight="1"/>
    <row r="725" ht="17" customHeight="1"/>
    <row r="726" ht="17" customHeight="1"/>
    <row r="727" ht="17" customHeight="1"/>
    <row r="728" ht="17" customHeight="1"/>
    <row r="729" ht="17" customHeight="1"/>
    <row r="730" ht="17" customHeight="1"/>
    <row r="731" ht="17" customHeight="1"/>
    <row r="732" ht="17" customHeight="1"/>
    <row r="733" ht="17" customHeight="1"/>
    <row r="734" ht="17" customHeight="1"/>
    <row r="735" ht="17" customHeight="1"/>
    <row r="736" ht="17" customHeight="1"/>
    <row r="737" ht="17" customHeight="1"/>
    <row r="738" ht="17" customHeight="1"/>
    <row r="739" ht="17" customHeight="1"/>
    <row r="740" ht="17" customHeight="1"/>
    <row r="741" ht="17" customHeight="1"/>
    <row r="742" ht="17" customHeight="1"/>
    <row r="743" ht="17" customHeight="1"/>
    <row r="744" ht="17" customHeight="1"/>
    <row r="745" ht="17" customHeight="1"/>
    <row r="746" ht="17" customHeight="1"/>
    <row r="747" ht="17" customHeight="1"/>
    <row r="748" ht="17" customHeight="1"/>
    <row r="749" ht="17" customHeight="1"/>
    <row r="750" ht="17" customHeight="1"/>
    <row r="751" ht="17" customHeight="1"/>
    <row r="752" ht="17" customHeight="1"/>
    <row r="753" ht="17" customHeight="1"/>
    <row r="754" ht="17" customHeight="1"/>
    <row r="755" ht="17" customHeight="1"/>
    <row r="756" ht="17" customHeight="1"/>
    <row r="757" ht="17" customHeight="1"/>
    <row r="758" ht="17" customHeight="1"/>
    <row r="759" ht="17" customHeight="1"/>
    <row r="760" ht="17" customHeight="1"/>
    <row r="761" ht="17" customHeight="1"/>
    <row r="762" ht="17" customHeight="1"/>
    <row r="763" ht="17" customHeight="1"/>
    <row r="764" ht="17" customHeight="1"/>
    <row r="765" ht="17" customHeight="1"/>
    <row r="766" ht="17" customHeight="1"/>
    <row r="767" ht="17" customHeight="1"/>
    <row r="768" ht="17" customHeight="1"/>
    <row r="769" ht="17" customHeight="1"/>
    <row r="770" ht="17" customHeight="1"/>
    <row r="771" ht="17" customHeight="1"/>
    <row r="772" ht="17" customHeight="1"/>
    <row r="773" ht="17" customHeight="1"/>
    <row r="774" ht="17" customHeight="1"/>
    <row r="775" ht="17" customHeight="1"/>
    <row r="776" ht="17" customHeight="1"/>
    <row r="777" ht="17" customHeight="1"/>
    <row r="778" ht="17" customHeight="1"/>
    <row r="779" ht="17" customHeight="1"/>
    <row r="780" ht="17" customHeight="1"/>
    <row r="781" ht="17" customHeight="1"/>
    <row r="782" ht="17" customHeight="1"/>
    <row r="783" ht="17" customHeight="1"/>
    <row r="784" ht="17" customHeight="1"/>
    <row r="785" ht="17" customHeight="1"/>
    <row r="786" ht="17" customHeight="1"/>
    <row r="787" ht="17" customHeight="1"/>
    <row r="788" ht="17" customHeight="1"/>
    <row r="789" ht="17" customHeight="1"/>
    <row r="790" ht="17" customHeight="1"/>
    <row r="791" ht="17" customHeight="1"/>
    <row r="792" ht="17" customHeight="1"/>
    <row r="793" ht="17" customHeight="1"/>
    <row r="794" ht="17" customHeight="1"/>
    <row r="795" ht="17" customHeight="1"/>
    <row r="796" ht="17" customHeight="1"/>
    <row r="797" ht="17" customHeight="1"/>
    <row r="798" ht="17" customHeight="1"/>
    <row r="799" ht="17" customHeight="1"/>
    <row r="800" ht="17" customHeight="1"/>
    <row r="801" ht="17" customHeight="1"/>
    <row r="802" ht="17" customHeight="1"/>
    <row r="803" ht="17" customHeight="1"/>
    <row r="804" ht="17" customHeight="1"/>
    <row r="805" ht="17" customHeight="1"/>
    <row r="806" ht="17" customHeight="1"/>
    <row r="807" ht="17" customHeight="1"/>
    <row r="808" ht="17" customHeight="1"/>
    <row r="809" ht="17" customHeight="1"/>
    <row r="810" ht="17" customHeight="1"/>
    <row r="811" ht="17" customHeight="1"/>
    <row r="812" ht="17" customHeight="1"/>
  </sheetData>
  <autoFilter xmlns:etc="http://www.wps.cn/officeDocument/2017/etCustomData" ref="A7:XFC532" etc:filterBottomFollowUsedRange="0">
    <extLst/>
  </autoFilter>
  <mergeCells count="225">
    <mergeCell ref="E6:J6"/>
    <mergeCell ref="K6:M6"/>
    <mergeCell ref="W6:AH6"/>
    <mergeCell ref="AJ6:AL6"/>
    <mergeCell ref="AM6:AO6"/>
    <mergeCell ref="A6:A8"/>
    <mergeCell ref="B6:B8"/>
    <mergeCell ref="B9:B19"/>
    <mergeCell ref="B20:B39"/>
    <mergeCell ref="B40:B63"/>
    <mergeCell ref="B64:B71"/>
    <mergeCell ref="B72:B76"/>
    <mergeCell ref="B77:B84"/>
    <mergeCell ref="B85:B91"/>
    <mergeCell ref="B92:B98"/>
    <mergeCell ref="B99:B106"/>
    <mergeCell ref="B107:B114"/>
    <mergeCell ref="B115:B122"/>
    <mergeCell ref="B123:B127"/>
    <mergeCell ref="B128:B135"/>
    <mergeCell ref="B136:B143"/>
    <mergeCell ref="B144:B150"/>
    <mergeCell ref="B151:B158"/>
    <mergeCell ref="B159:B166"/>
    <mergeCell ref="B167:B174"/>
    <mergeCell ref="B175:B182"/>
    <mergeCell ref="B183:B190"/>
    <mergeCell ref="B191:B198"/>
    <mergeCell ref="B199:B206"/>
    <mergeCell ref="B207:B213"/>
    <mergeCell ref="B214:B221"/>
    <mergeCell ref="B222:B228"/>
    <mergeCell ref="B229:B236"/>
    <mergeCell ref="B237:B244"/>
    <mergeCell ref="B245:B252"/>
    <mergeCell ref="B253:B260"/>
    <mergeCell ref="B261:B268"/>
    <mergeCell ref="B269:B276"/>
    <mergeCell ref="B277:B284"/>
    <mergeCell ref="B285:B292"/>
    <mergeCell ref="B293:B300"/>
    <mergeCell ref="B301:B308"/>
    <mergeCell ref="B309:B319"/>
    <mergeCell ref="B320:B329"/>
    <mergeCell ref="B330:B337"/>
    <mergeCell ref="B338:B343"/>
    <mergeCell ref="B344:B351"/>
    <mergeCell ref="B352:B359"/>
    <mergeCell ref="B360:B367"/>
    <mergeCell ref="B368:B375"/>
    <mergeCell ref="B376:B383"/>
    <mergeCell ref="B384:B391"/>
    <mergeCell ref="B392:B399"/>
    <mergeCell ref="B400:B405"/>
    <mergeCell ref="B406:B413"/>
    <mergeCell ref="B414:B422"/>
    <mergeCell ref="B423:B431"/>
    <mergeCell ref="B432:B439"/>
    <mergeCell ref="B440:B447"/>
    <mergeCell ref="B448:B455"/>
    <mergeCell ref="B456:B463"/>
    <mergeCell ref="B464:B471"/>
    <mergeCell ref="B472:B479"/>
    <mergeCell ref="B480:B487"/>
    <mergeCell ref="B488:B496"/>
    <mergeCell ref="B497:B505"/>
    <mergeCell ref="B506:B514"/>
    <mergeCell ref="B515:B520"/>
    <mergeCell ref="B521:B526"/>
    <mergeCell ref="B527:B532"/>
    <mergeCell ref="C6:C8"/>
    <mergeCell ref="C9:C19"/>
    <mergeCell ref="C20:C39"/>
    <mergeCell ref="C40:C63"/>
    <mergeCell ref="C64:C71"/>
    <mergeCell ref="C72:C76"/>
    <mergeCell ref="C77:C84"/>
    <mergeCell ref="C85:C91"/>
    <mergeCell ref="C92:C98"/>
    <mergeCell ref="C99:C106"/>
    <mergeCell ref="C107:C114"/>
    <mergeCell ref="C115:C122"/>
    <mergeCell ref="C123:C127"/>
    <mergeCell ref="C128:C135"/>
    <mergeCell ref="C136:C143"/>
    <mergeCell ref="C144:C150"/>
    <mergeCell ref="C151:C158"/>
    <mergeCell ref="C159:C166"/>
    <mergeCell ref="C167:C174"/>
    <mergeCell ref="C175:C182"/>
    <mergeCell ref="C183:C190"/>
    <mergeCell ref="C191:C198"/>
    <mergeCell ref="C199:C206"/>
    <mergeCell ref="C207:C213"/>
    <mergeCell ref="C214:C221"/>
    <mergeCell ref="C222:C228"/>
    <mergeCell ref="C229:C236"/>
    <mergeCell ref="C237:C244"/>
    <mergeCell ref="C245:C252"/>
    <mergeCell ref="C253:C260"/>
    <mergeCell ref="C261:C268"/>
    <mergeCell ref="C269:C276"/>
    <mergeCell ref="C277:C284"/>
    <mergeCell ref="C285:C292"/>
    <mergeCell ref="C293:C300"/>
    <mergeCell ref="C301:C308"/>
    <mergeCell ref="C309:C319"/>
    <mergeCell ref="C320:C329"/>
    <mergeCell ref="C330:C337"/>
    <mergeCell ref="C338:C343"/>
    <mergeCell ref="C344:C351"/>
    <mergeCell ref="C352:C359"/>
    <mergeCell ref="C360:C367"/>
    <mergeCell ref="C368:C375"/>
    <mergeCell ref="C376:C383"/>
    <mergeCell ref="C384:C391"/>
    <mergeCell ref="C392:C399"/>
    <mergeCell ref="C400:C405"/>
    <mergeCell ref="C406:C413"/>
    <mergeCell ref="C414:C422"/>
    <mergeCell ref="C423:C431"/>
    <mergeCell ref="C432:C439"/>
    <mergeCell ref="C440:C447"/>
    <mergeCell ref="C448:C455"/>
    <mergeCell ref="C456:C463"/>
    <mergeCell ref="C464:C471"/>
    <mergeCell ref="C472:C479"/>
    <mergeCell ref="C480:C487"/>
    <mergeCell ref="C488:C496"/>
    <mergeCell ref="C497:C505"/>
    <mergeCell ref="C506:C514"/>
    <mergeCell ref="C515:C520"/>
    <mergeCell ref="C521:C526"/>
    <mergeCell ref="C527:C532"/>
    <mergeCell ref="D6:D8"/>
    <mergeCell ref="D9:D19"/>
    <mergeCell ref="D20:D39"/>
    <mergeCell ref="D40:D63"/>
    <mergeCell ref="D64:D71"/>
    <mergeCell ref="D72:D76"/>
    <mergeCell ref="D77:D84"/>
    <mergeCell ref="D85:D91"/>
    <mergeCell ref="D92:D98"/>
    <mergeCell ref="D99:D106"/>
    <mergeCell ref="D107:D114"/>
    <mergeCell ref="D115:D122"/>
    <mergeCell ref="D123:D127"/>
    <mergeCell ref="D128:D135"/>
    <mergeCell ref="D136:D143"/>
    <mergeCell ref="D144:D150"/>
    <mergeCell ref="D151:D158"/>
    <mergeCell ref="D159:D166"/>
    <mergeCell ref="D167:D174"/>
    <mergeCell ref="D175:D182"/>
    <mergeCell ref="D183:D190"/>
    <mergeCell ref="D191:D198"/>
    <mergeCell ref="D199:D206"/>
    <mergeCell ref="D207:D213"/>
    <mergeCell ref="D214:D221"/>
    <mergeCell ref="D222:D228"/>
    <mergeCell ref="D229:D236"/>
    <mergeCell ref="D237:D244"/>
    <mergeCell ref="D245:D252"/>
    <mergeCell ref="D253:D260"/>
    <mergeCell ref="D261:D268"/>
    <mergeCell ref="D269:D276"/>
    <mergeCell ref="D277:D284"/>
    <mergeCell ref="D285:D292"/>
    <mergeCell ref="D293:D300"/>
    <mergeCell ref="D301:D308"/>
    <mergeCell ref="D309:D319"/>
    <mergeCell ref="D320:D329"/>
    <mergeCell ref="D330:D337"/>
    <mergeCell ref="D338:D343"/>
    <mergeCell ref="D344:D351"/>
    <mergeCell ref="D352:D359"/>
    <mergeCell ref="D360:D367"/>
    <mergeCell ref="D368:D375"/>
    <mergeCell ref="D376:D383"/>
    <mergeCell ref="D384:D391"/>
    <mergeCell ref="D392:D399"/>
    <mergeCell ref="D400:D405"/>
    <mergeCell ref="D406:D413"/>
    <mergeCell ref="D414:D422"/>
    <mergeCell ref="D423:D431"/>
    <mergeCell ref="D432:D439"/>
    <mergeCell ref="D440:D447"/>
    <mergeCell ref="D448:D455"/>
    <mergeCell ref="D456:D463"/>
    <mergeCell ref="D464:D471"/>
    <mergeCell ref="D472:D479"/>
    <mergeCell ref="D480:D487"/>
    <mergeCell ref="D488:D496"/>
    <mergeCell ref="D497:D505"/>
    <mergeCell ref="D506:D514"/>
    <mergeCell ref="D515:D520"/>
    <mergeCell ref="D521:D526"/>
    <mergeCell ref="D527:D532"/>
    <mergeCell ref="K7:K8"/>
    <mergeCell ref="L7:L8"/>
    <mergeCell ref="M7:M8"/>
    <mergeCell ref="V6:V8"/>
    <mergeCell ref="W7:W8"/>
    <mergeCell ref="X7:X8"/>
    <mergeCell ref="Y7:Y8"/>
    <mergeCell ref="Z7:Z8"/>
    <mergeCell ref="AA7:AA8"/>
    <mergeCell ref="AB7:AB8"/>
    <mergeCell ref="AC7:AC8"/>
    <mergeCell ref="AD7:AD8"/>
    <mergeCell ref="AE7:AE8"/>
    <mergeCell ref="AF7:AF8"/>
    <mergeCell ref="AG7:AG8"/>
    <mergeCell ref="AH7:AH8"/>
    <mergeCell ref="AI6:AI7"/>
    <mergeCell ref="AJ7:AJ8"/>
    <mergeCell ref="AK7:AK8"/>
    <mergeCell ref="AL7:AL8"/>
    <mergeCell ref="AM7:AM8"/>
    <mergeCell ref="AN7:AN8"/>
    <mergeCell ref="AO7:AO8"/>
    <mergeCell ref="A1:AK3"/>
    <mergeCell ref="AL1:AO3"/>
    <mergeCell ref="N6:S7"/>
    <mergeCell ref="T6:U7"/>
  </mergeCells>
  <dataValidations count="8">
    <dataValidation allowBlank="1" showInputMessage="1" showErrorMessage="1" sqref="AJ4:AL4 S112:W112 T113:W113 AK178:AL178 AK182 AK190 AK198 AK206 AK207:AL207 AK209:AL209 AK210 AK211:AL211 AK221 AK222:AL222 AK224:AL224 AK225 AK226:AL226 AK236 AK244 AK252 AK260 AK268 AK292 AK300 AL313 AK329 AK351 AK367 AK375 AK383 AK391 AK399 AK400:AL400 AK401 AK402:AL402 AK419:AL419 AK428:AL428 AK483:AL483 AK485:AL485 AK494 AK499:AL499 AK512 AK516 S517 AK532 C4:C5 C178:C351 C360:C1048576 R813:R1048576 S9:S111 S113:S284 S289:S290 S292:S308 S320:S351 S360:S514 V12:V13 V20:V21 V28:V29 V36:V37 V44:V106 V108:V109 V114:V351 W178:W351 W360:W812 Y112:Y113 Y178:Y351 Y360:Y812 AA112:AA113 AA178:AA351 AA360:AA812 AC112:AC113 AE112:AE113 AE178:AE351 AE360:AE812 AI4:AI6 AK212:AK213 AK227:AK228 AK276:AK284 AK308:AK313 AK316:AK319 AK337:AK343 AK403:AK405 AK412:AK413 AK421:AK422 AK430:AK431 AK438:AK439 AK446:AK447 AK454:AK455 AK462:AK463 AK470:AK471 AK478:AK479 AK486:AK487 AK519:AK520 AK523:AK526 AL309:AL311 AL316:AL318 N9:Q111 N114:Q308 N521:Q1048576 N4:V5 S521:V1048576 AK533:AL812 W4:AB6 W813:AB1048576 AE4:AG6 AE813:AG1048576 AH112:AI113 AI813:AL1048576 AK112:AL113 AK180:AL181 AK188:AL189 AK196:AL197 AK204:AL205 AK234:AL235 AK242:AL243 AK250:AL251 AK258:AL259 AK266:AL267 AK274:AL275 AK290:AL291 AK298:AL299 AK306:AL307 AK432:AL433 AK440:AL441 AK448:AL449 AK456:AL457 AK464:AL465 AK472:AL473 AK480:AL481 AK183:AL186 AK191:AL194 AK199:AL202 AK423:AL426 AK214:AL217 AK330:AL333 AK414:AL417 AK219:AL220 AK335:AL336 AK349:AL350 AK365:AL366 AK373:AL374 AK381:AL382 AK389:AL390 AK397:AL398 AK513:AL514 AK521:AL522 AK229:AL232 AK237:AL240 AK245:AL248 AK253:AL256 AK261:AL264 AK269:AL272 AK285:AL288 AK293:AL296 AK301:AL304 AK320:AL323 AK344:AL347 AK360:AL363 AK368:AL371 AK376:AL379 AK384:AL387 AK392:AL395 AK326:AL328 AK443:AL445 AK467:AL469 AK435:AL437 AK459:AL461 AK495:AL497 AK501:AL503 AK451:AL453 AK475:AL477 AK488:AL493 AK505:AL511 AK527:AL531 T178:U351 N320:Q351 T360:V520 N360:Q514"/>
    <dataValidation type="list" showInputMessage="1" showErrorMessage="1" sqref="AK358:AL358 AK359 C352:C359 Y352:Y359 AA352:AA359 AE352:AE359 AK352:AL355 N352:Q359 S352:W359">
      <formula1>#REF!</formula1>
    </dataValidation>
    <dataValidation type="list" showInputMessage="1" showErrorMessage="1" sqref="W9:W111 W114:W177">
      <formula1>"≤1天(1day),≤一周(1week),≤1个月(1month),≤6个月(6month),超过6个月(more than 6months)"</formula1>
    </dataValidation>
    <dataValidation type="list" showInputMessage="1" showErrorMessage="1" sqref="Y9:Y111 Y114:Y177">
      <formula1>"业余(Layman),熟练(Proficient),专家(Expert),多领域多位专家(Multiple Experts)"</formula1>
    </dataValidation>
    <dataValidation type="list" showInputMessage="1" showErrorMessage="1" sqref="AA9:AA111 AA114:AA177">
      <formula1>"公开信息(Public),限制性信息(Restricted),机密信息(Confidential),严格保密信息(Strictly Confidential)"</formula1>
    </dataValidation>
    <dataValidation type="list" showInputMessage="1" showErrorMessage="1" sqref="AC9:AC111 AC114:AC177">
      <formula1>"无限制(Ultimated),容易(Easy),一般(Moderate),困难(Difficult/None)"</formula1>
    </dataValidation>
    <dataValidation type="list" showInputMessage="1" showErrorMessage="1" sqref="AE9:AE111 AE114:AE177">
      <formula1>"普通开源(Standard),专用开源(Specialized),定制(Bespoke),多个定制(Multiple bespoke)"</formula1>
    </dataValidation>
    <dataValidation showInputMessage="1" showErrorMessage="1" sqref="N6:S8"/>
  </dataValidation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3"/>
  <sheetViews>
    <sheetView zoomScale="94" zoomScaleNormal="94" topLeftCell="A52" workbookViewId="0">
      <selection activeCell="H35" sqref="H35"/>
    </sheetView>
  </sheetViews>
  <sheetFormatPr defaultColWidth="11" defaultRowHeight="17.6"/>
  <cols>
    <col min="1" max="1" width="4" style="90" customWidth="1"/>
    <col min="2" max="2" width="15.3333333333333" style="91" customWidth="1"/>
    <col min="3" max="3" width="16.5" style="92" customWidth="1"/>
    <col min="4" max="4" width="57.3333333333333" style="93" customWidth="1"/>
    <col min="6" max="6" width="6.33333333333333" style="94" customWidth="1"/>
  </cols>
  <sheetData>
    <row r="1" ht="45" customHeight="1" spans="1:6">
      <c r="A1" s="95"/>
      <c r="B1" s="96" t="s">
        <v>1670</v>
      </c>
      <c r="C1" s="96" t="s">
        <v>1671</v>
      </c>
      <c r="D1" s="96" t="s">
        <v>1672</v>
      </c>
    </row>
    <row r="2" ht="23.5" customHeight="1" spans="1:6">
      <c r="A2" s="95"/>
      <c r="B2" s="97" t="s">
        <v>70</v>
      </c>
      <c r="C2" s="97" t="s">
        <v>71</v>
      </c>
      <c r="D2" s="97" t="s">
        <v>72</v>
      </c>
      <c r="E2" s="98"/>
      <c r="F2" s="98"/>
    </row>
    <row r="3" ht="23.5" customHeight="1" spans="1:6">
      <c r="A3" s="95"/>
      <c r="B3" s="97" t="s">
        <v>184</v>
      </c>
      <c r="C3" s="97" t="s">
        <v>71</v>
      </c>
      <c r="D3" s="97" t="s">
        <v>185</v>
      </c>
      <c r="E3" s="98"/>
      <c r="F3" s="98"/>
    </row>
    <row r="4" ht="23.5" customHeight="1" spans="1:6">
      <c r="A4" s="95"/>
      <c r="B4" s="97" t="s">
        <v>349</v>
      </c>
      <c r="C4" s="97" t="s">
        <v>71</v>
      </c>
      <c r="D4" s="97" t="s">
        <v>350</v>
      </c>
      <c r="E4" s="98"/>
      <c r="F4" s="98"/>
    </row>
    <row r="5" ht="23.5" customHeight="1" spans="1:6">
      <c r="A5" s="95"/>
      <c r="B5" s="97" t="s">
        <v>507</v>
      </c>
      <c r="C5" s="97" t="s">
        <v>71</v>
      </c>
      <c r="D5" s="97" t="s">
        <v>508</v>
      </c>
      <c r="E5" s="98"/>
      <c r="F5" s="98"/>
    </row>
    <row r="6" ht="23.5" customHeight="1" spans="1:6">
      <c r="A6" s="95"/>
      <c r="B6" s="97" t="s">
        <v>545</v>
      </c>
      <c r="C6" s="97" t="s">
        <v>71</v>
      </c>
      <c r="D6" s="97" t="s">
        <v>546</v>
      </c>
      <c r="E6" s="98"/>
      <c r="F6" s="98"/>
    </row>
    <row r="7" ht="23.5" customHeight="1" spans="1:6">
      <c r="A7" s="95"/>
      <c r="B7" s="97" t="s">
        <v>562</v>
      </c>
      <c r="C7" s="97" t="s">
        <v>71</v>
      </c>
      <c r="D7" s="97" t="s">
        <v>563</v>
      </c>
      <c r="E7" s="98"/>
      <c r="F7" s="98"/>
    </row>
    <row r="8" ht="23.5" customHeight="1" spans="1:6">
      <c r="A8" s="95"/>
      <c r="B8" s="97" t="s">
        <v>576</v>
      </c>
      <c r="C8" s="97" t="s">
        <v>71</v>
      </c>
      <c r="D8" s="97" t="s">
        <v>577</v>
      </c>
      <c r="E8" s="98"/>
      <c r="F8" s="98"/>
    </row>
    <row r="9" ht="23.5" customHeight="1" spans="1:6">
      <c r="A9" s="95"/>
      <c r="B9" s="97" t="s">
        <v>594</v>
      </c>
      <c r="C9" s="97" t="s">
        <v>71</v>
      </c>
      <c r="D9" s="97" t="s">
        <v>595</v>
      </c>
      <c r="E9" s="98"/>
      <c r="F9" s="98"/>
    </row>
    <row r="10" ht="23.5" customHeight="1" spans="1:6">
      <c r="A10" s="95"/>
      <c r="B10" s="97" t="s">
        <v>604</v>
      </c>
      <c r="C10" s="97" t="s">
        <v>71</v>
      </c>
      <c r="D10" s="97" t="s">
        <v>605</v>
      </c>
      <c r="E10" s="98"/>
      <c r="F10" s="98"/>
    </row>
    <row r="11" ht="23.5" customHeight="1" spans="1:6">
      <c r="A11" s="95"/>
      <c r="B11" s="97" t="s">
        <v>618</v>
      </c>
      <c r="C11" s="97" t="s">
        <v>71</v>
      </c>
      <c r="D11" s="97" t="s">
        <v>619</v>
      </c>
      <c r="E11" s="98"/>
      <c r="F11" s="98"/>
    </row>
    <row r="12" ht="23.5" customHeight="1" spans="1:6">
      <c r="A12" s="95"/>
      <c r="B12" s="97" t="s">
        <v>649</v>
      </c>
      <c r="C12" s="97" t="s">
        <v>71</v>
      </c>
      <c r="D12" s="97" t="s">
        <v>650</v>
      </c>
      <c r="E12" s="98"/>
      <c r="F12" s="98"/>
    </row>
    <row r="13" ht="23.5" customHeight="1" spans="1:6">
      <c r="A13" s="95"/>
      <c r="B13" s="97" t="s">
        <v>663</v>
      </c>
      <c r="C13" s="97" t="s">
        <v>71</v>
      </c>
      <c r="D13" s="97" t="s">
        <v>664</v>
      </c>
      <c r="E13" s="98"/>
      <c r="F13" s="98"/>
    </row>
    <row r="14" ht="23.5" customHeight="1" spans="1:6">
      <c r="A14" s="95"/>
      <c r="B14" s="97" t="s">
        <v>671</v>
      </c>
      <c r="C14" s="97" t="s">
        <v>71</v>
      </c>
      <c r="D14" s="97" t="s">
        <v>672</v>
      </c>
      <c r="E14" s="98"/>
      <c r="F14" s="98"/>
    </row>
    <row r="15" ht="23.5" customHeight="1" spans="1:6">
      <c r="A15" s="95"/>
      <c r="B15" s="97" t="s">
        <v>685</v>
      </c>
      <c r="C15" s="97" t="s">
        <v>71</v>
      </c>
      <c r="D15" s="97" t="s">
        <v>686</v>
      </c>
      <c r="E15" s="98"/>
      <c r="F15" s="98"/>
    </row>
    <row r="16" ht="23.5" customHeight="1" spans="1:6">
      <c r="A16" s="95"/>
      <c r="B16" s="97" t="s">
        <v>699</v>
      </c>
      <c r="C16" s="97" t="s">
        <v>71</v>
      </c>
      <c r="D16" s="97" t="s">
        <v>700</v>
      </c>
      <c r="E16" s="98"/>
      <c r="F16" s="98"/>
    </row>
    <row r="17" ht="23.5" customHeight="1" spans="1:13">
      <c r="A17" s="95"/>
      <c r="B17" s="97" t="s">
        <v>709</v>
      </c>
      <c r="C17" s="97" t="s">
        <v>71</v>
      </c>
      <c r="D17" s="97" t="s">
        <v>710</v>
      </c>
      <c r="E17" s="98"/>
      <c r="F17" s="98"/>
    </row>
    <row r="18" ht="23.5" customHeight="1" spans="1:13">
      <c r="A18" s="95"/>
      <c r="B18" s="97" t="s">
        <v>723</v>
      </c>
      <c r="C18" s="97" t="s">
        <v>71</v>
      </c>
      <c r="D18" s="97" t="s">
        <v>724</v>
      </c>
      <c r="E18" s="98"/>
      <c r="F18" s="98"/>
    </row>
    <row r="19" ht="23.5" customHeight="1" spans="1:13">
      <c r="A19" s="95"/>
      <c r="B19" s="97" t="s">
        <v>737</v>
      </c>
      <c r="C19" s="97" t="s">
        <v>71</v>
      </c>
      <c r="D19" s="97" t="s">
        <v>738</v>
      </c>
      <c r="E19" s="98"/>
      <c r="F19" s="98"/>
    </row>
    <row r="20" ht="23.5" customHeight="1" spans="1:13">
      <c r="A20" s="95"/>
      <c r="B20" s="97" t="s">
        <v>751</v>
      </c>
      <c r="C20" s="97" t="s">
        <v>71</v>
      </c>
      <c r="D20" s="97" t="s">
        <v>752</v>
      </c>
      <c r="E20" s="98"/>
      <c r="F20" s="98"/>
    </row>
    <row r="21" ht="23.5" customHeight="1" spans="1:13">
      <c r="A21" s="95"/>
      <c r="B21" s="97" t="s">
        <v>765</v>
      </c>
      <c r="C21" s="97" t="s">
        <v>71</v>
      </c>
      <c r="D21" s="97" t="s">
        <v>766</v>
      </c>
      <c r="E21" s="98"/>
      <c r="F21" s="98"/>
    </row>
    <row r="22" ht="23.5" customHeight="1" spans="1:13">
      <c r="A22" s="95"/>
      <c r="B22" s="97" t="s">
        <v>779</v>
      </c>
      <c r="C22" s="97" t="s">
        <v>71</v>
      </c>
      <c r="D22" s="97" t="s">
        <v>780</v>
      </c>
      <c r="E22" s="98"/>
      <c r="F22" s="98"/>
    </row>
    <row r="23" ht="23.5" customHeight="1" spans="1:13">
      <c r="A23" s="95"/>
      <c r="B23" s="97" t="s">
        <v>793</v>
      </c>
      <c r="C23" s="97" t="s">
        <v>71</v>
      </c>
      <c r="D23" s="97" t="s">
        <v>794</v>
      </c>
      <c r="E23" s="98"/>
      <c r="F23" s="98"/>
    </row>
    <row r="24" ht="23.5" customHeight="1" spans="1:13">
      <c r="A24" s="95"/>
      <c r="B24" s="97" t="s">
        <v>807</v>
      </c>
      <c r="C24" s="97" t="s">
        <v>71</v>
      </c>
      <c r="D24" s="97" t="s">
        <v>808</v>
      </c>
      <c r="E24" s="98"/>
      <c r="F24" s="98"/>
    </row>
    <row r="25" ht="23.5" customHeight="1" spans="1:13">
      <c r="A25" s="95"/>
      <c r="B25" s="97" t="s">
        <v>817</v>
      </c>
      <c r="C25" s="97" t="s">
        <v>71</v>
      </c>
      <c r="D25" s="97" t="s">
        <v>818</v>
      </c>
      <c r="E25" s="98"/>
      <c r="F25" s="98"/>
    </row>
    <row r="26" ht="23.5" customHeight="1" spans="1:13">
      <c r="A26" s="95"/>
      <c r="B26" s="97" t="s">
        <v>831</v>
      </c>
      <c r="C26" s="97" t="s">
        <v>71</v>
      </c>
      <c r="D26" s="97" t="s">
        <v>832</v>
      </c>
      <c r="E26" s="98"/>
      <c r="F26" s="98"/>
    </row>
    <row r="27" ht="23.5" customHeight="1" spans="1:13">
      <c r="A27" s="95"/>
      <c r="B27" s="97" t="s">
        <v>841</v>
      </c>
      <c r="C27" s="97" t="s">
        <v>71</v>
      </c>
      <c r="D27" s="97" t="s">
        <v>842</v>
      </c>
      <c r="E27" s="98"/>
      <c r="F27" s="98"/>
    </row>
    <row r="28" ht="23.5" customHeight="1" spans="1:13">
      <c r="A28" s="95"/>
      <c r="B28" s="97" t="s">
        <v>855</v>
      </c>
      <c r="C28" s="97" t="s">
        <v>71</v>
      </c>
      <c r="D28" s="97" t="s">
        <v>856</v>
      </c>
      <c r="E28" s="98"/>
      <c r="F28" s="98"/>
    </row>
    <row r="29" ht="23.5" customHeight="1" spans="1:13">
      <c r="A29" s="95"/>
      <c r="B29" s="97" t="s">
        <v>869</v>
      </c>
      <c r="C29" s="97" t="s">
        <v>71</v>
      </c>
      <c r="D29" s="97" t="s">
        <v>870</v>
      </c>
      <c r="E29" s="98"/>
      <c r="F29" s="98"/>
    </row>
    <row r="30" s="88" customFormat="1" ht="23.5" customHeight="1" spans="1:13">
      <c r="A30" s="95"/>
      <c r="B30" s="97" t="s">
        <v>884</v>
      </c>
      <c r="C30" s="97" t="s">
        <v>71</v>
      </c>
      <c r="D30" s="97" t="s">
        <v>885</v>
      </c>
      <c r="E30" s="99"/>
      <c r="F30" s="99"/>
      <c r="H30" s="100"/>
      <c r="I30" s="100"/>
      <c r="J30" s="100"/>
      <c r="K30" s="100"/>
      <c r="L30" s="100"/>
      <c r="M30" s="100"/>
    </row>
    <row r="31" ht="23.5" customHeight="1" spans="1:13">
      <c r="A31" s="95"/>
      <c r="B31" s="97" t="s">
        <v>898</v>
      </c>
      <c r="C31" s="97" t="s">
        <v>71</v>
      </c>
      <c r="D31" s="97" t="s">
        <v>899</v>
      </c>
      <c r="E31" s="98"/>
      <c r="F31" s="98"/>
    </row>
    <row r="32" ht="23.5" customHeight="1" spans="1:13">
      <c r="A32" s="95"/>
      <c r="B32" s="97" t="s">
        <v>912</v>
      </c>
      <c r="C32" s="97" t="s">
        <v>71</v>
      </c>
      <c r="D32" s="97" t="s">
        <v>913</v>
      </c>
      <c r="E32" s="98"/>
      <c r="F32" s="98"/>
    </row>
    <row r="33" ht="23.5" customHeight="1" spans="1:6">
      <c r="A33" s="95"/>
      <c r="B33" s="97" t="s">
        <v>926</v>
      </c>
      <c r="C33" s="97" t="s">
        <v>71</v>
      </c>
      <c r="D33" s="97" t="s">
        <v>927</v>
      </c>
      <c r="E33" s="98"/>
      <c r="F33" s="98"/>
    </row>
    <row r="34" ht="23.5" customHeight="1" spans="1:6">
      <c r="A34" s="95"/>
      <c r="B34" s="97" t="s">
        <v>941</v>
      </c>
      <c r="C34" s="97" t="s">
        <v>71</v>
      </c>
      <c r="D34" s="97" t="s">
        <v>942</v>
      </c>
      <c r="E34" s="98"/>
      <c r="F34" s="98"/>
    </row>
    <row r="35" ht="23.5" customHeight="1" spans="1:6">
      <c r="A35" s="95"/>
      <c r="B35" s="97" t="s">
        <v>955</v>
      </c>
      <c r="C35" s="97" t="s">
        <v>71</v>
      </c>
      <c r="D35" s="97" t="s">
        <v>956</v>
      </c>
      <c r="E35" s="98"/>
      <c r="F35" s="98"/>
    </row>
    <row r="36" ht="23.5" customHeight="1" spans="1:6">
      <c r="A36" s="95"/>
      <c r="B36" s="97" t="s">
        <v>969</v>
      </c>
      <c r="C36" s="97" t="s">
        <v>71</v>
      </c>
      <c r="D36" s="97" t="s">
        <v>970</v>
      </c>
      <c r="E36" s="98"/>
      <c r="F36" s="98"/>
    </row>
    <row r="37" ht="23.5" customHeight="1" spans="1:6">
      <c r="A37" s="95"/>
      <c r="B37" s="97" t="s">
        <v>983</v>
      </c>
      <c r="C37" s="97" t="s">
        <v>71</v>
      </c>
      <c r="D37" s="97" t="s">
        <v>984</v>
      </c>
      <c r="E37" s="98"/>
      <c r="F37" s="98"/>
    </row>
    <row r="38" ht="23.5" customHeight="1" spans="1:6">
      <c r="A38" s="95"/>
      <c r="B38" s="97" t="s">
        <v>1036</v>
      </c>
      <c r="C38" s="97" t="s">
        <v>71</v>
      </c>
      <c r="D38" s="97" t="s">
        <v>1037</v>
      </c>
      <c r="E38" s="98"/>
      <c r="F38" s="98"/>
    </row>
    <row r="39" ht="23.5" customHeight="1" spans="1:6">
      <c r="A39" s="95"/>
      <c r="B39" s="97" t="s">
        <v>1080</v>
      </c>
      <c r="C39" s="97" t="s">
        <v>71</v>
      </c>
      <c r="D39" s="97" t="s">
        <v>1081</v>
      </c>
      <c r="E39" s="101"/>
      <c r="F39" s="102"/>
    </row>
    <row r="40" ht="23.5" customHeight="1" spans="1:6">
      <c r="A40" s="95"/>
      <c r="B40" s="97" t="s">
        <v>1094</v>
      </c>
      <c r="C40" s="97" t="s">
        <v>71</v>
      </c>
      <c r="D40" s="97" t="s">
        <v>1095</v>
      </c>
      <c r="E40" s="101"/>
      <c r="F40" s="102"/>
    </row>
    <row r="41" ht="23.5" customHeight="1" spans="1:6">
      <c r="A41" s="95"/>
      <c r="B41" s="97" t="s">
        <v>1103</v>
      </c>
      <c r="C41" s="97" t="s">
        <v>71</v>
      </c>
      <c r="D41" s="97" t="s">
        <v>1104</v>
      </c>
      <c r="E41" s="101"/>
      <c r="F41" s="102"/>
    </row>
    <row r="42" ht="23.5" customHeight="1" spans="1:6">
      <c r="A42" s="95"/>
      <c r="B42" s="97" t="s">
        <v>1117</v>
      </c>
      <c r="C42" s="97" t="s">
        <v>71</v>
      </c>
      <c r="D42" s="97" t="s">
        <v>1118</v>
      </c>
      <c r="E42" s="101"/>
      <c r="F42" s="102"/>
    </row>
    <row r="43" ht="23.5" customHeight="1" spans="1:6">
      <c r="A43" s="95"/>
      <c r="B43" s="97" t="s">
        <v>1131</v>
      </c>
      <c r="C43" s="97" t="s">
        <v>71</v>
      </c>
      <c r="D43" s="97" t="s">
        <v>1132</v>
      </c>
      <c r="E43" s="101"/>
      <c r="F43" s="102"/>
    </row>
    <row r="44" ht="23.5" customHeight="1" spans="1:6">
      <c r="A44" s="95"/>
      <c r="B44" s="97" t="s">
        <v>1145</v>
      </c>
      <c r="C44" s="97" t="s">
        <v>71</v>
      </c>
      <c r="D44" s="97" t="s">
        <v>1146</v>
      </c>
      <c r="E44" s="101"/>
      <c r="F44" s="102"/>
    </row>
    <row r="45" ht="23.5" customHeight="1" spans="1:6">
      <c r="A45" s="95"/>
      <c r="B45" s="97" t="s">
        <v>1159</v>
      </c>
      <c r="C45" s="97" t="s">
        <v>71</v>
      </c>
      <c r="D45" s="97" t="s">
        <v>1160</v>
      </c>
      <c r="E45" s="101"/>
      <c r="F45" s="102"/>
    </row>
    <row r="46" ht="23.5" customHeight="1" spans="1:6">
      <c r="A46" s="95"/>
      <c r="B46" s="97" t="s">
        <v>1173</v>
      </c>
      <c r="C46" s="97" t="s">
        <v>71</v>
      </c>
      <c r="D46" s="97" t="s">
        <v>1174</v>
      </c>
      <c r="E46" s="101"/>
      <c r="F46" s="102"/>
    </row>
    <row r="47" ht="23.5" customHeight="1" spans="1:6">
      <c r="A47" s="95"/>
      <c r="B47" s="97" t="s">
        <v>1187</v>
      </c>
      <c r="C47" s="97" t="s">
        <v>71</v>
      </c>
      <c r="D47" s="97" t="s">
        <v>1188</v>
      </c>
      <c r="E47" s="101"/>
      <c r="F47" s="102"/>
    </row>
    <row r="48" ht="23.5" customHeight="1" spans="1:6">
      <c r="A48" s="95"/>
      <c r="B48" s="97" t="s">
        <v>1201</v>
      </c>
      <c r="C48" s="97" t="s">
        <v>71</v>
      </c>
      <c r="D48" s="97" t="s">
        <v>1202</v>
      </c>
      <c r="E48" s="101"/>
      <c r="F48" s="102"/>
    </row>
    <row r="49" ht="23.5" customHeight="1" spans="1:6">
      <c r="A49" s="95"/>
      <c r="B49" s="97" t="s">
        <v>1673</v>
      </c>
      <c r="C49" s="97" t="s">
        <v>71</v>
      </c>
      <c r="D49" s="97" t="s">
        <v>1674</v>
      </c>
      <c r="E49" s="101"/>
      <c r="F49" s="102"/>
    </row>
    <row r="50" ht="23.5" customHeight="1" spans="1:6">
      <c r="A50" s="95"/>
      <c r="B50" s="97" t="s">
        <v>1220</v>
      </c>
      <c r="C50" s="97" t="s">
        <v>1221</v>
      </c>
      <c r="D50" s="97" t="s">
        <v>1222</v>
      </c>
      <c r="E50" s="101"/>
      <c r="F50" s="102"/>
    </row>
    <row r="51" ht="23.5" customHeight="1" spans="1:6">
      <c r="A51" s="95"/>
      <c r="B51" s="103" t="s">
        <v>1254</v>
      </c>
      <c r="C51" s="103" t="s">
        <v>1221</v>
      </c>
      <c r="D51" s="103" t="s">
        <v>1255</v>
      </c>
      <c r="E51" s="101"/>
      <c r="F51" s="102"/>
    </row>
    <row r="52" ht="23.5" customHeight="1" spans="1:6">
      <c r="A52" s="95"/>
      <c r="B52" s="104" t="s">
        <v>1310</v>
      </c>
      <c r="C52" s="104" t="s">
        <v>1221</v>
      </c>
      <c r="D52" s="104" t="s">
        <v>1311</v>
      </c>
      <c r="E52" s="101"/>
      <c r="F52" s="102"/>
    </row>
    <row r="53" ht="23.5" customHeight="1" spans="1:6">
      <c r="A53" s="95"/>
      <c r="B53" s="104" t="s">
        <v>1321</v>
      </c>
      <c r="C53" s="104" t="s">
        <v>1221</v>
      </c>
      <c r="D53" s="104" t="s">
        <v>1322</v>
      </c>
      <c r="E53" s="101"/>
      <c r="F53" s="102"/>
    </row>
    <row r="54" ht="23.5" customHeight="1" spans="1:6">
      <c r="A54" s="95"/>
      <c r="B54" s="104" t="s">
        <v>1356</v>
      </c>
      <c r="C54" s="104" t="s">
        <v>1221</v>
      </c>
      <c r="D54" s="104" t="s">
        <v>1357</v>
      </c>
      <c r="E54" s="101"/>
      <c r="F54" s="102"/>
    </row>
    <row r="55" ht="23.5" customHeight="1" spans="1:6">
      <c r="A55" s="95"/>
      <c r="B55" s="104" t="s">
        <v>1367</v>
      </c>
      <c r="C55" s="104" t="s">
        <v>1221</v>
      </c>
      <c r="D55" s="104" t="s">
        <v>1368</v>
      </c>
      <c r="E55" s="101"/>
      <c r="F55" s="102"/>
    </row>
    <row r="56" s="89" customFormat="1" ht="23.5" customHeight="1" spans="1:6">
      <c r="A56" s="95"/>
      <c r="B56" s="104" t="s">
        <v>1378</v>
      </c>
      <c r="C56" s="104" t="s">
        <v>1221</v>
      </c>
      <c r="D56" s="104" t="s">
        <v>1379</v>
      </c>
      <c r="E56" s="105"/>
      <c r="F56" s="106"/>
    </row>
    <row r="57" s="89" customFormat="1" ht="23.5" customHeight="1" spans="1:6">
      <c r="A57" s="95"/>
      <c r="B57" s="104" t="s">
        <v>1389</v>
      </c>
      <c r="C57" s="104" t="s">
        <v>1221</v>
      </c>
      <c r="D57" s="104" t="s">
        <v>1390</v>
      </c>
      <c r="E57" s="105"/>
      <c r="F57" s="106"/>
    </row>
    <row r="58" ht="23.5" customHeight="1" spans="1:6">
      <c r="A58" s="95"/>
      <c r="B58" s="104" t="s">
        <v>1400</v>
      </c>
      <c r="C58" s="104" t="s">
        <v>1221</v>
      </c>
      <c r="D58" s="104" t="s">
        <v>1401</v>
      </c>
      <c r="E58" s="101"/>
      <c r="F58" s="102"/>
    </row>
    <row r="59" ht="23.5" customHeight="1" spans="1:6">
      <c r="A59" s="95"/>
      <c r="B59" s="104" t="s">
        <v>1411</v>
      </c>
      <c r="C59" s="104" t="s">
        <v>1221</v>
      </c>
      <c r="D59" s="104" t="s">
        <v>1412</v>
      </c>
      <c r="E59" s="101"/>
      <c r="F59" s="102"/>
    </row>
    <row r="60" ht="23.5" customHeight="1" spans="1:6">
      <c r="A60" s="95"/>
      <c r="B60" s="104" t="s">
        <v>1438</v>
      </c>
      <c r="C60" s="104" t="s">
        <v>1439</v>
      </c>
      <c r="D60" s="104" t="s">
        <v>1440</v>
      </c>
      <c r="E60" s="101"/>
      <c r="F60" s="102"/>
    </row>
    <row r="61" ht="23.5" customHeight="1" spans="1:6">
      <c r="A61" s="95"/>
      <c r="B61" s="104" t="s">
        <v>1522</v>
      </c>
      <c r="C61" s="104" t="s">
        <v>1439</v>
      </c>
      <c r="D61" s="104" t="s">
        <v>1523</v>
      </c>
      <c r="E61" s="101"/>
      <c r="F61" s="102"/>
    </row>
    <row r="62" ht="23.5" customHeight="1" spans="1:6">
      <c r="A62" s="95"/>
      <c r="B62" s="104" t="s">
        <v>1579</v>
      </c>
      <c r="C62" s="104" t="s">
        <v>1439</v>
      </c>
      <c r="D62" s="104" t="s">
        <v>1580</v>
      </c>
      <c r="E62" s="101"/>
      <c r="F62" s="102"/>
    </row>
    <row r="63" ht="23.5" customHeight="1" spans="1:6">
      <c r="A63" s="95"/>
      <c r="B63" s="107" t="s">
        <v>1586</v>
      </c>
      <c r="C63" s="107" t="s">
        <v>1439</v>
      </c>
      <c r="D63" s="107" t="s">
        <v>1587</v>
      </c>
      <c r="E63" s="101"/>
      <c r="F63" s="102"/>
    </row>
    <row r="64" ht="23.5" customHeight="1" spans="1:6">
      <c r="A64" s="95"/>
      <c r="B64" s="104" t="s">
        <v>1607</v>
      </c>
      <c r="C64" s="104" t="s">
        <v>1608</v>
      </c>
      <c r="D64" s="104" t="s">
        <v>1609</v>
      </c>
      <c r="E64" s="101"/>
      <c r="F64" s="102"/>
    </row>
    <row r="65" ht="23.5" customHeight="1" spans="1:6">
      <c r="A65" s="95"/>
      <c r="B65" s="104" t="s">
        <v>1628</v>
      </c>
      <c r="C65" s="104" t="s">
        <v>1221</v>
      </c>
      <c r="D65" s="104" t="s">
        <v>1629</v>
      </c>
      <c r="E65" s="101"/>
      <c r="F65" s="102"/>
    </row>
    <row r="66" ht="23.5" customHeight="1" spans="1:6">
      <c r="A66" s="108"/>
      <c r="B66" s="109"/>
      <c r="C66" s="109"/>
      <c r="D66" s="110"/>
      <c r="E66" s="101"/>
      <c r="F66" s="102"/>
    </row>
    <row r="67" ht="23.5" customHeight="1" spans="1:6">
      <c r="A67" s="108"/>
      <c r="B67" s="109"/>
      <c r="C67" s="109"/>
      <c r="D67" s="110"/>
      <c r="E67" s="101"/>
      <c r="F67" s="102"/>
    </row>
    <row r="68" ht="23.5" customHeight="1" spans="1:6">
      <c r="A68" s="108"/>
      <c r="B68" s="109"/>
      <c r="C68" s="109"/>
      <c r="D68" s="110"/>
      <c r="E68" s="101"/>
      <c r="F68" s="102"/>
    </row>
    <row r="69" ht="23.5" customHeight="1" spans="1:6">
      <c r="A69" s="108"/>
      <c r="B69" s="109"/>
      <c r="C69" s="109"/>
      <c r="D69" s="110"/>
      <c r="E69" s="101"/>
      <c r="F69" s="102"/>
    </row>
    <row r="70" ht="23.5" customHeight="1" spans="1:6">
      <c r="A70" s="108"/>
      <c r="B70" s="109"/>
      <c r="C70" s="109"/>
      <c r="D70" s="110"/>
      <c r="E70" s="101"/>
      <c r="F70" s="102"/>
    </row>
    <row r="71" ht="23.5" customHeight="1" spans="1:6">
      <c r="A71" s="108"/>
      <c r="B71" s="109"/>
      <c r="C71" s="109"/>
      <c r="D71" s="110"/>
      <c r="E71" s="101"/>
      <c r="F71" s="102"/>
    </row>
    <row r="72" ht="23.5" customHeight="1" spans="1:6">
      <c r="A72" s="108"/>
      <c r="B72" s="109"/>
      <c r="C72" s="109"/>
      <c r="D72" s="110"/>
      <c r="E72" s="101"/>
      <c r="F72" s="102"/>
    </row>
    <row r="73" ht="23.5" customHeight="1" spans="1:6">
      <c r="A73" s="108"/>
      <c r="B73" s="109"/>
      <c r="C73" s="109"/>
      <c r="D73" s="110"/>
      <c r="E73" s="101"/>
      <c r="F73" s="102"/>
    </row>
    <row r="74" ht="23.5" customHeight="1" spans="1:6">
      <c r="A74" s="108"/>
      <c r="B74" s="109"/>
      <c r="C74" s="109"/>
      <c r="D74" s="110"/>
      <c r="E74" s="101"/>
      <c r="F74" s="102"/>
    </row>
    <row r="75" ht="23.5" customHeight="1" spans="1:6">
      <c r="A75" s="108"/>
      <c r="B75" s="109"/>
      <c r="C75" s="109"/>
      <c r="D75" s="110"/>
      <c r="E75" s="101"/>
      <c r="F75" s="102"/>
    </row>
    <row r="76" ht="23.5" customHeight="1" spans="1:6">
      <c r="A76" s="108"/>
      <c r="B76" s="109"/>
      <c r="C76" s="109"/>
      <c r="D76" s="110"/>
      <c r="E76" s="101"/>
      <c r="F76" s="102"/>
    </row>
    <row r="77" ht="23.5" customHeight="1" spans="1:6">
      <c r="A77" s="108"/>
      <c r="B77" s="109"/>
      <c r="C77" s="109"/>
      <c r="D77" s="110"/>
      <c r="E77" s="101"/>
      <c r="F77" s="102"/>
    </row>
    <row r="78" ht="23.5" customHeight="1" spans="1:6">
      <c r="A78" s="108"/>
      <c r="B78" s="109"/>
      <c r="C78" s="109"/>
      <c r="D78" s="110"/>
      <c r="E78" s="101"/>
      <c r="F78" s="102"/>
    </row>
    <row r="79" ht="23.5" customHeight="1" spans="1:6">
      <c r="A79" s="108"/>
      <c r="B79" s="109"/>
      <c r="C79" s="109"/>
      <c r="D79" s="110"/>
      <c r="E79" s="101"/>
      <c r="F79" s="102"/>
    </row>
    <row r="80" ht="23.5" customHeight="1" spans="1:6">
      <c r="A80" s="108"/>
      <c r="B80" s="109"/>
      <c r="C80" s="109"/>
      <c r="D80" s="110"/>
      <c r="E80" s="101"/>
      <c r="F80" s="102"/>
    </row>
    <row r="81" ht="23.5" customHeight="1" spans="1:6">
      <c r="A81" s="108"/>
      <c r="B81" s="109"/>
      <c r="C81" s="109"/>
      <c r="D81" s="110"/>
      <c r="E81" s="101"/>
      <c r="F81" s="102"/>
    </row>
    <row r="82" ht="23.5" customHeight="1" spans="1:6">
      <c r="A82" s="108"/>
      <c r="B82" s="109"/>
      <c r="C82" s="109"/>
      <c r="D82" s="110"/>
      <c r="E82" s="101"/>
      <c r="F82" s="102"/>
    </row>
    <row r="83" ht="23.5" customHeight="1" spans="1:6">
      <c r="A83" s="108"/>
      <c r="B83" s="109"/>
      <c r="C83" s="109"/>
      <c r="D83" s="110"/>
      <c r="E83" s="101"/>
      <c r="F83" s="102"/>
    </row>
    <row r="84" ht="23.5" customHeight="1" spans="1:6">
      <c r="A84" s="108"/>
      <c r="B84" s="109"/>
      <c r="C84" s="109"/>
      <c r="D84" s="110"/>
      <c r="E84" s="101"/>
      <c r="F84" s="102"/>
    </row>
    <row r="85" ht="23.5" customHeight="1" spans="1:6">
      <c r="A85" s="108"/>
      <c r="B85" s="109"/>
      <c r="C85" s="109"/>
      <c r="D85" s="110"/>
      <c r="E85" s="101"/>
      <c r="F85" s="102"/>
    </row>
    <row r="86" ht="23.5" customHeight="1" spans="1:6">
      <c r="A86" s="108"/>
      <c r="B86" s="109"/>
      <c r="C86" s="109"/>
      <c r="D86" s="110"/>
      <c r="E86" s="101"/>
      <c r="F86" s="102"/>
    </row>
    <row r="87" ht="23.5" customHeight="1" spans="1:6">
      <c r="A87" s="108"/>
      <c r="B87" s="109"/>
      <c r="C87" s="109"/>
      <c r="D87" s="110"/>
      <c r="E87" s="101"/>
      <c r="F87" s="102"/>
    </row>
    <row r="88" ht="23.5" customHeight="1" spans="1:6">
      <c r="A88" s="108"/>
      <c r="B88" s="109"/>
      <c r="C88" s="109"/>
      <c r="D88" s="110"/>
      <c r="E88" s="101"/>
      <c r="F88" s="102"/>
    </row>
    <row r="89" ht="23.5" customHeight="1" spans="1:6">
      <c r="A89" s="108"/>
      <c r="B89" s="109"/>
      <c r="C89" s="109"/>
      <c r="D89" s="110"/>
      <c r="E89" s="101"/>
      <c r="F89" s="102"/>
    </row>
    <row r="90" ht="23.5" customHeight="1" spans="1:6">
      <c r="A90" s="108"/>
      <c r="B90" s="109"/>
      <c r="C90" s="109"/>
      <c r="D90" s="110"/>
      <c r="E90" s="101"/>
      <c r="F90" s="102"/>
    </row>
    <row r="91" ht="23.5" customHeight="1" spans="1:6">
      <c r="A91" s="108"/>
      <c r="B91" s="109"/>
      <c r="C91" s="109"/>
      <c r="D91" s="110"/>
      <c r="E91" s="101"/>
      <c r="F91" s="102"/>
    </row>
    <row r="92" ht="23.5" customHeight="1" spans="1:6">
      <c r="A92" s="108"/>
      <c r="B92" s="109"/>
      <c r="C92" s="109"/>
      <c r="D92" s="110"/>
      <c r="E92" s="101"/>
      <c r="F92" s="102"/>
    </row>
    <row r="93" ht="23.5" customHeight="1" spans="1:6">
      <c r="A93" s="108"/>
      <c r="B93" s="109"/>
      <c r="C93" s="109"/>
      <c r="D93" s="110"/>
      <c r="E93" s="101"/>
      <c r="F93" s="102"/>
    </row>
    <row r="94" ht="23.5" customHeight="1" spans="1:6">
      <c r="A94" s="108"/>
      <c r="B94" s="109"/>
      <c r="C94" s="109"/>
      <c r="D94" s="110"/>
      <c r="E94" s="101"/>
      <c r="F94" s="102"/>
    </row>
    <row r="95" ht="23.5" customHeight="1" spans="1:6">
      <c r="A95" s="108"/>
      <c r="B95" s="111"/>
      <c r="C95" s="111"/>
      <c r="D95" s="112"/>
      <c r="E95" s="113"/>
      <c r="F95" s="102"/>
    </row>
    <row r="96" ht="23.5" customHeight="1" spans="1:6">
      <c r="A96" s="108"/>
      <c r="B96" s="111"/>
      <c r="C96" s="111"/>
      <c r="D96" s="112"/>
      <c r="E96" s="113"/>
      <c r="F96" s="102"/>
    </row>
    <row r="97" ht="23.5" customHeight="1" spans="1:6">
      <c r="A97" s="108"/>
      <c r="B97" s="109"/>
      <c r="C97" s="109"/>
      <c r="D97" s="110"/>
      <c r="E97" s="101"/>
      <c r="F97" s="102"/>
    </row>
    <row r="98" ht="23.5" customHeight="1" spans="1:6">
      <c r="A98" s="108"/>
      <c r="B98" s="109"/>
      <c r="C98" s="109"/>
      <c r="D98" s="110"/>
      <c r="E98" s="101"/>
      <c r="F98" s="102"/>
    </row>
    <row r="99" ht="23.5" customHeight="1" spans="1:6">
      <c r="A99" s="108"/>
      <c r="B99" s="109"/>
      <c r="C99" s="109"/>
      <c r="D99" s="110"/>
      <c r="E99" s="101"/>
      <c r="F99" s="102"/>
    </row>
    <row r="100" ht="23.5" customHeight="1" spans="1:6">
      <c r="A100" s="108"/>
      <c r="B100" s="109"/>
      <c r="C100" s="109"/>
      <c r="D100" s="110"/>
      <c r="E100" s="101"/>
      <c r="F100" s="102"/>
    </row>
    <row r="101" ht="23.5" customHeight="1" spans="1:6">
      <c r="A101" s="108"/>
      <c r="B101" s="109"/>
      <c r="C101" s="109"/>
      <c r="D101" s="110"/>
      <c r="E101" s="101"/>
      <c r="F101" s="102"/>
    </row>
    <row r="102" ht="23.5" customHeight="1" spans="1:6">
      <c r="A102" s="108"/>
      <c r="B102" s="109"/>
      <c r="C102" s="109"/>
      <c r="D102" s="110"/>
      <c r="E102" s="101"/>
      <c r="F102" s="102"/>
    </row>
    <row r="103" ht="23.5" customHeight="1" spans="1:6">
      <c r="A103" s="108"/>
      <c r="B103" s="109"/>
      <c r="C103" s="109"/>
      <c r="D103" s="110"/>
      <c r="E103" s="114"/>
      <c r="F103" s="102"/>
    </row>
    <row r="104" ht="23.5" customHeight="1" spans="1:6">
      <c r="A104" s="108"/>
      <c r="B104" s="109"/>
      <c r="C104" s="109"/>
      <c r="D104" s="110"/>
      <c r="E104" s="101"/>
      <c r="F104" s="102"/>
    </row>
    <row r="105" ht="23.5" customHeight="1" spans="1:6">
      <c r="A105" s="108"/>
      <c r="B105" s="109"/>
      <c r="C105" s="109"/>
      <c r="D105" s="110"/>
      <c r="E105" s="101"/>
      <c r="F105" s="102"/>
    </row>
    <row r="106" ht="23.5" customHeight="1" spans="1:6">
      <c r="A106" s="108"/>
      <c r="B106" s="109"/>
      <c r="C106" s="109"/>
      <c r="D106" s="110"/>
      <c r="E106" s="101"/>
      <c r="F106" s="102"/>
    </row>
    <row r="107" ht="23.5" customHeight="1" spans="1:6">
      <c r="A107" s="108"/>
      <c r="B107" s="109"/>
      <c r="C107" s="109"/>
      <c r="D107" s="110"/>
      <c r="E107" s="101"/>
      <c r="F107" s="102"/>
    </row>
    <row r="108" ht="23.5" customHeight="1" spans="1:6">
      <c r="A108" s="108"/>
      <c r="B108" s="109"/>
      <c r="C108" s="109"/>
      <c r="D108" s="110"/>
      <c r="E108" s="101"/>
      <c r="F108" s="102"/>
    </row>
    <row r="109" ht="23.5" customHeight="1" spans="1:6">
      <c r="A109" s="108"/>
      <c r="B109" s="109"/>
      <c r="C109" s="109"/>
      <c r="D109" s="110"/>
      <c r="E109" s="101"/>
      <c r="F109" s="102"/>
    </row>
    <row r="110" ht="23.5" customHeight="1" spans="1:6">
      <c r="A110" s="108"/>
      <c r="B110" s="109"/>
      <c r="C110" s="109"/>
      <c r="D110" s="110"/>
      <c r="E110" s="101"/>
      <c r="F110" s="102"/>
    </row>
    <row r="111" ht="23.5" customHeight="1" spans="1:6">
      <c r="A111" s="108"/>
      <c r="B111" s="109"/>
      <c r="C111" s="109"/>
      <c r="D111" s="110"/>
      <c r="E111" s="101"/>
      <c r="F111" s="102"/>
    </row>
    <row r="112" ht="23.5" customHeight="1" spans="1:6">
      <c r="A112" s="108"/>
      <c r="B112" s="109"/>
      <c r="C112" s="109"/>
      <c r="D112" s="110"/>
      <c r="E112" s="101"/>
      <c r="F112" s="102"/>
    </row>
    <row r="113" ht="23.5" customHeight="1" spans="1:6">
      <c r="A113" s="108"/>
      <c r="B113" s="109"/>
      <c r="C113" s="109"/>
      <c r="D113" s="110"/>
      <c r="E113" s="101"/>
      <c r="F113" s="102"/>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67"/>
  <sheetViews>
    <sheetView tabSelected="1" zoomScale="83" zoomScaleNormal="83" workbookViewId="0">
      <selection activeCell="G1" sqref="G$1:G$1048576"/>
    </sheetView>
  </sheetViews>
  <sheetFormatPr defaultColWidth="11" defaultRowHeight="17.6"/>
  <cols>
    <col min="1" max="1" width="11.5" style="1" customWidth="1"/>
    <col min="2" max="2" width="13" style="1" customWidth="1"/>
    <col min="3" max="3" width="2.66666666666667" style="1" customWidth="1"/>
    <col min="4" max="4" width="21.5" style="1" customWidth="1"/>
    <col min="5" max="5" width="7.66666666666667" style="1" customWidth="1"/>
    <col min="6" max="6" width="3.5" style="1" customWidth="1"/>
    <col min="7" max="7" width="3.66666666666667" style="1" customWidth="1"/>
    <col min="8" max="8" width="18.5" style="1" customWidth="1"/>
    <col min="9" max="9" width="20.5" style="1" customWidth="1"/>
    <col min="10" max="10" width="17.8333333333333" style="1" customWidth="1"/>
    <col min="11" max="11" width="56.3333333333333" style="1" customWidth="1"/>
    <col min="12" max="12" width="19" style="1" customWidth="1"/>
    <col min="13" max="13" width="19.6666666666667" style="1" customWidth="1"/>
    <col min="14" max="14" width="28.8333333333333" style="1" customWidth="1"/>
    <col min="15" max="15" width="15.5" style="1" customWidth="1"/>
    <col min="16" max="18" width="17.5" style="1" customWidth="1"/>
    <col min="19" max="19" width="12.6666666666667" style="1" customWidth="1"/>
    <col min="20" max="20" width="11.6666666666667" style="1" customWidth="1"/>
    <col min="21" max="21" width="60.5" style="1" customWidth="1"/>
    <col min="22" max="22" width="40.1666666666667" style="1" customWidth="1"/>
    <col min="23" max="23" width="36" style="1" customWidth="1"/>
    <col min="24" max="24" width="11" style="1" customWidth="1"/>
    <col min="25" max="25" width="22.5" style="1" customWidth="1"/>
    <col min="26" max="26" width="16.8333333333333" style="1" customWidth="1"/>
    <col min="27" max="30" width="20.6666666666667" style="1" customWidth="1"/>
    <col min="31" max="42" width="11" style="1" customWidth="1"/>
  </cols>
  <sheetData>
    <row r="1" s="1" customFormat="1" ht="89" customHeight="1" spans="1:30">
      <c r="A1" s="3" t="s">
        <v>1675</v>
      </c>
      <c r="D1" s="4" t="s">
        <v>1676</v>
      </c>
      <c r="E1" s="4" t="s">
        <v>1677</v>
      </c>
      <c r="H1" s="5" t="s">
        <v>1678</v>
      </c>
      <c r="I1" s="5"/>
      <c r="J1" s="5"/>
      <c r="K1" s="5"/>
      <c r="L1" s="5"/>
      <c r="N1" s="6" t="s">
        <v>1679</v>
      </c>
      <c r="P1" s="7"/>
      <c r="Q1" s="7"/>
      <c r="R1" s="8" t="s">
        <v>1680</v>
      </c>
      <c r="S1" s="9"/>
      <c r="T1" s="9"/>
      <c r="U1" s="10"/>
      <c r="V1" s="10"/>
      <c r="W1" s="11"/>
      <c r="Y1" s="12" t="s">
        <v>1681</v>
      </c>
      <c r="Z1" s="12"/>
      <c r="AA1" s="12"/>
      <c r="AB1" s="12"/>
      <c r="AC1" s="12"/>
      <c r="AD1" s="12"/>
    </row>
    <row r="2" s="1" customFormat="1" ht="56" customHeight="1" spans="1:30">
      <c r="A2" s="4" t="s">
        <v>1682</v>
      </c>
      <c r="B2" s="4" t="s">
        <v>1683</v>
      </c>
      <c r="D2" s="13" t="s">
        <v>1684</v>
      </c>
      <c r="E2" s="13" t="s">
        <v>73</v>
      </c>
      <c r="H2" s="14" t="s">
        <v>1685</v>
      </c>
      <c r="I2" s="14" t="s">
        <v>1686</v>
      </c>
      <c r="J2" s="14" t="s">
        <v>1687</v>
      </c>
      <c r="K2" s="14" t="s">
        <v>1688</v>
      </c>
      <c r="L2" s="14" t="s">
        <v>1689</v>
      </c>
      <c r="N2" s="15" t="s">
        <v>1690</v>
      </c>
      <c r="P2" s="7"/>
      <c r="Q2" s="7"/>
      <c r="R2" s="6" t="s">
        <v>1691</v>
      </c>
      <c r="S2" s="6" t="s">
        <v>1692</v>
      </c>
      <c r="T2" s="6" t="s">
        <v>1693</v>
      </c>
      <c r="U2" s="6" t="s">
        <v>1694</v>
      </c>
      <c r="V2" s="6" t="s">
        <v>1689</v>
      </c>
      <c r="W2" s="16"/>
      <c r="Y2" s="17"/>
      <c r="Z2" s="17"/>
      <c r="AA2" s="12" t="s">
        <v>1695</v>
      </c>
      <c r="AB2" s="18"/>
      <c r="AC2" s="18"/>
      <c r="AD2" s="18"/>
    </row>
    <row r="3" s="1" customFormat="1" ht="47" customHeight="1" spans="1:30">
      <c r="A3" s="15" t="s">
        <v>1696</v>
      </c>
      <c r="B3" s="15" t="s">
        <v>1697</v>
      </c>
      <c r="D3" s="13" t="s">
        <v>1698</v>
      </c>
      <c r="E3" s="15" t="s">
        <v>559</v>
      </c>
      <c r="H3" s="12" t="s">
        <v>1699</v>
      </c>
      <c r="I3" s="12" t="s">
        <v>1700</v>
      </c>
      <c r="J3" s="19">
        <v>0</v>
      </c>
      <c r="K3" s="20" t="s">
        <v>1701</v>
      </c>
      <c r="L3" s="21"/>
      <c r="N3" s="15" t="s">
        <v>1702</v>
      </c>
      <c r="P3" s="22"/>
      <c r="Q3" s="22"/>
      <c r="R3" s="12" t="s">
        <v>1703</v>
      </c>
      <c r="S3" s="23" t="s">
        <v>1704</v>
      </c>
      <c r="T3" s="24">
        <v>3</v>
      </c>
      <c r="U3" s="25" t="s">
        <v>1705</v>
      </c>
      <c r="V3" s="26"/>
      <c r="W3" s="27"/>
      <c r="Y3" s="17"/>
      <c r="Z3" s="17"/>
      <c r="AA3" s="12" t="s">
        <v>1706</v>
      </c>
      <c r="AB3" s="12" t="s">
        <v>1707</v>
      </c>
      <c r="AC3" s="12" t="s">
        <v>1708</v>
      </c>
      <c r="AD3" s="12" t="s">
        <v>1709</v>
      </c>
    </row>
    <row r="4" s="1" customFormat="1" ht="41" customHeight="1" spans="1:30">
      <c r="A4" s="15" t="s">
        <v>1710</v>
      </c>
      <c r="B4" s="15" t="s">
        <v>1711</v>
      </c>
      <c r="H4" s="16"/>
      <c r="I4" s="12" t="s">
        <v>1712</v>
      </c>
      <c r="J4" s="19">
        <v>1</v>
      </c>
      <c r="K4" s="16"/>
      <c r="L4" s="21"/>
      <c r="N4" s="15" t="s">
        <v>1713</v>
      </c>
      <c r="P4" s="22"/>
      <c r="Q4" s="22"/>
      <c r="R4" s="12" t="s">
        <v>107</v>
      </c>
      <c r="S4" s="23" t="s">
        <v>1714</v>
      </c>
      <c r="T4" s="24">
        <v>2</v>
      </c>
      <c r="U4" s="25" t="s">
        <v>1715</v>
      </c>
      <c r="V4" s="26"/>
      <c r="W4" s="27"/>
      <c r="Y4" s="12" t="s">
        <v>1691</v>
      </c>
      <c r="Z4" s="12" t="s">
        <v>1703</v>
      </c>
      <c r="AA4" s="17" t="s">
        <v>144</v>
      </c>
      <c r="AB4" s="17" t="s">
        <v>87</v>
      </c>
      <c r="AC4" s="17" t="s">
        <v>112</v>
      </c>
      <c r="AD4" s="17" t="s">
        <v>112</v>
      </c>
    </row>
    <row r="5" s="1" customFormat="1" ht="38" customHeight="1" spans="1:30">
      <c r="A5" s="15" t="s">
        <v>1716</v>
      </c>
      <c r="B5" s="15" t="s">
        <v>1717</v>
      </c>
      <c r="H5" s="16"/>
      <c r="I5" s="12" t="s">
        <v>1718</v>
      </c>
      <c r="J5" s="19">
        <v>4</v>
      </c>
      <c r="K5" s="16"/>
      <c r="L5" s="21"/>
      <c r="N5" s="15" t="s">
        <v>1719</v>
      </c>
      <c r="P5" s="22"/>
      <c r="Q5" s="22"/>
      <c r="R5" s="12" t="s">
        <v>1720</v>
      </c>
      <c r="S5" s="23" t="s">
        <v>1721</v>
      </c>
      <c r="T5" s="24">
        <v>1</v>
      </c>
      <c r="U5" s="25" t="s">
        <v>1722</v>
      </c>
      <c r="V5" s="26"/>
      <c r="W5" s="27"/>
      <c r="Y5" s="12"/>
      <c r="Z5" s="12" t="s">
        <v>107</v>
      </c>
      <c r="AA5" s="17" t="s">
        <v>934</v>
      </c>
      <c r="AB5" s="17" t="s">
        <v>144</v>
      </c>
      <c r="AC5" s="17" t="s">
        <v>87</v>
      </c>
      <c r="AD5" s="17" t="s">
        <v>112</v>
      </c>
    </row>
    <row r="6" s="1" customFormat="1" ht="44" customHeight="1" spans="1:30">
      <c r="A6" s="15" t="s">
        <v>1723</v>
      </c>
      <c r="B6" s="15" t="s">
        <v>1724</v>
      </c>
      <c r="H6" s="16"/>
      <c r="I6" s="12" t="s">
        <v>1725</v>
      </c>
      <c r="J6" s="19">
        <v>17</v>
      </c>
      <c r="K6" s="16"/>
      <c r="L6" s="28"/>
      <c r="N6" s="15" t="s">
        <v>145</v>
      </c>
      <c r="P6" s="22"/>
      <c r="Q6" s="22"/>
      <c r="R6" s="12" t="s">
        <v>77</v>
      </c>
      <c r="S6" s="23" t="s">
        <v>1726</v>
      </c>
      <c r="T6" s="24">
        <v>0</v>
      </c>
      <c r="U6" s="25" t="s">
        <v>1727</v>
      </c>
      <c r="V6" s="26"/>
      <c r="W6" s="27"/>
      <c r="Y6" s="12"/>
      <c r="Z6" s="12" t="s">
        <v>1720</v>
      </c>
      <c r="AA6" s="17" t="s">
        <v>934</v>
      </c>
      <c r="AB6" s="17" t="s">
        <v>144</v>
      </c>
      <c r="AC6" s="17" t="s">
        <v>144</v>
      </c>
      <c r="AD6" s="17" t="s">
        <v>87</v>
      </c>
    </row>
    <row r="7" s="1" customFormat="1" ht="41" customHeight="1" spans="1:30">
      <c r="A7" s="15" t="s">
        <v>1728</v>
      </c>
      <c r="B7" s="15" t="s">
        <v>1729</v>
      </c>
      <c r="H7" s="16"/>
      <c r="I7" s="12" t="s">
        <v>1730</v>
      </c>
      <c r="J7" s="19">
        <v>19</v>
      </c>
      <c r="K7" s="16"/>
      <c r="L7" s="21"/>
      <c r="P7" s="29"/>
      <c r="Q7" s="29"/>
      <c r="R7" s="30" t="s">
        <v>145</v>
      </c>
      <c r="S7" s="30" t="s">
        <v>145</v>
      </c>
      <c r="T7" s="30" t="s">
        <v>145</v>
      </c>
      <c r="U7" s="30" t="s">
        <v>145</v>
      </c>
      <c r="V7" s="30" t="s">
        <v>145</v>
      </c>
      <c r="W7" s="31"/>
      <c r="Y7" s="12"/>
      <c r="Z7" s="12" t="s">
        <v>77</v>
      </c>
      <c r="AA7" s="17" t="s">
        <v>934</v>
      </c>
      <c r="AB7" s="17" t="s">
        <v>934</v>
      </c>
      <c r="AC7" s="17" t="s">
        <v>934</v>
      </c>
      <c r="AD7" s="17" t="s">
        <v>934</v>
      </c>
    </row>
    <row r="8" s="1" customFormat="1" ht="90" customHeight="1" spans="1:30">
      <c r="H8" s="12" t="s">
        <v>1731</v>
      </c>
      <c r="I8" s="12" t="s">
        <v>1732</v>
      </c>
      <c r="J8" s="19">
        <v>0</v>
      </c>
      <c r="K8" s="32" t="s">
        <v>1733</v>
      </c>
      <c r="L8" s="21"/>
      <c r="P8" s="33"/>
      <c r="Q8" s="33"/>
      <c r="R8" s="20" t="s">
        <v>1734</v>
      </c>
      <c r="S8" s="20"/>
      <c r="T8" s="20"/>
      <c r="U8" s="20"/>
      <c r="V8" s="20"/>
      <c r="W8" s="20"/>
    </row>
    <row r="9" s="1" customFormat="1" ht="90" customHeight="1" spans="1:30">
      <c r="H9" s="16"/>
      <c r="I9" s="12" t="s">
        <v>1735</v>
      </c>
      <c r="J9" s="19">
        <v>3</v>
      </c>
      <c r="K9" s="32" t="s">
        <v>1736</v>
      </c>
      <c r="L9" s="21"/>
    </row>
    <row r="10" s="1" customFormat="1" ht="90" customHeight="1" spans="1:30">
      <c r="H10" s="16"/>
      <c r="I10" s="12" t="s">
        <v>1737</v>
      </c>
      <c r="J10" s="19">
        <v>6</v>
      </c>
      <c r="K10" s="32" t="s">
        <v>1738</v>
      </c>
      <c r="L10" s="34"/>
      <c r="P10" s="7"/>
      <c r="Q10" s="7"/>
      <c r="R10" s="35" t="s">
        <v>1739</v>
      </c>
      <c r="S10" s="36"/>
      <c r="T10" s="36"/>
      <c r="U10" s="36"/>
      <c r="V10" s="36"/>
      <c r="W10" s="36"/>
    </row>
    <row r="11" s="1" customFormat="1" ht="90" customHeight="1" spans="1:30">
      <c r="H11" s="16"/>
      <c r="I11" s="12" t="s">
        <v>1740</v>
      </c>
      <c r="J11" s="19">
        <v>8</v>
      </c>
      <c r="K11" s="32" t="s">
        <v>1741</v>
      </c>
      <c r="L11" s="21"/>
      <c r="P11" s="7"/>
      <c r="Q11" s="7"/>
      <c r="R11" s="37" t="s">
        <v>1691</v>
      </c>
      <c r="S11" s="38" t="s">
        <v>1692</v>
      </c>
      <c r="T11" s="38" t="s">
        <v>1742</v>
      </c>
      <c r="U11" s="38" t="s">
        <v>1694</v>
      </c>
      <c r="V11" s="38" t="s">
        <v>1689</v>
      </c>
      <c r="W11" s="11"/>
    </row>
    <row r="12" s="1" customFormat="1" ht="90" customHeight="1" spans="1:30">
      <c r="H12" s="12" t="s">
        <v>1743</v>
      </c>
      <c r="I12" s="12" t="s">
        <v>1744</v>
      </c>
      <c r="J12" s="19">
        <v>0</v>
      </c>
      <c r="K12" s="32" t="s">
        <v>1745</v>
      </c>
      <c r="L12" s="21"/>
      <c r="P12" s="22"/>
      <c r="Q12" s="22"/>
      <c r="R12" s="12" t="s">
        <v>1703</v>
      </c>
      <c r="S12" s="39" t="s">
        <v>1746</v>
      </c>
      <c r="T12" s="40">
        <v>3</v>
      </c>
      <c r="U12" s="25" t="s">
        <v>1747</v>
      </c>
      <c r="V12" s="39"/>
      <c r="W12" s="41"/>
    </row>
    <row r="13" s="1" customFormat="1" ht="90" customHeight="1" spans="1:30">
      <c r="H13" s="16"/>
      <c r="I13" s="12" t="s">
        <v>1748</v>
      </c>
      <c r="J13" s="19">
        <v>3</v>
      </c>
      <c r="K13" s="32" t="s">
        <v>1749</v>
      </c>
      <c r="L13" s="21"/>
      <c r="P13" s="22"/>
      <c r="Q13" s="22"/>
      <c r="R13" s="12" t="s">
        <v>107</v>
      </c>
      <c r="S13" s="39" t="s">
        <v>1750</v>
      </c>
      <c r="T13" s="40">
        <v>2</v>
      </c>
      <c r="U13" s="25" t="s">
        <v>1751</v>
      </c>
      <c r="V13" s="39"/>
      <c r="W13" s="41"/>
    </row>
    <row r="14" s="1" customFormat="1" ht="90" customHeight="1" spans="1:30">
      <c r="H14" s="16"/>
      <c r="I14" s="12" t="s">
        <v>1752</v>
      </c>
      <c r="J14" s="19">
        <v>7</v>
      </c>
      <c r="K14" s="32" t="s">
        <v>1753</v>
      </c>
      <c r="L14" s="21"/>
      <c r="P14" s="22"/>
      <c r="Q14" s="22"/>
      <c r="R14" s="12" t="s">
        <v>1720</v>
      </c>
      <c r="S14" s="39" t="s">
        <v>1754</v>
      </c>
      <c r="T14" s="40">
        <v>1</v>
      </c>
      <c r="U14" s="25" t="s">
        <v>1755</v>
      </c>
      <c r="V14" s="39"/>
      <c r="W14" s="41"/>
    </row>
    <row r="15" s="1" customFormat="1" ht="90" customHeight="1" spans="1:30">
      <c r="H15" s="36"/>
      <c r="I15" s="42" t="s">
        <v>1756</v>
      </c>
      <c r="J15" s="43">
        <v>11</v>
      </c>
      <c r="K15" s="25" t="s">
        <v>1757</v>
      </c>
      <c r="L15" s="44"/>
      <c r="P15" s="22"/>
      <c r="Q15" s="22"/>
      <c r="R15" s="12" t="s">
        <v>77</v>
      </c>
      <c r="S15" s="45" t="s">
        <v>1758</v>
      </c>
      <c r="T15" s="46">
        <v>0</v>
      </c>
      <c r="U15" s="47" t="s">
        <v>1759</v>
      </c>
      <c r="V15" s="45"/>
      <c r="W15" s="48"/>
    </row>
    <row r="16" s="1" customFormat="1" ht="90" customHeight="1" spans="1:30">
      <c r="H16" s="49" t="s">
        <v>1760</v>
      </c>
      <c r="I16" s="49" t="s">
        <v>1761</v>
      </c>
      <c r="J16" s="50">
        <v>0</v>
      </c>
      <c r="K16" s="51" t="s">
        <v>1762</v>
      </c>
      <c r="L16" s="52"/>
      <c r="P16" s="29"/>
      <c r="Q16" s="29"/>
      <c r="R16" s="53" t="s">
        <v>145</v>
      </c>
      <c r="S16" s="53" t="s">
        <v>145</v>
      </c>
      <c r="T16" s="53" t="s">
        <v>145</v>
      </c>
      <c r="U16" s="53" t="s">
        <v>145</v>
      </c>
      <c r="V16" s="53" t="s">
        <v>145</v>
      </c>
      <c r="W16" s="27"/>
    </row>
    <row r="17" s="1" customFormat="1" ht="90" customHeight="1" spans="8:23">
      <c r="H17" s="16"/>
      <c r="I17" s="12" t="s">
        <v>1763</v>
      </c>
      <c r="J17" s="19">
        <v>1</v>
      </c>
      <c r="K17" s="32" t="s">
        <v>1764</v>
      </c>
      <c r="L17" s="21"/>
      <c r="P17" s="33"/>
      <c r="Q17" s="33"/>
      <c r="R17" s="20" t="s">
        <v>1734</v>
      </c>
      <c r="S17" s="20"/>
      <c r="T17" s="20"/>
      <c r="U17" s="20"/>
      <c r="V17" s="20"/>
      <c r="W17" s="20"/>
    </row>
    <row r="18" s="1" customFormat="1" ht="90" customHeight="1" spans="8:23">
      <c r="H18" s="16"/>
      <c r="I18" s="12" t="s">
        <v>1765</v>
      </c>
      <c r="J18" s="19">
        <v>4</v>
      </c>
      <c r="K18" s="32" t="s">
        <v>1766</v>
      </c>
      <c r="L18" s="21"/>
    </row>
    <row r="19" s="1" customFormat="1" ht="90" customHeight="1" spans="8:23">
      <c r="H19" s="16"/>
      <c r="I19" s="12" t="s">
        <v>1767</v>
      </c>
      <c r="J19" s="19">
        <v>10</v>
      </c>
      <c r="K19" s="32" t="s">
        <v>1768</v>
      </c>
      <c r="L19" s="21"/>
      <c r="P19" s="7"/>
      <c r="Q19" s="7"/>
      <c r="R19" s="6" t="s">
        <v>1769</v>
      </c>
      <c r="S19" s="16"/>
      <c r="T19" s="16"/>
      <c r="U19" s="16"/>
      <c r="V19" s="16"/>
      <c r="W19" s="16"/>
    </row>
    <row r="20" s="1" customFormat="1" ht="90" customHeight="1" spans="8:23">
      <c r="H20" s="12" t="s">
        <v>1770</v>
      </c>
      <c r="I20" s="12" t="s">
        <v>1771</v>
      </c>
      <c r="J20" s="19">
        <v>0</v>
      </c>
      <c r="K20" s="32" t="s">
        <v>1772</v>
      </c>
      <c r="L20" s="21"/>
      <c r="P20" s="7"/>
      <c r="Q20" s="7"/>
      <c r="R20" s="6" t="s">
        <v>1691</v>
      </c>
      <c r="S20" s="6" t="s">
        <v>1692</v>
      </c>
      <c r="T20" s="6" t="s">
        <v>1742</v>
      </c>
      <c r="U20" s="6" t="s">
        <v>1694</v>
      </c>
      <c r="V20" s="6" t="s">
        <v>1689</v>
      </c>
      <c r="W20" s="16"/>
    </row>
    <row r="21" s="1" customFormat="1" ht="90" customHeight="1" spans="8:23">
      <c r="H21" s="16"/>
      <c r="I21" s="12" t="s">
        <v>1773</v>
      </c>
      <c r="J21" s="19">
        <v>4</v>
      </c>
      <c r="K21" s="32" t="s">
        <v>1774</v>
      </c>
      <c r="L21" s="21"/>
      <c r="P21" s="22"/>
      <c r="Q21" s="22"/>
      <c r="R21" s="54" t="s">
        <v>1703</v>
      </c>
      <c r="S21" s="55" t="s">
        <v>1775</v>
      </c>
      <c r="T21" s="56">
        <v>3</v>
      </c>
      <c r="U21" s="57" t="s">
        <v>1776</v>
      </c>
      <c r="V21" s="55"/>
      <c r="W21" s="58"/>
    </row>
    <row r="22" s="1" customFormat="1" ht="90" customHeight="1" spans="8:23">
      <c r="H22" s="16"/>
      <c r="I22" s="12" t="s">
        <v>1777</v>
      </c>
      <c r="J22" s="19">
        <v>7</v>
      </c>
      <c r="K22" s="32" t="s">
        <v>1778</v>
      </c>
      <c r="L22" s="21"/>
      <c r="P22" s="22"/>
      <c r="Q22" s="22"/>
      <c r="R22" s="12" t="s">
        <v>107</v>
      </c>
      <c r="S22" s="39" t="s">
        <v>1779</v>
      </c>
      <c r="T22" s="40">
        <v>2</v>
      </c>
      <c r="U22" s="25" t="s">
        <v>1780</v>
      </c>
      <c r="V22" s="39"/>
      <c r="W22" s="41"/>
    </row>
    <row r="23" s="1" customFormat="1" ht="90" customHeight="1" spans="8:23">
      <c r="H23" s="36"/>
      <c r="I23" s="42" t="s">
        <v>1781</v>
      </c>
      <c r="J23" s="43">
        <v>9</v>
      </c>
      <c r="K23" s="25" t="s">
        <v>1782</v>
      </c>
      <c r="L23" s="44"/>
      <c r="P23" s="22"/>
      <c r="Q23" s="22"/>
      <c r="R23" s="12" t="s">
        <v>1720</v>
      </c>
      <c r="S23" s="39" t="s">
        <v>1783</v>
      </c>
      <c r="T23" s="40">
        <v>1</v>
      </c>
      <c r="U23" s="25" t="s">
        <v>1784</v>
      </c>
      <c r="V23" s="39"/>
      <c r="W23" s="41"/>
    </row>
    <row r="24" s="1" customFormat="1" ht="63" customHeight="1" spans="8:23">
      <c r="H24" s="59" t="s">
        <v>1785</v>
      </c>
      <c r="I24" s="9"/>
      <c r="J24" s="9"/>
      <c r="K24" s="9"/>
      <c r="L24" s="11"/>
      <c r="P24" s="22"/>
      <c r="Q24" s="22"/>
      <c r="R24" s="12" t="s">
        <v>77</v>
      </c>
      <c r="S24" s="45" t="s">
        <v>1786</v>
      </c>
      <c r="T24" s="46">
        <v>0</v>
      </c>
      <c r="U24" s="47" t="s">
        <v>1787</v>
      </c>
      <c r="V24" s="45"/>
      <c r="W24" s="48"/>
    </row>
    <row r="25" s="1" customFormat="1" ht="44" customHeight="1" spans="8:23">
      <c r="H25" s="2"/>
      <c r="I25" s="2"/>
      <c r="J25" s="60"/>
      <c r="K25" s="2"/>
      <c r="P25" s="29"/>
      <c r="Q25" s="29"/>
      <c r="R25" s="53" t="s">
        <v>145</v>
      </c>
      <c r="S25" s="53" t="s">
        <v>145</v>
      </c>
      <c r="T25" s="53" t="s">
        <v>145</v>
      </c>
      <c r="U25" s="53" t="s">
        <v>145</v>
      </c>
      <c r="V25" s="53" t="s">
        <v>145</v>
      </c>
      <c r="W25" s="27"/>
    </row>
    <row r="26" s="1" customFormat="1" ht="50" customHeight="1" spans="8:23">
      <c r="H26" s="12" t="s">
        <v>1695</v>
      </c>
      <c r="I26" s="12"/>
      <c r="J26" s="12"/>
      <c r="K26" s="12"/>
      <c r="L26" s="61"/>
      <c r="P26" s="33"/>
      <c r="Q26" s="33"/>
      <c r="R26" s="20" t="s">
        <v>1734</v>
      </c>
      <c r="S26" s="20"/>
      <c r="T26" s="20"/>
      <c r="U26" s="20"/>
      <c r="V26" s="20"/>
      <c r="W26" s="20"/>
    </row>
    <row r="27" s="1" customFormat="1" ht="62" customHeight="1" spans="8:23">
      <c r="H27" s="12" t="s">
        <v>1788</v>
      </c>
      <c r="I27" s="12" t="s">
        <v>1789</v>
      </c>
      <c r="J27" s="12" t="s">
        <v>1790</v>
      </c>
      <c r="K27" s="12" t="s">
        <v>1686</v>
      </c>
      <c r="L27" s="62"/>
    </row>
    <row r="28" s="1" customFormat="1" ht="50" customHeight="1" spans="8:23">
      <c r="H28" s="12">
        <v>0</v>
      </c>
      <c r="I28" s="12">
        <v>13</v>
      </c>
      <c r="J28" s="12">
        <v>14</v>
      </c>
      <c r="K28" s="12" t="s">
        <v>1709</v>
      </c>
      <c r="L28" s="63"/>
    </row>
    <row r="29" s="1" customFormat="1" ht="50" customHeight="1" spans="8:23">
      <c r="H29" s="12">
        <v>14</v>
      </c>
      <c r="I29" s="12">
        <v>19</v>
      </c>
      <c r="J29" s="12">
        <v>20</v>
      </c>
      <c r="K29" s="12" t="s">
        <v>1708</v>
      </c>
      <c r="L29" s="63"/>
      <c r="P29" s="7"/>
      <c r="Q29" s="7"/>
      <c r="R29" s="6" t="s">
        <v>1791</v>
      </c>
      <c r="S29" s="16"/>
      <c r="T29" s="16"/>
      <c r="U29" s="16"/>
      <c r="V29" s="16"/>
      <c r="W29" s="16"/>
    </row>
    <row r="30" s="1" customFormat="1" ht="50" customHeight="1" spans="8:23">
      <c r="H30" s="12">
        <v>20</v>
      </c>
      <c r="I30" s="12">
        <v>24</v>
      </c>
      <c r="J30" s="12">
        <v>25</v>
      </c>
      <c r="K30" s="12" t="s">
        <v>1707</v>
      </c>
      <c r="L30" s="63"/>
      <c r="P30" s="7"/>
      <c r="Q30" s="7"/>
      <c r="R30" s="6" t="s">
        <v>1691</v>
      </c>
      <c r="S30" s="6" t="s">
        <v>1692</v>
      </c>
      <c r="T30" s="6" t="s">
        <v>1742</v>
      </c>
      <c r="U30" s="6" t="s">
        <v>1694</v>
      </c>
      <c r="V30" s="6" t="s">
        <v>1689</v>
      </c>
      <c r="W30" s="16"/>
    </row>
    <row r="31" s="1" customFormat="1" ht="50" customHeight="1" spans="8:23">
      <c r="H31" s="12">
        <v>25</v>
      </c>
      <c r="I31" s="12">
        <v>57</v>
      </c>
      <c r="J31" s="12"/>
      <c r="K31" s="12" t="s">
        <v>1706</v>
      </c>
      <c r="L31" s="63"/>
      <c r="P31" s="22"/>
      <c r="Q31" s="22"/>
      <c r="R31" s="54" t="s">
        <v>1703</v>
      </c>
      <c r="S31" s="55" t="s">
        <v>1792</v>
      </c>
      <c r="T31" s="56">
        <v>3</v>
      </c>
      <c r="U31" s="57" t="s">
        <v>1793</v>
      </c>
      <c r="V31" s="55"/>
      <c r="W31" s="58"/>
    </row>
    <row r="32" s="1" customFormat="1" ht="43" customHeight="1" spans="8:23">
      <c r="H32" s="53" t="s">
        <v>1794</v>
      </c>
      <c r="I32" s="53"/>
      <c r="J32" s="53"/>
      <c r="K32" s="53"/>
      <c r="L32" s="2"/>
      <c r="P32" s="22"/>
      <c r="Q32" s="22"/>
      <c r="R32" s="12" t="s">
        <v>107</v>
      </c>
      <c r="S32" s="39" t="s">
        <v>1795</v>
      </c>
      <c r="T32" s="40">
        <v>2</v>
      </c>
      <c r="U32" s="25" t="s">
        <v>1796</v>
      </c>
      <c r="V32" s="39"/>
      <c r="W32" s="41"/>
    </row>
    <row r="33" s="1" customFormat="1" ht="46" customHeight="1" spans="8:24">
      <c r="P33" s="22"/>
      <c r="Q33" s="22"/>
      <c r="R33" s="12" t="s">
        <v>1720</v>
      </c>
      <c r="S33" s="39" t="s">
        <v>1797</v>
      </c>
      <c r="T33" s="40">
        <v>1</v>
      </c>
      <c r="U33" s="25" t="s">
        <v>1798</v>
      </c>
      <c r="V33" s="39"/>
      <c r="W33" s="41"/>
    </row>
    <row r="34" s="1" customFormat="1" ht="46" customHeight="1" spans="8:24">
      <c r="H34" s="64" t="s">
        <v>1799</v>
      </c>
      <c r="I34" s="65" t="s">
        <v>1800</v>
      </c>
      <c r="J34" s="65" t="s">
        <v>1801</v>
      </c>
      <c r="K34" s="65" t="s">
        <v>1802</v>
      </c>
      <c r="L34" s="65" t="s">
        <v>1803</v>
      </c>
      <c r="M34" s="65" t="s">
        <v>38</v>
      </c>
      <c r="N34" s="65" t="s">
        <v>1804</v>
      </c>
      <c r="O34" s="65" t="s">
        <v>1805</v>
      </c>
      <c r="P34" s="22"/>
      <c r="Q34" s="22"/>
      <c r="R34" s="12" t="s">
        <v>77</v>
      </c>
      <c r="S34" s="45" t="s">
        <v>1806</v>
      </c>
      <c r="T34" s="46">
        <v>0</v>
      </c>
      <c r="U34" s="47" t="s">
        <v>1807</v>
      </c>
      <c r="V34" s="45"/>
      <c r="W34" s="48"/>
    </row>
    <row r="35" s="1" customFormat="1" ht="54" customHeight="1" spans="8:24">
      <c r="H35" s="66" t="s">
        <v>1724</v>
      </c>
      <c r="I35" s="67" t="s">
        <v>73</v>
      </c>
      <c r="J35" s="67" t="s">
        <v>73</v>
      </c>
      <c r="K35" s="67" t="s">
        <v>73</v>
      </c>
      <c r="L35" s="67" t="s">
        <v>73</v>
      </c>
      <c r="M35" s="67" t="s">
        <v>73</v>
      </c>
      <c r="N35" s="67"/>
      <c r="O35" s="67"/>
      <c r="P35" s="29"/>
      <c r="Q35" s="29"/>
      <c r="R35" s="53" t="s">
        <v>145</v>
      </c>
      <c r="S35" s="53" t="s">
        <v>145</v>
      </c>
      <c r="T35" s="53" t="s">
        <v>145</v>
      </c>
      <c r="U35" s="53" t="s">
        <v>145</v>
      </c>
      <c r="V35" s="53" t="s">
        <v>145</v>
      </c>
      <c r="W35" s="27"/>
    </row>
    <row r="36" s="1" customFormat="1" ht="46" customHeight="1" spans="8:24">
      <c r="H36" s="66" t="s">
        <v>1808</v>
      </c>
      <c r="I36" s="67" t="s">
        <v>73</v>
      </c>
      <c r="J36" s="67" t="s">
        <v>73</v>
      </c>
      <c r="K36" s="67" t="s">
        <v>73</v>
      </c>
      <c r="L36" s="67" t="s">
        <v>73</v>
      </c>
      <c r="M36" s="67"/>
      <c r="N36" s="67"/>
      <c r="O36" s="67"/>
      <c r="P36" s="33"/>
      <c r="Q36" s="33"/>
      <c r="R36" s="20" t="s">
        <v>1809</v>
      </c>
      <c r="S36" s="20"/>
      <c r="T36" s="20"/>
      <c r="U36" s="20"/>
      <c r="V36" s="20"/>
      <c r="W36" s="20"/>
      <c r="X36" s="68"/>
    </row>
    <row r="37" s="1" customFormat="1" ht="46" customHeight="1" spans="8:24">
      <c r="H37" s="66" t="s">
        <v>1711</v>
      </c>
      <c r="I37" s="67" t="s">
        <v>73</v>
      </c>
      <c r="J37" s="67" t="s">
        <v>73</v>
      </c>
      <c r="K37" s="67" t="s">
        <v>73</v>
      </c>
      <c r="L37" s="67"/>
      <c r="M37" s="67"/>
      <c r="N37" s="67" t="s">
        <v>73</v>
      </c>
      <c r="O37" s="67"/>
      <c r="X37" s="68"/>
    </row>
    <row r="38" s="1" customFormat="1" ht="46" customHeight="1" spans="8:24">
      <c r="H38" s="66" t="s">
        <v>1697</v>
      </c>
      <c r="I38" s="67" t="s">
        <v>73</v>
      </c>
      <c r="J38" s="67" t="s">
        <v>73</v>
      </c>
      <c r="K38" s="67" t="s">
        <v>73</v>
      </c>
      <c r="L38" s="67" t="s">
        <v>73</v>
      </c>
      <c r="M38" s="67"/>
      <c r="N38" s="67"/>
      <c r="O38" s="67" t="s">
        <v>73</v>
      </c>
      <c r="P38" s="29"/>
      <c r="Q38" s="29"/>
      <c r="R38" s="69" t="s">
        <v>1810</v>
      </c>
      <c r="S38" s="70"/>
      <c r="T38" s="71"/>
      <c r="U38" s="72" t="s">
        <v>1811</v>
      </c>
      <c r="V38" s="73"/>
      <c r="W38" s="74"/>
      <c r="X38" s="68"/>
    </row>
    <row r="39" s="1" customFormat="1" ht="43" customHeight="1" spans="8:24">
      <c r="H39" s="66" t="s">
        <v>1729</v>
      </c>
      <c r="I39" s="67" t="s">
        <v>73</v>
      </c>
      <c r="J39" s="67" t="s">
        <v>73</v>
      </c>
      <c r="K39" s="67" t="s">
        <v>73</v>
      </c>
      <c r="L39" s="67" t="s">
        <v>73</v>
      </c>
      <c r="M39" s="67"/>
      <c r="N39" s="67"/>
      <c r="O39" s="67" t="s">
        <v>73</v>
      </c>
      <c r="P39" s="7"/>
      <c r="Q39" s="7"/>
      <c r="R39" s="6" t="s">
        <v>1691</v>
      </c>
      <c r="S39" s="6" t="s">
        <v>1742</v>
      </c>
      <c r="T39" s="71"/>
      <c r="U39" s="38" t="s">
        <v>1812</v>
      </c>
      <c r="V39" s="11"/>
      <c r="W39" s="38" t="s">
        <v>1813</v>
      </c>
      <c r="X39" s="68"/>
    </row>
    <row r="40" s="1" customFormat="1" ht="68" customHeight="1" spans="8:24">
      <c r="H40" s="67" t="s">
        <v>1814</v>
      </c>
      <c r="I40" s="75" t="s">
        <v>1815</v>
      </c>
      <c r="J40" s="75" t="s">
        <v>1816</v>
      </c>
      <c r="K40" s="75" t="s">
        <v>1817</v>
      </c>
      <c r="L40" s="75" t="s">
        <v>1818</v>
      </c>
      <c r="M40" s="75" t="s">
        <v>1819</v>
      </c>
      <c r="N40" s="75" t="s">
        <v>1820</v>
      </c>
      <c r="O40" s="75" t="s">
        <v>1821</v>
      </c>
      <c r="P40" s="22"/>
      <c r="Q40" s="22"/>
      <c r="R40" s="12" t="s">
        <v>1703</v>
      </c>
      <c r="S40" s="53" t="s">
        <v>145</v>
      </c>
      <c r="U40" s="12" t="s">
        <v>1822</v>
      </c>
      <c r="V40" s="13" t="s">
        <v>1823</v>
      </c>
      <c r="W40" s="76" t="s">
        <v>145</v>
      </c>
    </row>
    <row r="41" ht="43" customHeight="1" spans="8:24">
      <c r="H41" s="77" t="s">
        <v>1824</v>
      </c>
      <c r="I41" s="78"/>
      <c r="J41" s="78"/>
      <c r="K41" s="78"/>
      <c r="L41" s="78"/>
      <c r="M41" s="78"/>
      <c r="N41" s="78"/>
      <c r="O41" s="79"/>
      <c r="P41" s="22"/>
      <c r="Q41" s="22"/>
      <c r="R41" s="12" t="s">
        <v>107</v>
      </c>
      <c r="S41" s="53" t="s">
        <v>145</v>
      </c>
      <c r="U41" s="12" t="s">
        <v>1825</v>
      </c>
      <c r="V41" s="13" t="s">
        <v>1826</v>
      </c>
      <c r="W41" s="76" t="s">
        <v>145</v>
      </c>
    </row>
    <row r="42" s="1" customFormat="1" ht="43" customHeight="1" spans="8:24">
      <c r="H42" s="65" t="s">
        <v>1800</v>
      </c>
      <c r="I42" s="20" t="s">
        <v>1827</v>
      </c>
      <c r="J42" s="20"/>
      <c r="K42" s="20"/>
      <c r="L42" s="20"/>
      <c r="M42" s="20"/>
      <c r="N42" s="20"/>
      <c r="P42" s="22"/>
      <c r="Q42" s="22"/>
      <c r="R42" s="12" t="s">
        <v>1720</v>
      </c>
      <c r="S42" s="53" t="s">
        <v>145</v>
      </c>
      <c r="U42" s="12" t="s">
        <v>1828</v>
      </c>
      <c r="V42" s="13" t="s">
        <v>1829</v>
      </c>
      <c r="W42" s="76" t="s">
        <v>145</v>
      </c>
    </row>
    <row r="43" s="1" customFormat="1" ht="64" customHeight="1" spans="8:24">
      <c r="H43" s="65" t="s">
        <v>1801</v>
      </c>
      <c r="I43" s="20" t="s">
        <v>1830</v>
      </c>
      <c r="J43" s="20"/>
      <c r="K43" s="20"/>
      <c r="L43" s="20"/>
      <c r="M43" s="20"/>
      <c r="N43" s="20"/>
      <c r="P43" s="22"/>
      <c r="Q43" s="22"/>
      <c r="R43" s="12" t="s">
        <v>77</v>
      </c>
      <c r="S43" s="53" t="s">
        <v>145</v>
      </c>
      <c r="U43" s="12" t="s">
        <v>1831</v>
      </c>
      <c r="V43" s="13" t="s">
        <v>1832</v>
      </c>
      <c r="W43" s="76" t="s">
        <v>145</v>
      </c>
    </row>
    <row r="44" s="1" customFormat="1" ht="48" customHeight="1" spans="8:24">
      <c r="H44" s="65" t="s">
        <v>1833</v>
      </c>
      <c r="I44" s="20" t="s">
        <v>1834</v>
      </c>
      <c r="J44" s="20"/>
      <c r="K44" s="20"/>
      <c r="L44" s="20"/>
      <c r="M44" s="20"/>
      <c r="N44" s="20"/>
      <c r="P44" s="29"/>
      <c r="Q44" s="29"/>
      <c r="R44" s="53" t="s">
        <v>145</v>
      </c>
      <c r="S44" s="53" t="s">
        <v>145</v>
      </c>
      <c r="U44" s="80" t="s">
        <v>1835</v>
      </c>
      <c r="V44" s="80"/>
      <c r="W44" s="80"/>
    </row>
    <row r="45" s="1" customFormat="1" ht="44" customHeight="1" spans="8:24">
      <c r="H45" s="65" t="s">
        <v>1803</v>
      </c>
      <c r="I45" s="20" t="s">
        <v>1836</v>
      </c>
      <c r="J45" s="20"/>
      <c r="K45" s="20"/>
      <c r="L45" s="20"/>
      <c r="M45" s="20"/>
      <c r="N45" s="20"/>
      <c r="P45" s="81"/>
      <c r="Q45" s="81"/>
      <c r="R45" s="82" t="s">
        <v>1837</v>
      </c>
      <c r="S45" s="27"/>
      <c r="U45" s="80"/>
      <c r="V45" s="80"/>
      <c r="W45" s="80"/>
    </row>
    <row r="46" s="1" customFormat="1" ht="41" customHeight="1" spans="8:24">
      <c r="H46" s="65" t="s">
        <v>38</v>
      </c>
      <c r="I46" s="20" t="s">
        <v>1838</v>
      </c>
      <c r="J46" s="20"/>
      <c r="K46" s="20"/>
      <c r="L46" s="20"/>
      <c r="M46" s="20"/>
      <c r="N46" s="20"/>
    </row>
    <row r="47" s="1" customFormat="1" ht="42" customHeight="1" spans="8:24">
      <c r="H47" s="65" t="s">
        <v>1804</v>
      </c>
      <c r="I47" s="20" t="s">
        <v>1839</v>
      </c>
      <c r="J47" s="20"/>
      <c r="K47" s="20"/>
      <c r="L47" s="20"/>
      <c r="M47" s="20"/>
      <c r="N47" s="20"/>
    </row>
    <row r="48" s="1" customFormat="1" ht="80" customHeight="1" spans="8:24">
      <c r="H48" s="28"/>
      <c r="I48" s="83" t="s">
        <v>1840</v>
      </c>
      <c r="J48" s="84"/>
      <c r="K48" s="84"/>
      <c r="L48" s="83" t="s">
        <v>1841</v>
      </c>
      <c r="M48" s="83"/>
      <c r="N48" s="83"/>
    </row>
    <row r="49" s="1" customFormat="1" ht="60" customHeight="1" spans="8:23">
      <c r="H49" s="66" t="s">
        <v>1724</v>
      </c>
      <c r="I49" s="20" t="s">
        <v>1842</v>
      </c>
      <c r="J49" s="16"/>
      <c r="K49" s="16"/>
      <c r="L49" s="20" t="s">
        <v>1843</v>
      </c>
      <c r="M49" s="16"/>
      <c r="N49" s="16"/>
    </row>
    <row r="50" s="1" customFormat="1" ht="60" customHeight="1" spans="8:23">
      <c r="H50" s="66" t="s">
        <v>1808</v>
      </c>
      <c r="I50" s="20" t="s">
        <v>1844</v>
      </c>
      <c r="J50" s="16"/>
      <c r="K50" s="16"/>
      <c r="L50" s="20" t="s">
        <v>1845</v>
      </c>
      <c r="M50" s="16"/>
      <c r="N50" s="16"/>
    </row>
    <row r="51" s="1" customFormat="1" ht="60" customHeight="1" spans="8:23">
      <c r="H51" s="66" t="s">
        <v>1711</v>
      </c>
      <c r="I51" s="20" t="s">
        <v>1846</v>
      </c>
      <c r="J51" s="16"/>
      <c r="K51" s="16"/>
      <c r="L51" s="20" t="s">
        <v>1847</v>
      </c>
      <c r="M51" s="16"/>
      <c r="N51" s="16"/>
    </row>
    <row r="52" s="1" customFormat="1" ht="60" customHeight="1" spans="8:23">
      <c r="H52" s="66" t="s">
        <v>1729</v>
      </c>
      <c r="I52" s="20" t="s">
        <v>1848</v>
      </c>
      <c r="J52" s="16"/>
      <c r="K52" s="16"/>
      <c r="L52" s="20" t="s">
        <v>1849</v>
      </c>
      <c r="M52" s="16"/>
      <c r="N52" s="16"/>
    </row>
    <row r="53" s="1" customFormat="1" ht="60" customHeight="1" spans="8:23">
      <c r="H53" s="66" t="s">
        <v>1697</v>
      </c>
      <c r="I53" s="20" t="s">
        <v>1850</v>
      </c>
      <c r="J53" s="16"/>
      <c r="K53" s="16"/>
      <c r="L53" s="20" t="s">
        <v>1851</v>
      </c>
      <c r="M53" s="16"/>
      <c r="N53" s="16"/>
    </row>
    <row r="54" s="1" customFormat="1" ht="51" customHeight="1" spans="8:23">
      <c r="H54" s="2"/>
      <c r="I54" s="2"/>
      <c r="J54" s="2"/>
      <c r="K54" s="2"/>
      <c r="L54" s="2"/>
      <c r="M54" s="2"/>
      <c r="N54" s="2"/>
    </row>
    <row r="55" s="1" customFormat="1" ht="90" customHeight="1" spans="8:23">
      <c r="H55" s="85" t="s">
        <v>1852</v>
      </c>
      <c r="I55" s="85" t="s">
        <v>1853</v>
      </c>
      <c r="J55" s="85" t="s">
        <v>1854</v>
      </c>
      <c r="K55" s="2"/>
      <c r="L55" s="2"/>
      <c r="M55" s="2"/>
      <c r="N55" s="2"/>
    </row>
    <row r="56" s="1" customFormat="1" ht="90" customHeight="1" spans="8:23">
      <c r="H56" s="85" t="s">
        <v>1855</v>
      </c>
      <c r="I56" s="85" t="s">
        <v>1856</v>
      </c>
      <c r="J56" s="85" t="s">
        <v>1857</v>
      </c>
      <c r="K56" s="86"/>
      <c r="L56" s="86"/>
    </row>
    <row r="57" s="2" customFormat="1" ht="90" customHeight="1" spans="8:23">
      <c r="H57" s="85" t="s">
        <v>1858</v>
      </c>
      <c r="I57" s="85" t="s">
        <v>1859</v>
      </c>
      <c r="J57" s="85" t="s">
        <v>1860</v>
      </c>
      <c r="P57" s="1"/>
      <c r="Q57" s="1"/>
      <c r="R57" s="1"/>
      <c r="S57" s="1"/>
      <c r="T57" s="1"/>
      <c r="U57" s="1"/>
      <c r="V57" s="1"/>
      <c r="W57" s="1"/>
    </row>
    <row r="58" s="2" customFormat="1" ht="90" customHeight="1" spans="8:23">
      <c r="H58" s="85" t="s">
        <v>1861</v>
      </c>
      <c r="I58" s="85" t="s">
        <v>1862</v>
      </c>
      <c r="J58" s="85" t="s">
        <v>1863</v>
      </c>
      <c r="P58" s="1"/>
      <c r="Q58" s="1"/>
      <c r="R58" s="1"/>
      <c r="S58" s="1"/>
      <c r="T58" s="1"/>
      <c r="U58" s="1"/>
      <c r="V58" s="1"/>
      <c r="W58" s="1"/>
    </row>
    <row r="59" s="2" customFormat="1" ht="90" customHeight="1" spans="8:23">
      <c r="H59" s="85" t="s">
        <v>1864</v>
      </c>
      <c r="I59" s="85" t="s">
        <v>1865</v>
      </c>
      <c r="J59" s="85" t="s">
        <v>1866</v>
      </c>
      <c r="P59" s="1"/>
      <c r="Q59" s="1"/>
      <c r="R59" s="1"/>
      <c r="S59" s="1"/>
      <c r="T59" s="1"/>
      <c r="U59" s="1"/>
      <c r="V59" s="1"/>
      <c r="W59" s="1"/>
    </row>
    <row r="60" s="2" customFormat="1" ht="90" customHeight="1" spans="8:23">
      <c r="H60" s="85" t="s">
        <v>1867</v>
      </c>
      <c r="I60" s="85" t="s">
        <v>1868</v>
      </c>
      <c r="J60" s="85" t="s">
        <v>1869</v>
      </c>
      <c r="P60" s="1"/>
      <c r="Q60" s="1"/>
      <c r="R60" s="1"/>
      <c r="S60" s="1"/>
      <c r="T60" s="1"/>
      <c r="U60" s="1"/>
      <c r="V60" s="1"/>
      <c r="W60" s="1"/>
    </row>
    <row r="61" s="1" customFormat="1" ht="90" customHeight="1" spans="8:23">
      <c r="H61" s="85" t="s">
        <v>1870</v>
      </c>
      <c r="I61" s="85" t="s">
        <v>1871</v>
      </c>
      <c r="J61" s="85" t="s">
        <v>1872</v>
      </c>
      <c r="T61" s="2"/>
      <c r="U61" s="2"/>
      <c r="V61" s="2"/>
      <c r="W61" s="2"/>
    </row>
    <row r="62" s="1" customFormat="1" ht="110" customHeight="1" spans="8:23">
      <c r="H62" s="87"/>
      <c r="I62" s="87"/>
      <c r="J62" s="87"/>
      <c r="P62" s="2"/>
      <c r="Q62" s="2"/>
      <c r="R62" s="2"/>
      <c r="S62" s="2"/>
      <c r="T62" s="2"/>
      <c r="U62" s="2"/>
      <c r="V62" s="2"/>
      <c r="W62" s="2"/>
    </row>
    <row r="63" s="1" customFormat="1" ht="152" customHeight="1" spans="8:23">
      <c r="H63" s="87"/>
      <c r="I63" s="87"/>
      <c r="J63" s="87"/>
      <c r="P63" s="2"/>
      <c r="Q63" s="2"/>
      <c r="R63" s="2"/>
      <c r="S63" s="2"/>
      <c r="T63" s="2"/>
      <c r="U63" s="2"/>
      <c r="V63" s="2"/>
      <c r="W63" s="2"/>
    </row>
    <row r="64" s="1" customFormat="1" ht="95.25" customHeight="1" spans="8:23">
      <c r="H64" s="87"/>
      <c r="I64" s="87"/>
      <c r="J64" s="87"/>
      <c r="P64" s="2"/>
      <c r="Q64" s="2"/>
      <c r="R64" s="2"/>
      <c r="S64" s="2"/>
      <c r="T64" s="2"/>
      <c r="U64" s="2"/>
      <c r="V64" s="2"/>
      <c r="W64" s="2"/>
    </row>
    <row r="65" s="1" customFormat="1" ht="87" customHeight="1" spans="8:19">
      <c r="H65" s="87"/>
      <c r="I65" s="87"/>
      <c r="J65" s="87"/>
      <c r="P65" s="2"/>
      <c r="Q65" s="2"/>
      <c r="R65" s="2"/>
      <c r="S65" s="2"/>
    </row>
    <row r="66" s="1" customFormat="1" ht="79.5" customHeight="1" spans="8:19">
      <c r="H66" s="87"/>
      <c r="I66" s="87"/>
      <c r="J66" s="87"/>
    </row>
    <row r="67" s="1" customFormat="1" ht="98" customHeight="1" spans="8:19">
      <c r="H67" s="87"/>
      <c r="I67" s="87"/>
      <c r="J67" s="87"/>
    </row>
  </sheetData>
  <mergeCells count="71">
    <mergeCell ref="A1:B1"/>
    <mergeCell ref="H1:L1"/>
    <mergeCell ref="R1:W1"/>
    <mergeCell ref="Y1:AD1"/>
    <mergeCell ref="V2:W2"/>
    <mergeCell ref="AA2:AD2"/>
    <mergeCell ref="V3:W3"/>
    <mergeCell ref="V4:W4"/>
    <mergeCell ref="V5:W5"/>
    <mergeCell ref="V6:W6"/>
    <mergeCell ref="V7:W7"/>
    <mergeCell ref="R8:W8"/>
    <mergeCell ref="R10:W10"/>
    <mergeCell ref="V11:W11"/>
    <mergeCell ref="V12:W12"/>
    <mergeCell ref="V13:W13"/>
    <mergeCell ref="V14:W14"/>
    <mergeCell ref="V15:W15"/>
    <mergeCell ref="V16:W16"/>
    <mergeCell ref="R17:W17"/>
    <mergeCell ref="R19:W19"/>
    <mergeCell ref="V20:W20"/>
    <mergeCell ref="V21:W21"/>
    <mergeCell ref="V22:W22"/>
    <mergeCell ref="V23:W23"/>
    <mergeCell ref="H24:L24"/>
    <mergeCell ref="V24:W24"/>
    <mergeCell ref="V25:W25"/>
    <mergeCell ref="H26:K26"/>
    <mergeCell ref="R26:W26"/>
    <mergeCell ref="R29:W29"/>
    <mergeCell ref="V30:W30"/>
    <mergeCell ref="V31:W31"/>
    <mergeCell ref="H32:K32"/>
    <mergeCell ref="V32:W32"/>
    <mergeCell ref="V33:W33"/>
    <mergeCell ref="V34:W34"/>
    <mergeCell ref="V35:W35"/>
    <mergeCell ref="R36:W36"/>
    <mergeCell ref="R38:S38"/>
    <mergeCell ref="U38:W38"/>
    <mergeCell ref="U39:V39"/>
    <mergeCell ref="H41:O41"/>
    <mergeCell ref="I42:N42"/>
    <mergeCell ref="I43:N43"/>
    <mergeCell ref="I44:N44"/>
    <mergeCell ref="I45:N45"/>
    <mergeCell ref="R45:S45"/>
    <mergeCell ref="I46:N46"/>
    <mergeCell ref="I47:N47"/>
    <mergeCell ref="I48:K48"/>
    <mergeCell ref="L48:N48"/>
    <mergeCell ref="I49:K49"/>
    <mergeCell ref="L49:N49"/>
    <mergeCell ref="I50:K50"/>
    <mergeCell ref="L50:N50"/>
    <mergeCell ref="I51:K51"/>
    <mergeCell ref="L51:N51"/>
    <mergeCell ref="I52:K52"/>
    <mergeCell ref="L52:N52"/>
    <mergeCell ref="I53:K53"/>
    <mergeCell ref="L53:N53"/>
    <mergeCell ref="H3:H7"/>
    <mergeCell ref="H8:H11"/>
    <mergeCell ref="H12:H15"/>
    <mergeCell ref="H16:H19"/>
    <mergeCell ref="H20:H23"/>
    <mergeCell ref="K3:K7"/>
    <mergeCell ref="Y4:Y7"/>
    <mergeCell ref="U44:W45"/>
    <mergeCell ref="Y2:Z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Cover</vt:lpstr>
      <vt:lpstr>TARA_Report</vt:lpstr>
      <vt:lpstr>Assets List</vt:lpstr>
      <vt:lpstr>CFG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dc:creator>
  <cp:lastModifiedBy>胡杨</cp:lastModifiedBy>
  <dcterms:created xsi:type="dcterms:W3CDTF">2022-03-14T04:36:00Z</dcterms:created>
  <cp:lastPrinted>2022-10-21T13:01:00Z</cp:lastPrinted>
  <dcterms:modified xsi:type="dcterms:W3CDTF">2026-03-23T17:54:58Z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ICV">
    <vt:lpwstr>432AD7C21C869BE25B210F68496D66AD_43</vt:lpwstr>
  </property>
  <property fmtid="{D5CDD505-2E9C-101B-9397-08002B2CF9AE}" pid="4" name="KSOReadingLayout">
    <vt:bool>true</vt:bool>
  </property>
  <property fmtid="{D5CDD505-2E9C-101B-9397-08002B2CF9AE}" pid="5" name="CalculationRule">
    <vt:i4>0</vt:i4>
  </property>
</Properties>
</file>